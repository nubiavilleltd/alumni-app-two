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00503256\Desktop\"/>
    </mc:Choice>
  </mc:AlternateContent>
  <xr:revisionPtr revIDLastSave="0" documentId="13_ncr:1_{A51A799A-C06E-4816-AA6B-6342BF8489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rban" sheetId="9" r:id="rId1"/>
    <sheet name="Rural1" sheetId="12" r:id="rId2"/>
    <sheet name="Rural" sheetId="10" state="hidden" r:id="rId3"/>
    <sheet name="Prices" sheetId="11" state="hidden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Rural!$A$2:$AK$391</definedName>
    <definedName name="_xlnm._FilterDatabase" localSheetId="1" hidden="1">Rural1!$A$2:$AK$391</definedName>
    <definedName name="_xlnm._FilterDatabase" localSheetId="0" hidden="1">Urban!$A$2:$AK$334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90" i="12" l="1"/>
  <c r="AF390" i="12"/>
  <c r="N390" i="12"/>
  <c r="M390" i="12"/>
  <c r="AC390" i="12" s="1"/>
  <c r="AH389" i="12"/>
  <c r="AF389" i="12"/>
  <c r="N389" i="12"/>
  <c r="M389" i="12"/>
  <c r="AC389" i="12" s="1"/>
  <c r="AH388" i="12"/>
  <c r="AF388" i="12"/>
  <c r="N388" i="12"/>
  <c r="M388" i="12"/>
  <c r="AH387" i="12"/>
  <c r="AF387" i="12"/>
  <c r="N387" i="12"/>
  <c r="M387" i="12"/>
  <c r="AC387" i="12" s="1"/>
  <c r="AH386" i="12"/>
  <c r="AF386" i="12"/>
  <c r="N386" i="12"/>
  <c r="M386" i="12"/>
  <c r="AC386" i="12" s="1"/>
  <c r="AH385" i="12"/>
  <c r="AF385" i="12"/>
  <c r="AC385" i="12"/>
  <c r="N385" i="12"/>
  <c r="M385" i="12"/>
  <c r="AH384" i="12"/>
  <c r="AF384" i="12"/>
  <c r="N384" i="12"/>
  <c r="M384" i="12"/>
  <c r="AC384" i="12" s="1"/>
  <c r="AH383" i="12"/>
  <c r="AF383" i="12"/>
  <c r="N383" i="12"/>
  <c r="M383" i="12"/>
  <c r="AC383" i="12" s="1"/>
  <c r="AH382" i="12"/>
  <c r="AF382" i="12"/>
  <c r="N382" i="12"/>
  <c r="M382" i="12"/>
  <c r="AC382" i="12" s="1"/>
  <c r="AH381" i="12"/>
  <c r="AF381" i="12"/>
  <c r="N381" i="12"/>
  <c r="M381" i="12"/>
  <c r="AC381" i="12" s="1"/>
  <c r="AH380" i="12"/>
  <c r="AF380" i="12"/>
  <c r="N380" i="12"/>
  <c r="M380" i="12"/>
  <c r="AH379" i="12"/>
  <c r="AF379" i="12"/>
  <c r="N379" i="12"/>
  <c r="M379" i="12"/>
  <c r="AC379" i="12" s="1"/>
  <c r="AH378" i="12"/>
  <c r="AF378" i="12"/>
  <c r="N378" i="12"/>
  <c r="M378" i="12"/>
  <c r="AC378" i="12" s="1"/>
  <c r="AH377" i="12"/>
  <c r="AF377" i="12"/>
  <c r="N377" i="12"/>
  <c r="M377" i="12"/>
  <c r="AC377" i="12" s="1"/>
  <c r="AH376" i="12"/>
  <c r="AF376" i="12"/>
  <c r="N376" i="12"/>
  <c r="M376" i="12"/>
  <c r="AC376" i="12" s="1"/>
  <c r="AH375" i="12"/>
  <c r="AF375" i="12"/>
  <c r="N375" i="12"/>
  <c r="M375" i="12"/>
  <c r="AC375" i="12" s="1"/>
  <c r="AH374" i="12"/>
  <c r="AF374" i="12"/>
  <c r="N374" i="12"/>
  <c r="M374" i="12"/>
  <c r="AC374" i="12" s="1"/>
  <c r="AH373" i="12"/>
  <c r="AF373" i="12"/>
  <c r="N373" i="12"/>
  <c r="M373" i="12"/>
  <c r="AH372" i="12"/>
  <c r="AF372" i="12"/>
  <c r="N372" i="12"/>
  <c r="M372" i="12"/>
  <c r="AH371" i="12"/>
  <c r="AF371" i="12"/>
  <c r="N371" i="12"/>
  <c r="M371" i="12"/>
  <c r="AC371" i="12" s="1"/>
  <c r="AH370" i="12"/>
  <c r="AF370" i="12"/>
  <c r="N370" i="12"/>
  <c r="M370" i="12"/>
  <c r="AC370" i="12" s="1"/>
  <c r="AH369" i="12"/>
  <c r="AF369" i="12"/>
  <c r="N369" i="12"/>
  <c r="M369" i="12"/>
  <c r="AC369" i="12" s="1"/>
  <c r="AH368" i="12"/>
  <c r="AF368" i="12"/>
  <c r="N368" i="12"/>
  <c r="M368" i="12"/>
  <c r="AC368" i="12" s="1"/>
  <c r="AH367" i="12"/>
  <c r="AF367" i="12"/>
  <c r="N367" i="12"/>
  <c r="M367" i="12"/>
  <c r="AC367" i="12" s="1"/>
  <c r="AH366" i="12"/>
  <c r="AF366" i="12"/>
  <c r="N366" i="12"/>
  <c r="M366" i="12"/>
  <c r="AC366" i="12" s="1"/>
  <c r="AH365" i="12"/>
  <c r="AF365" i="12"/>
  <c r="N365" i="12"/>
  <c r="M365" i="12"/>
  <c r="AH364" i="12"/>
  <c r="AF364" i="12"/>
  <c r="N364" i="12"/>
  <c r="M364" i="12"/>
  <c r="AH363" i="12"/>
  <c r="AF363" i="12"/>
  <c r="N363" i="12"/>
  <c r="M363" i="12"/>
  <c r="AC363" i="12" s="1"/>
  <c r="AH362" i="12"/>
  <c r="AF362" i="12"/>
  <c r="N362" i="12"/>
  <c r="M362" i="12"/>
  <c r="AC362" i="12" s="1"/>
  <c r="AH361" i="12"/>
  <c r="AF361" i="12"/>
  <c r="N361" i="12"/>
  <c r="M361" i="12"/>
  <c r="AC361" i="12" s="1"/>
  <c r="AH360" i="12"/>
  <c r="AF360" i="12"/>
  <c r="N360" i="12"/>
  <c r="M360" i="12"/>
  <c r="AC360" i="12" s="1"/>
  <c r="AH359" i="12"/>
  <c r="AF359" i="12"/>
  <c r="N359" i="12"/>
  <c r="M359" i="12"/>
  <c r="AC359" i="12" s="1"/>
  <c r="AH358" i="12"/>
  <c r="AF358" i="12"/>
  <c r="N358" i="12"/>
  <c r="M358" i="12"/>
  <c r="AC358" i="12" s="1"/>
  <c r="AH357" i="12"/>
  <c r="AF357" i="12"/>
  <c r="N357" i="12"/>
  <c r="M357" i="12"/>
  <c r="AH356" i="12"/>
  <c r="AF356" i="12"/>
  <c r="N356" i="12"/>
  <c r="M356" i="12"/>
  <c r="AC356" i="12" s="1"/>
  <c r="AH355" i="12"/>
  <c r="AF355" i="12"/>
  <c r="N355" i="12"/>
  <c r="M355" i="12"/>
  <c r="AC355" i="12" s="1"/>
  <c r="AH354" i="12"/>
  <c r="AF354" i="12"/>
  <c r="N354" i="12"/>
  <c r="M354" i="12"/>
  <c r="AC354" i="12" s="1"/>
  <c r="AH353" i="12"/>
  <c r="AF353" i="12"/>
  <c r="N353" i="12"/>
  <c r="M353" i="12"/>
  <c r="AC353" i="12" s="1"/>
  <c r="AH352" i="12"/>
  <c r="AF352" i="12"/>
  <c r="N352" i="12"/>
  <c r="M352" i="12"/>
  <c r="AC352" i="12" s="1"/>
  <c r="AH351" i="12"/>
  <c r="AF351" i="12"/>
  <c r="N351" i="12"/>
  <c r="M351" i="12"/>
  <c r="AC351" i="12" s="1"/>
  <c r="AH350" i="12"/>
  <c r="AF350" i="12"/>
  <c r="N350" i="12"/>
  <c r="M350" i="12"/>
  <c r="AC350" i="12" s="1"/>
  <c r="AH349" i="12"/>
  <c r="AF349" i="12"/>
  <c r="N349" i="12"/>
  <c r="M349" i="12"/>
  <c r="AH348" i="12"/>
  <c r="AF348" i="12"/>
  <c r="N348" i="12"/>
  <c r="M348" i="12"/>
  <c r="AC348" i="12" s="1"/>
  <c r="AH347" i="12"/>
  <c r="AF347" i="12"/>
  <c r="N347" i="12"/>
  <c r="M347" i="12"/>
  <c r="AC347" i="12" s="1"/>
  <c r="AH346" i="12"/>
  <c r="AF346" i="12"/>
  <c r="N346" i="12"/>
  <c r="M346" i="12"/>
  <c r="AC346" i="12" s="1"/>
  <c r="AH345" i="12"/>
  <c r="AF345" i="12"/>
  <c r="N345" i="12"/>
  <c r="M345" i="12"/>
  <c r="AC345" i="12" s="1"/>
  <c r="AH344" i="12"/>
  <c r="AF344" i="12"/>
  <c r="N344" i="12"/>
  <c r="M344" i="12"/>
  <c r="AC344" i="12" s="1"/>
  <c r="AH343" i="12"/>
  <c r="AF343" i="12"/>
  <c r="N343" i="12"/>
  <c r="M343" i="12"/>
  <c r="AC343" i="12" s="1"/>
  <c r="AH342" i="12"/>
  <c r="AF342" i="12"/>
  <c r="N342" i="12"/>
  <c r="M342" i="12"/>
  <c r="AC342" i="12" s="1"/>
  <c r="AH341" i="12"/>
  <c r="AF341" i="12"/>
  <c r="N341" i="12"/>
  <c r="M341" i="12"/>
  <c r="AH340" i="12"/>
  <c r="AF340" i="12"/>
  <c r="N340" i="12"/>
  <c r="M340" i="12"/>
  <c r="AC340" i="12" s="1"/>
  <c r="AJ340" i="12" s="1"/>
  <c r="AH339" i="12"/>
  <c r="AF339" i="12"/>
  <c r="N339" i="12"/>
  <c r="M339" i="12"/>
  <c r="AC339" i="12" s="1"/>
  <c r="AH338" i="12"/>
  <c r="AF338" i="12"/>
  <c r="N338" i="12"/>
  <c r="M338" i="12"/>
  <c r="AC338" i="12" s="1"/>
  <c r="AJ338" i="12" s="1"/>
  <c r="AH337" i="12"/>
  <c r="AF337" i="12"/>
  <c r="N337" i="12"/>
  <c r="M337" i="12"/>
  <c r="AC337" i="12" s="1"/>
  <c r="AH336" i="12"/>
  <c r="AF336" i="12"/>
  <c r="N336" i="12"/>
  <c r="M336" i="12"/>
  <c r="AC336" i="12" s="1"/>
  <c r="AH335" i="12"/>
  <c r="AF335" i="12"/>
  <c r="N335" i="12"/>
  <c r="M335" i="12"/>
  <c r="AC335" i="12" s="1"/>
  <c r="AH334" i="12"/>
  <c r="AF334" i="12"/>
  <c r="N334" i="12"/>
  <c r="M334" i="12"/>
  <c r="AC334" i="12" s="1"/>
  <c r="AH333" i="12"/>
  <c r="AF333" i="12"/>
  <c r="N333" i="12"/>
  <c r="M333" i="12"/>
  <c r="AH332" i="12"/>
  <c r="AF332" i="12"/>
  <c r="N332" i="12"/>
  <c r="M332" i="12"/>
  <c r="AC332" i="12" s="1"/>
  <c r="AH331" i="12"/>
  <c r="AF331" i="12"/>
  <c r="N331" i="12"/>
  <c r="M331" i="12"/>
  <c r="AC331" i="12" s="1"/>
  <c r="AH330" i="12"/>
  <c r="AF330" i="12"/>
  <c r="N330" i="12"/>
  <c r="M330" i="12"/>
  <c r="AC330" i="12" s="1"/>
  <c r="AH329" i="12"/>
  <c r="AF329" i="12"/>
  <c r="N329" i="12"/>
  <c r="M329" i="12"/>
  <c r="AC329" i="12" s="1"/>
  <c r="AH328" i="12"/>
  <c r="AF328" i="12"/>
  <c r="N328" i="12"/>
  <c r="M328" i="12"/>
  <c r="AC328" i="12" s="1"/>
  <c r="AH327" i="12"/>
  <c r="AF327" i="12"/>
  <c r="N327" i="12"/>
  <c r="M327" i="12"/>
  <c r="AC327" i="12" s="1"/>
  <c r="AH326" i="12"/>
  <c r="AF326" i="12"/>
  <c r="N326" i="12"/>
  <c r="M326" i="12"/>
  <c r="AC326" i="12" s="1"/>
  <c r="AH325" i="12"/>
  <c r="AF325" i="12"/>
  <c r="N325" i="12"/>
  <c r="M325" i="12"/>
  <c r="AH324" i="12"/>
  <c r="AF324" i="12"/>
  <c r="N324" i="12"/>
  <c r="M324" i="12"/>
  <c r="AH323" i="12"/>
  <c r="AF323" i="12"/>
  <c r="N323" i="12"/>
  <c r="M323" i="12"/>
  <c r="AH322" i="12"/>
  <c r="AF322" i="12"/>
  <c r="N322" i="12"/>
  <c r="M322" i="12"/>
  <c r="AC322" i="12" s="1"/>
  <c r="AH321" i="12"/>
  <c r="AF321" i="12"/>
  <c r="N321" i="12"/>
  <c r="M321" i="12"/>
  <c r="AC321" i="12" s="1"/>
  <c r="AH320" i="12"/>
  <c r="AF320" i="12"/>
  <c r="N320" i="12"/>
  <c r="M320" i="12"/>
  <c r="AC320" i="12" s="1"/>
  <c r="AH319" i="12"/>
  <c r="AF319" i="12"/>
  <c r="N319" i="12"/>
  <c r="M319" i="12"/>
  <c r="AC319" i="12" s="1"/>
  <c r="AH318" i="12"/>
  <c r="AF318" i="12"/>
  <c r="N318" i="12"/>
  <c r="M318" i="12"/>
  <c r="AC318" i="12" s="1"/>
  <c r="AH317" i="12"/>
  <c r="AF317" i="12"/>
  <c r="N317" i="12"/>
  <c r="M317" i="12"/>
  <c r="AH316" i="12"/>
  <c r="AF316" i="12"/>
  <c r="N316" i="12"/>
  <c r="M316" i="12"/>
  <c r="AH315" i="12"/>
  <c r="AF315" i="12"/>
  <c r="N315" i="12"/>
  <c r="M315" i="12"/>
  <c r="AC315" i="12" s="1"/>
  <c r="AH314" i="12"/>
  <c r="AF314" i="12"/>
  <c r="N314" i="12"/>
  <c r="M314" i="12"/>
  <c r="AC314" i="12" s="1"/>
  <c r="AH313" i="12"/>
  <c r="AF313" i="12"/>
  <c r="N313" i="12"/>
  <c r="M313" i="12"/>
  <c r="AC313" i="12" s="1"/>
  <c r="AH312" i="12"/>
  <c r="AF312" i="12"/>
  <c r="N312" i="12"/>
  <c r="M312" i="12"/>
  <c r="AC312" i="12" s="1"/>
  <c r="AH311" i="12"/>
  <c r="AF311" i="12"/>
  <c r="N311" i="12"/>
  <c r="M311" i="12"/>
  <c r="AC311" i="12" s="1"/>
  <c r="AH310" i="12"/>
  <c r="AF310" i="12"/>
  <c r="N310" i="12"/>
  <c r="M310" i="12"/>
  <c r="AC310" i="12" s="1"/>
  <c r="AH309" i="12"/>
  <c r="AF309" i="12"/>
  <c r="N309" i="12"/>
  <c r="M309" i="12"/>
  <c r="AH308" i="12"/>
  <c r="AF308" i="12"/>
  <c r="N308" i="12"/>
  <c r="M308" i="12"/>
  <c r="AH307" i="12"/>
  <c r="AF307" i="12"/>
  <c r="N307" i="12"/>
  <c r="M307" i="12"/>
  <c r="AC307" i="12" s="1"/>
  <c r="AH306" i="12"/>
  <c r="AF306" i="12"/>
  <c r="N306" i="12"/>
  <c r="M306" i="12"/>
  <c r="AC306" i="12" s="1"/>
  <c r="AH305" i="12"/>
  <c r="AF305" i="12"/>
  <c r="N305" i="12"/>
  <c r="M305" i="12"/>
  <c r="AC305" i="12" s="1"/>
  <c r="AH304" i="12"/>
  <c r="AF304" i="12"/>
  <c r="N304" i="12"/>
  <c r="M304" i="12"/>
  <c r="AC304" i="12" s="1"/>
  <c r="AH303" i="12"/>
  <c r="AF303" i="12"/>
  <c r="N303" i="12"/>
  <c r="M303" i="12"/>
  <c r="AC303" i="12" s="1"/>
  <c r="AH302" i="12"/>
  <c r="AF302" i="12"/>
  <c r="N302" i="12"/>
  <c r="M302" i="12"/>
  <c r="AC302" i="12" s="1"/>
  <c r="AH301" i="12"/>
  <c r="AF301" i="12"/>
  <c r="N301" i="12"/>
  <c r="M301" i="12"/>
  <c r="AH300" i="12"/>
  <c r="AF300" i="12"/>
  <c r="N300" i="12"/>
  <c r="M300" i="12"/>
  <c r="AH299" i="12"/>
  <c r="AF299" i="12"/>
  <c r="N299" i="12"/>
  <c r="M299" i="12"/>
  <c r="AC299" i="12" s="1"/>
  <c r="AH298" i="12"/>
  <c r="AF298" i="12"/>
  <c r="N298" i="12"/>
  <c r="M298" i="12"/>
  <c r="AC298" i="12" s="1"/>
  <c r="AH297" i="12"/>
  <c r="AF297" i="12"/>
  <c r="N297" i="12"/>
  <c r="M297" i="12"/>
  <c r="AC297" i="12" s="1"/>
  <c r="AH296" i="12"/>
  <c r="AF296" i="12"/>
  <c r="N296" i="12"/>
  <c r="M296" i="12"/>
  <c r="AC296" i="12" s="1"/>
  <c r="AH295" i="12"/>
  <c r="AF295" i="12"/>
  <c r="N295" i="12"/>
  <c r="M295" i="12"/>
  <c r="AC295" i="12" s="1"/>
  <c r="AH294" i="12"/>
  <c r="AF294" i="12"/>
  <c r="N294" i="12"/>
  <c r="M294" i="12"/>
  <c r="AC294" i="12" s="1"/>
  <c r="AH293" i="12"/>
  <c r="AF293" i="12"/>
  <c r="N293" i="12"/>
  <c r="M293" i="12"/>
  <c r="AH292" i="12"/>
  <c r="AF292" i="12"/>
  <c r="N292" i="12"/>
  <c r="M292" i="12"/>
  <c r="AH291" i="12"/>
  <c r="AF291" i="12"/>
  <c r="N291" i="12"/>
  <c r="M291" i="12"/>
  <c r="AC291" i="12" s="1"/>
  <c r="AH290" i="12"/>
  <c r="AF290" i="12"/>
  <c r="N290" i="12"/>
  <c r="M290" i="12"/>
  <c r="AC290" i="12" s="1"/>
  <c r="AH289" i="12"/>
  <c r="AF289" i="12"/>
  <c r="N289" i="12"/>
  <c r="M289" i="12"/>
  <c r="AC289" i="12" s="1"/>
  <c r="AH288" i="12"/>
  <c r="AF288" i="12"/>
  <c r="N288" i="12"/>
  <c r="M288" i="12"/>
  <c r="AC288" i="12" s="1"/>
  <c r="AH287" i="12"/>
  <c r="AF287" i="12"/>
  <c r="N287" i="12"/>
  <c r="M287" i="12"/>
  <c r="AC287" i="12" s="1"/>
  <c r="AH286" i="12"/>
  <c r="AF286" i="12"/>
  <c r="N286" i="12"/>
  <c r="M286" i="12"/>
  <c r="AC286" i="12" s="1"/>
  <c r="AH285" i="12"/>
  <c r="AF285" i="12"/>
  <c r="N285" i="12"/>
  <c r="M285" i="12"/>
  <c r="AH284" i="12"/>
  <c r="AF284" i="12"/>
  <c r="N284" i="12"/>
  <c r="M284" i="12"/>
  <c r="AH283" i="12"/>
  <c r="AF283" i="12"/>
  <c r="N283" i="12"/>
  <c r="M283" i="12"/>
  <c r="AC283" i="12" s="1"/>
  <c r="AH282" i="12"/>
  <c r="AF282" i="12"/>
  <c r="N282" i="12"/>
  <c r="M282" i="12"/>
  <c r="AC282" i="12" s="1"/>
  <c r="AH281" i="12"/>
  <c r="AF281" i="12"/>
  <c r="N281" i="12"/>
  <c r="M281" i="12"/>
  <c r="AC281" i="12" s="1"/>
  <c r="AH280" i="12"/>
  <c r="AF280" i="12"/>
  <c r="N280" i="12"/>
  <c r="M280" i="12"/>
  <c r="AC280" i="12" s="1"/>
  <c r="AH279" i="12"/>
  <c r="AF279" i="12"/>
  <c r="N279" i="12"/>
  <c r="M279" i="12"/>
  <c r="AC279" i="12" s="1"/>
  <c r="AH278" i="12"/>
  <c r="AF278" i="12"/>
  <c r="N278" i="12"/>
  <c r="M278" i="12"/>
  <c r="AC278" i="12" s="1"/>
  <c r="AH277" i="12"/>
  <c r="AF277" i="12"/>
  <c r="N277" i="12"/>
  <c r="M277" i="12"/>
  <c r="AH276" i="12"/>
  <c r="AF276" i="12"/>
  <c r="N276" i="12"/>
  <c r="M276" i="12"/>
  <c r="AH275" i="12"/>
  <c r="AF275" i="12"/>
  <c r="N275" i="12"/>
  <c r="M275" i="12"/>
  <c r="AC275" i="12" s="1"/>
  <c r="AH274" i="12"/>
  <c r="AF274" i="12"/>
  <c r="N274" i="12"/>
  <c r="M274" i="12"/>
  <c r="AH273" i="12"/>
  <c r="AF273" i="12"/>
  <c r="N273" i="12"/>
  <c r="M273" i="12"/>
  <c r="AC273" i="12" s="1"/>
  <c r="AH272" i="12"/>
  <c r="AF272" i="12"/>
  <c r="N272" i="12"/>
  <c r="M272" i="12"/>
  <c r="AC272" i="12" s="1"/>
  <c r="AH271" i="12"/>
  <c r="AF271" i="12"/>
  <c r="N271" i="12"/>
  <c r="M271" i="12"/>
  <c r="AC271" i="12" s="1"/>
  <c r="AH270" i="12"/>
  <c r="AF270" i="12"/>
  <c r="N270" i="12"/>
  <c r="M270" i="12"/>
  <c r="AC270" i="12" s="1"/>
  <c r="AH269" i="12"/>
  <c r="AF269" i="12"/>
  <c r="N269" i="12"/>
  <c r="M269" i="12"/>
  <c r="AH268" i="12"/>
  <c r="AF268" i="12"/>
  <c r="N268" i="12"/>
  <c r="M268" i="12"/>
  <c r="AC268" i="12" s="1"/>
  <c r="AH267" i="12"/>
  <c r="AF267" i="12"/>
  <c r="N267" i="12"/>
  <c r="M267" i="12"/>
  <c r="AH266" i="12"/>
  <c r="AF266" i="12"/>
  <c r="N266" i="12"/>
  <c r="M266" i="12"/>
  <c r="AC266" i="12" s="1"/>
  <c r="AH265" i="12"/>
  <c r="AF265" i="12"/>
  <c r="N265" i="12"/>
  <c r="M265" i="12"/>
  <c r="AC265" i="12" s="1"/>
  <c r="AH264" i="12"/>
  <c r="AF264" i="12"/>
  <c r="N264" i="12"/>
  <c r="M264" i="12"/>
  <c r="AC264" i="12" s="1"/>
  <c r="AH263" i="12"/>
  <c r="AF263" i="12"/>
  <c r="N263" i="12"/>
  <c r="M263" i="12"/>
  <c r="AC263" i="12" s="1"/>
  <c r="AH262" i="12"/>
  <c r="AF262" i="12"/>
  <c r="N262" i="12"/>
  <c r="M262" i="12"/>
  <c r="AC262" i="12" s="1"/>
  <c r="AH261" i="12"/>
  <c r="AF261" i="12"/>
  <c r="N261" i="12"/>
  <c r="M261" i="12"/>
  <c r="AC261" i="12" s="1"/>
  <c r="AH260" i="12"/>
  <c r="AF260" i="12"/>
  <c r="N260" i="12"/>
  <c r="M260" i="12"/>
  <c r="AH259" i="12"/>
  <c r="AF259" i="12"/>
  <c r="N259" i="12"/>
  <c r="M259" i="12"/>
  <c r="AC259" i="12" s="1"/>
  <c r="AH258" i="12"/>
  <c r="AF258" i="12"/>
  <c r="N258" i="12"/>
  <c r="M258" i="12"/>
  <c r="AC258" i="12" s="1"/>
  <c r="AH257" i="12"/>
  <c r="AF257" i="12"/>
  <c r="N257" i="12"/>
  <c r="M257" i="12"/>
  <c r="AC257" i="12" s="1"/>
  <c r="AH256" i="12"/>
  <c r="AF256" i="12"/>
  <c r="N256" i="12"/>
  <c r="M256" i="12"/>
  <c r="AC256" i="12" s="1"/>
  <c r="AH255" i="12"/>
  <c r="AF255" i="12"/>
  <c r="N255" i="12"/>
  <c r="M255" i="12"/>
  <c r="AC255" i="12" s="1"/>
  <c r="AH254" i="12"/>
  <c r="AF254" i="12"/>
  <c r="N254" i="12"/>
  <c r="M254" i="12"/>
  <c r="AC254" i="12" s="1"/>
  <c r="AH253" i="12"/>
  <c r="AF253" i="12"/>
  <c r="N253" i="12"/>
  <c r="M253" i="12"/>
  <c r="AH252" i="12"/>
  <c r="AF252" i="12"/>
  <c r="N252" i="12"/>
  <c r="M252" i="12"/>
  <c r="AC252" i="12" s="1"/>
  <c r="AH251" i="12"/>
  <c r="AF251" i="12"/>
  <c r="N251" i="12"/>
  <c r="M251" i="12"/>
  <c r="AC251" i="12" s="1"/>
  <c r="AH250" i="12"/>
  <c r="AF250" i="12"/>
  <c r="N250" i="12"/>
  <c r="M250" i="12"/>
  <c r="AC250" i="12" s="1"/>
  <c r="AH249" i="12"/>
  <c r="AF249" i="12"/>
  <c r="N249" i="12"/>
  <c r="M249" i="12"/>
  <c r="AC249" i="12" s="1"/>
  <c r="AH248" i="12"/>
  <c r="AF248" i="12"/>
  <c r="N248" i="12"/>
  <c r="M248" i="12"/>
  <c r="AC248" i="12" s="1"/>
  <c r="AH247" i="12"/>
  <c r="AF247" i="12"/>
  <c r="N247" i="12"/>
  <c r="M247" i="12"/>
  <c r="AC247" i="12" s="1"/>
  <c r="AH246" i="12"/>
  <c r="AF246" i="12"/>
  <c r="N246" i="12"/>
  <c r="M246" i="12"/>
  <c r="AC246" i="12" s="1"/>
  <c r="AH245" i="12"/>
  <c r="AF245" i="12"/>
  <c r="N245" i="12"/>
  <c r="M245" i="12"/>
  <c r="AH244" i="12"/>
  <c r="AF244" i="12"/>
  <c r="N244" i="12"/>
  <c r="M244" i="12"/>
  <c r="AC244" i="12" s="1"/>
  <c r="AH243" i="12"/>
  <c r="AF243" i="12"/>
  <c r="N243" i="12"/>
  <c r="M243" i="12"/>
  <c r="AC243" i="12" s="1"/>
  <c r="AH242" i="12"/>
  <c r="AF242" i="12"/>
  <c r="N242" i="12"/>
  <c r="M242" i="12"/>
  <c r="AC242" i="12" s="1"/>
  <c r="AH241" i="12"/>
  <c r="AF241" i="12"/>
  <c r="N241" i="12"/>
  <c r="M241" i="12"/>
  <c r="AC241" i="12" s="1"/>
  <c r="AH240" i="12"/>
  <c r="AF240" i="12"/>
  <c r="N240" i="12"/>
  <c r="M240" i="12"/>
  <c r="AC240" i="12" s="1"/>
  <c r="AH239" i="12"/>
  <c r="AF239" i="12"/>
  <c r="N239" i="12"/>
  <c r="M239" i="12"/>
  <c r="AC239" i="12" s="1"/>
  <c r="AH238" i="12"/>
  <c r="AF238" i="12"/>
  <c r="N238" i="12"/>
  <c r="M238" i="12"/>
  <c r="AC238" i="12" s="1"/>
  <c r="AH237" i="12"/>
  <c r="AF237" i="12"/>
  <c r="N237" i="12"/>
  <c r="M237" i="12"/>
  <c r="AH236" i="12"/>
  <c r="AF236" i="12"/>
  <c r="N236" i="12"/>
  <c r="M236" i="12"/>
  <c r="AH235" i="12"/>
  <c r="AF235" i="12"/>
  <c r="N235" i="12"/>
  <c r="M235" i="12"/>
  <c r="AC235" i="12" s="1"/>
  <c r="AH234" i="12"/>
  <c r="AF234" i="12"/>
  <c r="N234" i="12"/>
  <c r="M234" i="12"/>
  <c r="AC234" i="12" s="1"/>
  <c r="AH233" i="12"/>
  <c r="AF233" i="12"/>
  <c r="N233" i="12"/>
  <c r="M233" i="12"/>
  <c r="AC233" i="12" s="1"/>
  <c r="AH232" i="12"/>
  <c r="AF232" i="12"/>
  <c r="N232" i="12"/>
  <c r="M232" i="12"/>
  <c r="AC232" i="12" s="1"/>
  <c r="AH231" i="12"/>
  <c r="AF231" i="12"/>
  <c r="N231" i="12"/>
  <c r="M231" i="12"/>
  <c r="AC231" i="12" s="1"/>
  <c r="AH230" i="12"/>
  <c r="AF230" i="12"/>
  <c r="N230" i="12"/>
  <c r="M230" i="12"/>
  <c r="AC230" i="12" s="1"/>
  <c r="AH229" i="12"/>
  <c r="AF229" i="12"/>
  <c r="N229" i="12"/>
  <c r="M229" i="12"/>
  <c r="AH228" i="12"/>
  <c r="AF228" i="12"/>
  <c r="N228" i="12"/>
  <c r="M228" i="12"/>
  <c r="AC228" i="12" s="1"/>
  <c r="AH227" i="12"/>
  <c r="AF227" i="12"/>
  <c r="N227" i="12"/>
  <c r="M227" i="12"/>
  <c r="AC227" i="12" s="1"/>
  <c r="AH226" i="12"/>
  <c r="AF226" i="12"/>
  <c r="N226" i="12"/>
  <c r="M226" i="12"/>
  <c r="AC226" i="12" s="1"/>
  <c r="AH225" i="12"/>
  <c r="AF225" i="12"/>
  <c r="N225" i="12"/>
  <c r="M225" i="12"/>
  <c r="AC225" i="12" s="1"/>
  <c r="AH224" i="12"/>
  <c r="AF224" i="12"/>
  <c r="N224" i="12"/>
  <c r="M224" i="12"/>
  <c r="AC224" i="12" s="1"/>
  <c r="AH223" i="12"/>
  <c r="AF223" i="12"/>
  <c r="N223" i="12"/>
  <c r="M223" i="12"/>
  <c r="AC223" i="12" s="1"/>
  <c r="AH222" i="12"/>
  <c r="AF222" i="12"/>
  <c r="N222" i="12"/>
  <c r="M222" i="12"/>
  <c r="AC222" i="12" s="1"/>
  <c r="AH221" i="12"/>
  <c r="AF221" i="12"/>
  <c r="N221" i="12"/>
  <c r="M221" i="12"/>
  <c r="AH220" i="12"/>
  <c r="AF220" i="12"/>
  <c r="N220" i="12"/>
  <c r="M220" i="12"/>
  <c r="AC220" i="12" s="1"/>
  <c r="AH219" i="12"/>
  <c r="AF219" i="12"/>
  <c r="N219" i="12"/>
  <c r="M219" i="12"/>
  <c r="AC219" i="12" s="1"/>
  <c r="AH218" i="12"/>
  <c r="AF218" i="12"/>
  <c r="N218" i="12"/>
  <c r="M218" i="12"/>
  <c r="AC218" i="12" s="1"/>
  <c r="AH217" i="12"/>
  <c r="AF217" i="12"/>
  <c r="N217" i="12"/>
  <c r="M217" i="12"/>
  <c r="AC217" i="12" s="1"/>
  <c r="AH216" i="12"/>
  <c r="AF216" i="12"/>
  <c r="N216" i="12"/>
  <c r="M216" i="12"/>
  <c r="AC216" i="12" s="1"/>
  <c r="AH215" i="12"/>
  <c r="AF215" i="12"/>
  <c r="N215" i="12"/>
  <c r="M215" i="12"/>
  <c r="AC215" i="12" s="1"/>
  <c r="AH214" i="12"/>
  <c r="AF214" i="12"/>
  <c r="N214" i="12"/>
  <c r="M214" i="12"/>
  <c r="AC214" i="12" s="1"/>
  <c r="AH213" i="12"/>
  <c r="AF213" i="12"/>
  <c r="N213" i="12"/>
  <c r="M213" i="12"/>
  <c r="AC213" i="12" s="1"/>
  <c r="AH212" i="12"/>
  <c r="AF212" i="12"/>
  <c r="N212" i="12"/>
  <c r="M212" i="12"/>
  <c r="AC212" i="12" s="1"/>
  <c r="AH211" i="12"/>
  <c r="AF211" i="12"/>
  <c r="N211" i="12"/>
  <c r="M211" i="12"/>
  <c r="AC211" i="12" s="1"/>
  <c r="AH210" i="12"/>
  <c r="AF210" i="12"/>
  <c r="N210" i="12"/>
  <c r="M210" i="12"/>
  <c r="AC210" i="12" s="1"/>
  <c r="AH209" i="12"/>
  <c r="AF209" i="12"/>
  <c r="N209" i="12"/>
  <c r="M209" i="12"/>
  <c r="AC209" i="12" s="1"/>
  <c r="AH208" i="12"/>
  <c r="AF208" i="12"/>
  <c r="N208" i="12"/>
  <c r="M208" i="12"/>
  <c r="AC208" i="12" s="1"/>
  <c r="AH207" i="12"/>
  <c r="AF207" i="12"/>
  <c r="N207" i="12"/>
  <c r="M207" i="12"/>
  <c r="AC207" i="12" s="1"/>
  <c r="AH206" i="12"/>
  <c r="AF206" i="12"/>
  <c r="N206" i="12"/>
  <c r="M206" i="12"/>
  <c r="AC206" i="12" s="1"/>
  <c r="AH205" i="12"/>
  <c r="AF205" i="12"/>
  <c r="N205" i="12"/>
  <c r="M205" i="12"/>
  <c r="AH204" i="12"/>
  <c r="AF204" i="12"/>
  <c r="N204" i="12"/>
  <c r="M204" i="12"/>
  <c r="AH203" i="12"/>
  <c r="AF203" i="12"/>
  <c r="N203" i="12"/>
  <c r="M203" i="12"/>
  <c r="AC203" i="12" s="1"/>
  <c r="AH202" i="12"/>
  <c r="AF202" i="12"/>
  <c r="N202" i="12"/>
  <c r="M202" i="12"/>
  <c r="AC202" i="12" s="1"/>
  <c r="AH201" i="12"/>
  <c r="AF201" i="12"/>
  <c r="N201" i="12"/>
  <c r="M201" i="12"/>
  <c r="AC201" i="12" s="1"/>
  <c r="AH200" i="12"/>
  <c r="AF200" i="12"/>
  <c r="N200" i="12"/>
  <c r="M200" i="12"/>
  <c r="AC200" i="12" s="1"/>
  <c r="AH199" i="12"/>
  <c r="AF199" i="12"/>
  <c r="N199" i="12"/>
  <c r="M199" i="12"/>
  <c r="AC199" i="12" s="1"/>
  <c r="AH198" i="12"/>
  <c r="AF198" i="12"/>
  <c r="N198" i="12"/>
  <c r="M198" i="12"/>
  <c r="AC198" i="12" s="1"/>
  <c r="AH197" i="12"/>
  <c r="AF197" i="12"/>
  <c r="N197" i="12"/>
  <c r="M197" i="12"/>
  <c r="AH196" i="12"/>
  <c r="AF196" i="12"/>
  <c r="N196" i="12"/>
  <c r="M196" i="12"/>
  <c r="AC196" i="12" s="1"/>
  <c r="AH195" i="12"/>
  <c r="AF195" i="12"/>
  <c r="N195" i="12"/>
  <c r="M195" i="12"/>
  <c r="AC195" i="12" s="1"/>
  <c r="AH194" i="12"/>
  <c r="AF194" i="12"/>
  <c r="N194" i="12"/>
  <c r="M194" i="12"/>
  <c r="AC194" i="12" s="1"/>
  <c r="AH193" i="12"/>
  <c r="AF193" i="12"/>
  <c r="N193" i="12"/>
  <c r="M193" i="12"/>
  <c r="AC193" i="12" s="1"/>
  <c r="AH192" i="12"/>
  <c r="AF192" i="12"/>
  <c r="N192" i="12"/>
  <c r="M192" i="12"/>
  <c r="AC192" i="12" s="1"/>
  <c r="AH191" i="12"/>
  <c r="AF191" i="12"/>
  <c r="N191" i="12"/>
  <c r="M191" i="12"/>
  <c r="AC191" i="12" s="1"/>
  <c r="AH190" i="12"/>
  <c r="AF190" i="12"/>
  <c r="N190" i="12"/>
  <c r="M190" i="12"/>
  <c r="AC190" i="12" s="1"/>
  <c r="AH189" i="12"/>
  <c r="AF189" i="12"/>
  <c r="N189" i="12"/>
  <c r="M189" i="12"/>
  <c r="AH188" i="12"/>
  <c r="AF188" i="12"/>
  <c r="N188" i="12"/>
  <c r="M188" i="12"/>
  <c r="AC188" i="12" s="1"/>
  <c r="AH187" i="12"/>
  <c r="AF187" i="12"/>
  <c r="N187" i="12"/>
  <c r="M187" i="12"/>
  <c r="AC187" i="12" s="1"/>
  <c r="AH186" i="12"/>
  <c r="AF186" i="12"/>
  <c r="N186" i="12"/>
  <c r="M186" i="12"/>
  <c r="AC186" i="12" s="1"/>
  <c r="AH185" i="12"/>
  <c r="AF185" i="12"/>
  <c r="N185" i="12"/>
  <c r="M185" i="12"/>
  <c r="AC185" i="12" s="1"/>
  <c r="AH184" i="12"/>
  <c r="AF184" i="12"/>
  <c r="N184" i="12"/>
  <c r="M184" i="12"/>
  <c r="AC184" i="12" s="1"/>
  <c r="AH183" i="12"/>
  <c r="AF183" i="12"/>
  <c r="N183" i="12"/>
  <c r="M183" i="12"/>
  <c r="AC183" i="12" s="1"/>
  <c r="AH182" i="12"/>
  <c r="AF182" i="12"/>
  <c r="N182" i="12"/>
  <c r="M182" i="12"/>
  <c r="AH181" i="12"/>
  <c r="AF181" i="12"/>
  <c r="N181" i="12"/>
  <c r="M181" i="12"/>
  <c r="AC181" i="12" s="1"/>
  <c r="AH180" i="12"/>
  <c r="AF180" i="12"/>
  <c r="N180" i="12"/>
  <c r="M180" i="12"/>
  <c r="AC180" i="12" s="1"/>
  <c r="AH179" i="12"/>
  <c r="AF179" i="12"/>
  <c r="N179" i="12"/>
  <c r="M179" i="12"/>
  <c r="AC179" i="12" s="1"/>
  <c r="AH178" i="12"/>
  <c r="AF178" i="12"/>
  <c r="N178" i="12"/>
  <c r="M178" i="12"/>
  <c r="AC178" i="12" s="1"/>
  <c r="AH177" i="12"/>
  <c r="AF177" i="12"/>
  <c r="N177" i="12"/>
  <c r="M177" i="12"/>
  <c r="AC177" i="12" s="1"/>
  <c r="AH176" i="12"/>
  <c r="AF176" i="12"/>
  <c r="N176" i="12"/>
  <c r="M176" i="12"/>
  <c r="AC176" i="12" s="1"/>
  <c r="AH175" i="12"/>
  <c r="AF175" i="12"/>
  <c r="N175" i="12"/>
  <c r="M175" i="12"/>
  <c r="AC175" i="12" s="1"/>
  <c r="AH174" i="12"/>
  <c r="AF174" i="12"/>
  <c r="N174" i="12"/>
  <c r="M174" i="12"/>
  <c r="AC174" i="12" s="1"/>
  <c r="AH173" i="12"/>
  <c r="AF173" i="12"/>
  <c r="N173" i="12"/>
  <c r="M173" i="12"/>
  <c r="AC173" i="12" s="1"/>
  <c r="AH172" i="12"/>
  <c r="AF172" i="12"/>
  <c r="N172" i="12"/>
  <c r="M172" i="12"/>
  <c r="AH171" i="12"/>
  <c r="AF171" i="12"/>
  <c r="N171" i="12"/>
  <c r="M171" i="12"/>
  <c r="AC171" i="12" s="1"/>
  <c r="AH170" i="12"/>
  <c r="AF170" i="12"/>
  <c r="N170" i="12"/>
  <c r="M170" i="12"/>
  <c r="AC170" i="12" s="1"/>
  <c r="AH169" i="12"/>
  <c r="AF169" i="12"/>
  <c r="N169" i="12"/>
  <c r="M169" i="12"/>
  <c r="AC169" i="12" s="1"/>
  <c r="AH168" i="12"/>
  <c r="AF168" i="12"/>
  <c r="N168" i="12"/>
  <c r="M168" i="12"/>
  <c r="AC168" i="12" s="1"/>
  <c r="AH167" i="12"/>
  <c r="AF167" i="12"/>
  <c r="N167" i="12"/>
  <c r="M167" i="12"/>
  <c r="AC167" i="12" s="1"/>
  <c r="AH166" i="12"/>
  <c r="AF166" i="12"/>
  <c r="N166" i="12"/>
  <c r="M166" i="12"/>
  <c r="AC166" i="12" s="1"/>
  <c r="AH165" i="12"/>
  <c r="AF165" i="12"/>
  <c r="N165" i="12"/>
  <c r="M165" i="12"/>
  <c r="AC165" i="12" s="1"/>
  <c r="AH164" i="12"/>
  <c r="AF164" i="12"/>
  <c r="N164" i="12"/>
  <c r="M164" i="12"/>
  <c r="AC164" i="12" s="1"/>
  <c r="AH163" i="12"/>
  <c r="AF163" i="12"/>
  <c r="N163" i="12"/>
  <c r="M163" i="12"/>
  <c r="AC163" i="12" s="1"/>
  <c r="AH162" i="12"/>
  <c r="AF162" i="12"/>
  <c r="N162" i="12"/>
  <c r="M162" i="12"/>
  <c r="AC162" i="12" s="1"/>
  <c r="AH161" i="12"/>
  <c r="AF161" i="12"/>
  <c r="N161" i="12"/>
  <c r="M161" i="12"/>
  <c r="AC161" i="12" s="1"/>
  <c r="AH160" i="12"/>
  <c r="AF160" i="12"/>
  <c r="N160" i="12"/>
  <c r="M160" i="12"/>
  <c r="AC160" i="12" s="1"/>
  <c r="AH159" i="12"/>
  <c r="AF159" i="12"/>
  <c r="N159" i="12"/>
  <c r="M159" i="12"/>
  <c r="AC159" i="12" s="1"/>
  <c r="AH158" i="12"/>
  <c r="AF158" i="12"/>
  <c r="N158" i="12"/>
  <c r="M158" i="12"/>
  <c r="AC158" i="12" s="1"/>
  <c r="AH157" i="12"/>
  <c r="AF157" i="12"/>
  <c r="N157" i="12"/>
  <c r="M157" i="12"/>
  <c r="AC157" i="12" s="1"/>
  <c r="AH156" i="12"/>
  <c r="AF156" i="12"/>
  <c r="N156" i="12"/>
  <c r="M156" i="12"/>
  <c r="AC156" i="12" s="1"/>
  <c r="AH155" i="12"/>
  <c r="AF155" i="12"/>
  <c r="N155" i="12"/>
  <c r="M155" i="12"/>
  <c r="AC155" i="12" s="1"/>
  <c r="AH154" i="12"/>
  <c r="AF154" i="12"/>
  <c r="N154" i="12"/>
  <c r="M154" i="12"/>
  <c r="AH153" i="12"/>
  <c r="AF153" i="12"/>
  <c r="N153" i="12"/>
  <c r="M153" i="12"/>
  <c r="AC153" i="12" s="1"/>
  <c r="AH152" i="12"/>
  <c r="AF152" i="12"/>
  <c r="N152" i="12"/>
  <c r="M152" i="12"/>
  <c r="AC152" i="12" s="1"/>
  <c r="AH151" i="12"/>
  <c r="AF151" i="12"/>
  <c r="N151" i="12"/>
  <c r="M151" i="12"/>
  <c r="AC151" i="12" s="1"/>
  <c r="AH150" i="12"/>
  <c r="AF150" i="12"/>
  <c r="N150" i="12"/>
  <c r="M150" i="12"/>
  <c r="AC150" i="12" s="1"/>
  <c r="AH149" i="12"/>
  <c r="AF149" i="12"/>
  <c r="N149" i="12"/>
  <c r="M149" i="12"/>
  <c r="AC149" i="12" s="1"/>
  <c r="AH148" i="12"/>
  <c r="AF148" i="12"/>
  <c r="N148" i="12"/>
  <c r="M148" i="12"/>
  <c r="AC148" i="12" s="1"/>
  <c r="AH147" i="12"/>
  <c r="AF147" i="12"/>
  <c r="N147" i="12"/>
  <c r="M147" i="12"/>
  <c r="AC147" i="12" s="1"/>
  <c r="AH146" i="12"/>
  <c r="AF146" i="12"/>
  <c r="N146" i="12"/>
  <c r="M146" i="12"/>
  <c r="AC146" i="12" s="1"/>
  <c r="AH145" i="12"/>
  <c r="AF145" i="12"/>
  <c r="N145" i="12"/>
  <c r="M145" i="12"/>
  <c r="AC145" i="12" s="1"/>
  <c r="AH144" i="12"/>
  <c r="AF144" i="12"/>
  <c r="N144" i="12"/>
  <c r="M144" i="12"/>
  <c r="AC144" i="12" s="1"/>
  <c r="AH143" i="12"/>
  <c r="AF143" i="12"/>
  <c r="N143" i="12"/>
  <c r="M143" i="12"/>
  <c r="AC143" i="12" s="1"/>
  <c r="AH142" i="12"/>
  <c r="AF142" i="12"/>
  <c r="N142" i="12"/>
  <c r="M142" i="12"/>
  <c r="AC142" i="12" s="1"/>
  <c r="AH141" i="12"/>
  <c r="AF141" i="12"/>
  <c r="N141" i="12"/>
  <c r="M141" i="12"/>
  <c r="AC141" i="12" s="1"/>
  <c r="AH140" i="12"/>
  <c r="AF140" i="12"/>
  <c r="N140" i="12"/>
  <c r="M140" i="12"/>
  <c r="AC140" i="12" s="1"/>
  <c r="AH139" i="12"/>
  <c r="AF139" i="12"/>
  <c r="N139" i="12"/>
  <c r="M139" i="12"/>
  <c r="AC139" i="12" s="1"/>
  <c r="AH138" i="12"/>
  <c r="AF138" i="12"/>
  <c r="N138" i="12"/>
  <c r="M138" i="12"/>
  <c r="AC138" i="12" s="1"/>
  <c r="AH137" i="12"/>
  <c r="AF137" i="12"/>
  <c r="N137" i="12"/>
  <c r="M137" i="12"/>
  <c r="AC137" i="12" s="1"/>
  <c r="AH136" i="12"/>
  <c r="AF136" i="12"/>
  <c r="N136" i="12"/>
  <c r="M136" i="12"/>
  <c r="AC136" i="12" s="1"/>
  <c r="AH135" i="12"/>
  <c r="AF135" i="12"/>
  <c r="N135" i="12"/>
  <c r="M135" i="12"/>
  <c r="AC135" i="12" s="1"/>
  <c r="AH134" i="12"/>
  <c r="AF134" i="12"/>
  <c r="N134" i="12"/>
  <c r="M134" i="12"/>
  <c r="AH133" i="12"/>
  <c r="AF133" i="12"/>
  <c r="N133" i="12"/>
  <c r="M133" i="12"/>
  <c r="AC133" i="12" s="1"/>
  <c r="AH132" i="12"/>
  <c r="AF132" i="12"/>
  <c r="N132" i="12"/>
  <c r="M132" i="12"/>
  <c r="AC132" i="12" s="1"/>
  <c r="AH131" i="12"/>
  <c r="AF131" i="12"/>
  <c r="N131" i="12"/>
  <c r="M131" i="12"/>
  <c r="AC131" i="12" s="1"/>
  <c r="AH130" i="12"/>
  <c r="AF130" i="12"/>
  <c r="N130" i="12"/>
  <c r="M130" i="12"/>
  <c r="AH129" i="12"/>
  <c r="AF129" i="12"/>
  <c r="N129" i="12"/>
  <c r="M129" i="12"/>
  <c r="AC129" i="12" s="1"/>
  <c r="AH128" i="12"/>
  <c r="AF128" i="12"/>
  <c r="N128" i="12"/>
  <c r="M128" i="12"/>
  <c r="AC128" i="12" s="1"/>
  <c r="AH127" i="12"/>
  <c r="AF127" i="12"/>
  <c r="N127" i="12"/>
  <c r="M127" i="12"/>
  <c r="AC127" i="12" s="1"/>
  <c r="AH126" i="12"/>
  <c r="AF126" i="12"/>
  <c r="N126" i="12"/>
  <c r="M126" i="12"/>
  <c r="AH125" i="12"/>
  <c r="AF125" i="12"/>
  <c r="N125" i="12"/>
  <c r="M125" i="12"/>
  <c r="AC125" i="12" s="1"/>
  <c r="AH124" i="12"/>
  <c r="AF124" i="12"/>
  <c r="N124" i="12"/>
  <c r="M124" i="12"/>
  <c r="AC124" i="12" s="1"/>
  <c r="AH123" i="12"/>
  <c r="AF123" i="12"/>
  <c r="N123" i="12"/>
  <c r="M123" i="12"/>
  <c r="AC123" i="12" s="1"/>
  <c r="AH122" i="12"/>
  <c r="AF122" i="12"/>
  <c r="N122" i="12"/>
  <c r="M122" i="12"/>
  <c r="AC122" i="12" s="1"/>
  <c r="AH121" i="12"/>
  <c r="AF121" i="12"/>
  <c r="N121" i="12"/>
  <c r="M121" i="12"/>
  <c r="AC121" i="12" s="1"/>
  <c r="AH120" i="12"/>
  <c r="AF120" i="12"/>
  <c r="N120" i="12"/>
  <c r="M120" i="12"/>
  <c r="AC120" i="12" s="1"/>
  <c r="AH119" i="12"/>
  <c r="AF119" i="12"/>
  <c r="N119" i="12"/>
  <c r="M119" i="12"/>
  <c r="AC119" i="12" s="1"/>
  <c r="AH118" i="12"/>
  <c r="AF118" i="12"/>
  <c r="N118" i="12"/>
  <c r="M118" i="12"/>
  <c r="AC118" i="12" s="1"/>
  <c r="AH117" i="12"/>
  <c r="AF117" i="12"/>
  <c r="N117" i="12"/>
  <c r="M117" i="12"/>
  <c r="AH116" i="12"/>
  <c r="AF116" i="12"/>
  <c r="N116" i="12"/>
  <c r="M116" i="12"/>
  <c r="AC116" i="12" s="1"/>
  <c r="AH115" i="12"/>
  <c r="AF115" i="12"/>
  <c r="N115" i="12"/>
  <c r="M115" i="12"/>
  <c r="AC115" i="12" s="1"/>
  <c r="AH114" i="12"/>
  <c r="AF114" i="12"/>
  <c r="N114" i="12"/>
  <c r="M114" i="12"/>
  <c r="AC114" i="12" s="1"/>
  <c r="AH113" i="12"/>
  <c r="AF113" i="12"/>
  <c r="N113" i="12"/>
  <c r="M113" i="12"/>
  <c r="AC113" i="12" s="1"/>
  <c r="AH112" i="12"/>
  <c r="AF112" i="12"/>
  <c r="N112" i="12"/>
  <c r="M112" i="12"/>
  <c r="AC112" i="12" s="1"/>
  <c r="AH111" i="12"/>
  <c r="AF111" i="12"/>
  <c r="N111" i="12"/>
  <c r="M111" i="12"/>
  <c r="AC111" i="12" s="1"/>
  <c r="AH110" i="12"/>
  <c r="AF110" i="12"/>
  <c r="N110" i="12"/>
  <c r="M110" i="12"/>
  <c r="AH109" i="12"/>
  <c r="AF109" i="12"/>
  <c r="N109" i="12"/>
  <c r="M109" i="12"/>
  <c r="AC109" i="12" s="1"/>
  <c r="AH108" i="12"/>
  <c r="AF108" i="12"/>
  <c r="N108" i="12"/>
  <c r="M108" i="12"/>
  <c r="AC108" i="12" s="1"/>
  <c r="AH107" i="12"/>
  <c r="AF107" i="12"/>
  <c r="N107" i="12"/>
  <c r="M107" i="12"/>
  <c r="AC107" i="12" s="1"/>
  <c r="AH106" i="12"/>
  <c r="AF106" i="12"/>
  <c r="N106" i="12"/>
  <c r="M106" i="12"/>
  <c r="AC106" i="12" s="1"/>
  <c r="AH105" i="12"/>
  <c r="AF105" i="12"/>
  <c r="N105" i="12"/>
  <c r="M105" i="12"/>
  <c r="AC105" i="12" s="1"/>
  <c r="AH104" i="12"/>
  <c r="AF104" i="12"/>
  <c r="N104" i="12"/>
  <c r="M104" i="12"/>
  <c r="AC104" i="12" s="1"/>
  <c r="AH103" i="12"/>
  <c r="AF103" i="12"/>
  <c r="N103" i="12"/>
  <c r="M103" i="12"/>
  <c r="AC103" i="12" s="1"/>
  <c r="AH102" i="12"/>
  <c r="AF102" i="12"/>
  <c r="N102" i="12"/>
  <c r="M102" i="12"/>
  <c r="AH101" i="12"/>
  <c r="AF101" i="12"/>
  <c r="N101" i="12"/>
  <c r="M101" i="12"/>
  <c r="AC101" i="12" s="1"/>
  <c r="AH100" i="12"/>
  <c r="AF100" i="12"/>
  <c r="N100" i="12"/>
  <c r="M100" i="12"/>
  <c r="AC100" i="12" s="1"/>
  <c r="AH99" i="12"/>
  <c r="AF99" i="12"/>
  <c r="N99" i="12"/>
  <c r="M99" i="12"/>
  <c r="AC99" i="12" s="1"/>
  <c r="AH98" i="12"/>
  <c r="AF98" i="12"/>
  <c r="N98" i="12"/>
  <c r="M98" i="12"/>
  <c r="AC98" i="12" s="1"/>
  <c r="AH97" i="12"/>
  <c r="AF97" i="12"/>
  <c r="N97" i="12"/>
  <c r="M97" i="12"/>
  <c r="AC97" i="12" s="1"/>
  <c r="AH96" i="12"/>
  <c r="AF96" i="12"/>
  <c r="N96" i="12"/>
  <c r="M96" i="12"/>
  <c r="AC96" i="12" s="1"/>
  <c r="AH95" i="12"/>
  <c r="AF95" i="12"/>
  <c r="N95" i="12"/>
  <c r="M95" i="12"/>
  <c r="AC95" i="12" s="1"/>
  <c r="AH94" i="12"/>
  <c r="AF94" i="12"/>
  <c r="N94" i="12"/>
  <c r="M94" i="12"/>
  <c r="AH93" i="12"/>
  <c r="AF93" i="12"/>
  <c r="N93" i="12"/>
  <c r="M93" i="12"/>
  <c r="AC93" i="12" s="1"/>
  <c r="AH92" i="12"/>
  <c r="AF92" i="12"/>
  <c r="N92" i="12"/>
  <c r="M92" i="12"/>
  <c r="AC92" i="12" s="1"/>
  <c r="AH91" i="12"/>
  <c r="AF91" i="12"/>
  <c r="N91" i="12"/>
  <c r="M91" i="12"/>
  <c r="AC91" i="12" s="1"/>
  <c r="AH90" i="12"/>
  <c r="AF90" i="12"/>
  <c r="N90" i="12"/>
  <c r="M90" i="12"/>
  <c r="AC90" i="12" s="1"/>
  <c r="AH89" i="12"/>
  <c r="AF89" i="12"/>
  <c r="N89" i="12"/>
  <c r="M89" i="12"/>
  <c r="AC89" i="12" s="1"/>
  <c r="AH88" i="12"/>
  <c r="AF88" i="12"/>
  <c r="N88" i="12"/>
  <c r="M88" i="12"/>
  <c r="AC88" i="12" s="1"/>
  <c r="AH87" i="12"/>
  <c r="AF87" i="12"/>
  <c r="N87" i="12"/>
  <c r="M87" i="12"/>
  <c r="AC87" i="12" s="1"/>
  <c r="AH86" i="12"/>
  <c r="AF86" i="12"/>
  <c r="N86" i="12"/>
  <c r="M86" i="12"/>
  <c r="AH85" i="12"/>
  <c r="AF85" i="12"/>
  <c r="N85" i="12"/>
  <c r="M85" i="12"/>
  <c r="AC85" i="12" s="1"/>
  <c r="AH84" i="12"/>
  <c r="AF84" i="12"/>
  <c r="N84" i="12"/>
  <c r="M84" i="12"/>
  <c r="AC84" i="12" s="1"/>
  <c r="AH83" i="12"/>
  <c r="AF83" i="12"/>
  <c r="N83" i="12"/>
  <c r="M83" i="12"/>
  <c r="AC83" i="12" s="1"/>
  <c r="AH82" i="12"/>
  <c r="AF82" i="12"/>
  <c r="N82" i="12"/>
  <c r="M82" i="12"/>
  <c r="AH81" i="12"/>
  <c r="AF81" i="12"/>
  <c r="N81" i="12"/>
  <c r="M81" i="12"/>
  <c r="AC81" i="12" s="1"/>
  <c r="AH80" i="12"/>
  <c r="AF80" i="12"/>
  <c r="N80" i="12"/>
  <c r="M80" i="12"/>
  <c r="AC80" i="12" s="1"/>
  <c r="AH79" i="12"/>
  <c r="AF79" i="12"/>
  <c r="N79" i="12"/>
  <c r="M79" i="12"/>
  <c r="AC79" i="12" s="1"/>
  <c r="AH78" i="12"/>
  <c r="AF78" i="12"/>
  <c r="N78" i="12"/>
  <c r="M78" i="12"/>
  <c r="AH77" i="12"/>
  <c r="AF77" i="12"/>
  <c r="N77" i="12"/>
  <c r="M77" i="12"/>
  <c r="AC77" i="12" s="1"/>
  <c r="AH76" i="12"/>
  <c r="AF76" i="12"/>
  <c r="N76" i="12"/>
  <c r="M76" i="12"/>
  <c r="AC76" i="12" s="1"/>
  <c r="AH75" i="12"/>
  <c r="AF75" i="12"/>
  <c r="N75" i="12"/>
  <c r="M75" i="12"/>
  <c r="AC75" i="12" s="1"/>
  <c r="AH74" i="12"/>
  <c r="AF74" i="12"/>
  <c r="N74" i="12"/>
  <c r="M74" i="12"/>
  <c r="AC74" i="12" s="1"/>
  <c r="AH73" i="12"/>
  <c r="AF73" i="12"/>
  <c r="N73" i="12"/>
  <c r="M73" i="12"/>
  <c r="AC73" i="12" s="1"/>
  <c r="AH72" i="12"/>
  <c r="AF72" i="12"/>
  <c r="N72" i="12"/>
  <c r="M72" i="12"/>
  <c r="AC72" i="12" s="1"/>
  <c r="AH71" i="12"/>
  <c r="AF71" i="12"/>
  <c r="N71" i="12"/>
  <c r="M71" i="12"/>
  <c r="AC71" i="12" s="1"/>
  <c r="AH70" i="12"/>
  <c r="AF70" i="12"/>
  <c r="N70" i="12"/>
  <c r="M70" i="12"/>
  <c r="AH69" i="12"/>
  <c r="AF69" i="12"/>
  <c r="N69" i="12"/>
  <c r="M69" i="12"/>
  <c r="AC69" i="12" s="1"/>
  <c r="AH68" i="12"/>
  <c r="AF68" i="12"/>
  <c r="N68" i="12"/>
  <c r="M68" i="12"/>
  <c r="AC68" i="12" s="1"/>
  <c r="AH67" i="12"/>
  <c r="AF67" i="12"/>
  <c r="N67" i="12"/>
  <c r="M67" i="12"/>
  <c r="AC67" i="12" s="1"/>
  <c r="AH66" i="12"/>
  <c r="AF66" i="12"/>
  <c r="N66" i="12"/>
  <c r="M66" i="12"/>
  <c r="AC66" i="12" s="1"/>
  <c r="AH65" i="12"/>
  <c r="AF65" i="12"/>
  <c r="N65" i="12"/>
  <c r="M65" i="12"/>
  <c r="AC65" i="12" s="1"/>
  <c r="AH64" i="12"/>
  <c r="AF64" i="12"/>
  <c r="N64" i="12"/>
  <c r="M64" i="12"/>
  <c r="AC64" i="12" s="1"/>
  <c r="AH63" i="12"/>
  <c r="AF63" i="12"/>
  <c r="N63" i="12"/>
  <c r="M63" i="12"/>
  <c r="AC63" i="12" s="1"/>
  <c r="AH62" i="12"/>
  <c r="AF62" i="12"/>
  <c r="N62" i="12"/>
  <c r="M62" i="12"/>
  <c r="AH61" i="12"/>
  <c r="AF61" i="12"/>
  <c r="N61" i="12"/>
  <c r="M61" i="12"/>
  <c r="AC61" i="12" s="1"/>
  <c r="AH60" i="12"/>
  <c r="AF60" i="12"/>
  <c r="N60" i="12"/>
  <c r="M60" i="12"/>
  <c r="AC60" i="12" s="1"/>
  <c r="AH59" i="12"/>
  <c r="AF59" i="12"/>
  <c r="N59" i="12"/>
  <c r="M59" i="12"/>
  <c r="AC59" i="12" s="1"/>
  <c r="AH58" i="12"/>
  <c r="AF58" i="12"/>
  <c r="N58" i="12"/>
  <c r="M58" i="12"/>
  <c r="AC58" i="12" s="1"/>
  <c r="AH57" i="12"/>
  <c r="AF57" i="12"/>
  <c r="N57" i="12"/>
  <c r="M57" i="12"/>
  <c r="AC57" i="12" s="1"/>
  <c r="AH56" i="12"/>
  <c r="AF56" i="12"/>
  <c r="N56" i="12"/>
  <c r="M56" i="12"/>
  <c r="AC56" i="12" s="1"/>
  <c r="AH55" i="12"/>
  <c r="AF55" i="12"/>
  <c r="N55" i="12"/>
  <c r="M55" i="12"/>
  <c r="AC55" i="12" s="1"/>
  <c r="AH54" i="12"/>
  <c r="AF54" i="12"/>
  <c r="N54" i="12"/>
  <c r="M54" i="12"/>
  <c r="AH53" i="12"/>
  <c r="AF53" i="12"/>
  <c r="N53" i="12"/>
  <c r="M53" i="12"/>
  <c r="AC53" i="12" s="1"/>
  <c r="AH52" i="12"/>
  <c r="AF52" i="12"/>
  <c r="N52" i="12"/>
  <c r="M52" i="12"/>
  <c r="AC52" i="12" s="1"/>
  <c r="AH51" i="12"/>
  <c r="AF51" i="12"/>
  <c r="N51" i="12"/>
  <c r="M51" i="12"/>
  <c r="AC51" i="12" s="1"/>
  <c r="AH50" i="12"/>
  <c r="AF50" i="12"/>
  <c r="N50" i="12"/>
  <c r="M50" i="12"/>
  <c r="AH49" i="12"/>
  <c r="AF49" i="12"/>
  <c r="N49" i="12"/>
  <c r="M49" i="12"/>
  <c r="AC49" i="12" s="1"/>
  <c r="AH48" i="12"/>
  <c r="AF48" i="12"/>
  <c r="N48" i="12"/>
  <c r="M48" i="12"/>
  <c r="AC48" i="12" s="1"/>
  <c r="AH47" i="12"/>
  <c r="AF47" i="12"/>
  <c r="N47" i="12"/>
  <c r="M47" i="12"/>
  <c r="AC47" i="12" s="1"/>
  <c r="AH46" i="12"/>
  <c r="AF46" i="12"/>
  <c r="N46" i="12"/>
  <c r="M46" i="12"/>
  <c r="AH45" i="12"/>
  <c r="AF45" i="12"/>
  <c r="N45" i="12"/>
  <c r="M45" i="12"/>
  <c r="AC45" i="12" s="1"/>
  <c r="AH44" i="12"/>
  <c r="AF44" i="12"/>
  <c r="N44" i="12"/>
  <c r="M44" i="12"/>
  <c r="AC44" i="12" s="1"/>
  <c r="AH43" i="12"/>
  <c r="AF43" i="12"/>
  <c r="N43" i="12"/>
  <c r="M43" i="12"/>
  <c r="AC43" i="12" s="1"/>
  <c r="AH42" i="12"/>
  <c r="AF42" i="12"/>
  <c r="N42" i="12"/>
  <c r="M42" i="12"/>
  <c r="AH41" i="12"/>
  <c r="AF41" i="12"/>
  <c r="N41" i="12"/>
  <c r="M41" i="12"/>
  <c r="AC41" i="12" s="1"/>
  <c r="AH40" i="12"/>
  <c r="AF40" i="12"/>
  <c r="N40" i="12"/>
  <c r="M40" i="12"/>
  <c r="AC40" i="12" s="1"/>
  <c r="AH39" i="12"/>
  <c r="AF39" i="12"/>
  <c r="N39" i="12"/>
  <c r="M39" i="12"/>
  <c r="AC39" i="12" s="1"/>
  <c r="AH38" i="12"/>
  <c r="AF38" i="12"/>
  <c r="N38" i="12"/>
  <c r="M38" i="12"/>
  <c r="AH37" i="12"/>
  <c r="AF37" i="12"/>
  <c r="N37" i="12"/>
  <c r="M37" i="12"/>
  <c r="AC37" i="12" s="1"/>
  <c r="AH36" i="12"/>
  <c r="AF36" i="12"/>
  <c r="N36" i="12"/>
  <c r="M36" i="12"/>
  <c r="AC36" i="12" s="1"/>
  <c r="AH35" i="12"/>
  <c r="AF35" i="12"/>
  <c r="N35" i="12"/>
  <c r="M35" i="12"/>
  <c r="AC35" i="12" s="1"/>
  <c r="AH34" i="12"/>
  <c r="AF34" i="12"/>
  <c r="N34" i="12"/>
  <c r="M34" i="12"/>
  <c r="AC34" i="12" s="1"/>
  <c r="AH33" i="12"/>
  <c r="AF33" i="12"/>
  <c r="N33" i="12"/>
  <c r="M33" i="12"/>
  <c r="AC33" i="12" s="1"/>
  <c r="AH32" i="12"/>
  <c r="AF32" i="12"/>
  <c r="N32" i="12"/>
  <c r="M32" i="12"/>
  <c r="AC32" i="12" s="1"/>
  <c r="AH31" i="12"/>
  <c r="AF31" i="12"/>
  <c r="N31" i="12"/>
  <c r="M31" i="12"/>
  <c r="AC31" i="12" s="1"/>
  <c r="G31" i="12"/>
  <c r="AH30" i="12"/>
  <c r="AF30" i="12"/>
  <c r="N30" i="12"/>
  <c r="M30" i="12"/>
  <c r="AC30" i="12" s="1"/>
  <c r="AH29" i="12"/>
  <c r="AF29" i="12"/>
  <c r="N29" i="12"/>
  <c r="M29" i="12"/>
  <c r="AH28" i="12"/>
  <c r="AF28" i="12"/>
  <c r="N28" i="12"/>
  <c r="M28" i="12"/>
  <c r="AH27" i="12"/>
  <c r="AF27" i="12"/>
  <c r="N27" i="12"/>
  <c r="M27" i="12"/>
  <c r="AC27" i="12" s="1"/>
  <c r="AH26" i="12"/>
  <c r="AF26" i="12"/>
  <c r="N26" i="12"/>
  <c r="M26" i="12"/>
  <c r="AC26" i="12" s="1"/>
  <c r="AH25" i="12"/>
  <c r="AF25" i="12"/>
  <c r="N25" i="12"/>
  <c r="M25" i="12"/>
  <c r="AC25" i="12" s="1"/>
  <c r="AH24" i="12"/>
  <c r="AF24" i="12"/>
  <c r="N24" i="12"/>
  <c r="M24" i="12"/>
  <c r="AC24" i="12" s="1"/>
  <c r="AH23" i="12"/>
  <c r="AF23" i="12"/>
  <c r="N23" i="12"/>
  <c r="M23" i="12"/>
  <c r="AC23" i="12" s="1"/>
  <c r="AH22" i="12"/>
  <c r="AF22" i="12"/>
  <c r="N22" i="12"/>
  <c r="M22" i="12"/>
  <c r="AC22" i="12" s="1"/>
  <c r="AH21" i="12"/>
  <c r="AF21" i="12"/>
  <c r="N21" i="12"/>
  <c r="M21" i="12"/>
  <c r="AH20" i="12"/>
  <c r="AF20" i="12"/>
  <c r="N20" i="12"/>
  <c r="M20" i="12"/>
  <c r="AC20" i="12" s="1"/>
  <c r="AH19" i="12"/>
  <c r="AF19" i="12"/>
  <c r="N19" i="12"/>
  <c r="M19" i="12"/>
  <c r="AC19" i="12" s="1"/>
  <c r="AH18" i="12"/>
  <c r="AF18" i="12"/>
  <c r="N18" i="12"/>
  <c r="M18" i="12"/>
  <c r="AC18" i="12" s="1"/>
  <c r="AH17" i="12"/>
  <c r="AF17" i="12"/>
  <c r="N17" i="12"/>
  <c r="M17" i="12"/>
  <c r="AC17" i="12" s="1"/>
  <c r="AH16" i="12"/>
  <c r="AF16" i="12"/>
  <c r="N16" i="12"/>
  <c r="M16" i="12"/>
  <c r="AH15" i="12"/>
  <c r="AF15" i="12"/>
  <c r="N15" i="12"/>
  <c r="M15" i="12"/>
  <c r="AC15" i="12" s="1"/>
  <c r="AH14" i="12"/>
  <c r="AF14" i="12"/>
  <c r="N14" i="12"/>
  <c r="M14" i="12"/>
  <c r="AC14" i="12" s="1"/>
  <c r="AH13" i="12"/>
  <c r="AF13" i="12"/>
  <c r="N13" i="12"/>
  <c r="M13" i="12"/>
  <c r="AH12" i="12"/>
  <c r="AF12" i="12"/>
  <c r="N12" i="12"/>
  <c r="M12" i="12"/>
  <c r="AC12" i="12" s="1"/>
  <c r="AH11" i="12"/>
  <c r="AF11" i="12"/>
  <c r="N11" i="12"/>
  <c r="M11" i="12"/>
  <c r="AC11" i="12" s="1"/>
  <c r="AH10" i="12"/>
  <c r="AF10" i="12"/>
  <c r="N10" i="12"/>
  <c r="M10" i="12"/>
  <c r="AC10" i="12" s="1"/>
  <c r="AH9" i="12"/>
  <c r="AF9" i="12"/>
  <c r="N9" i="12"/>
  <c r="M9" i="12"/>
  <c r="AC9" i="12" s="1"/>
  <c r="AH8" i="12"/>
  <c r="AF8" i="12"/>
  <c r="N8" i="12"/>
  <c r="M8" i="12"/>
  <c r="AC8" i="12" s="1"/>
  <c r="AH7" i="12"/>
  <c r="AF7" i="12"/>
  <c r="N7" i="12"/>
  <c r="M7" i="12"/>
  <c r="AC7" i="12" s="1"/>
  <c r="AH6" i="12"/>
  <c r="AF6" i="12"/>
  <c r="N6" i="12"/>
  <c r="M6" i="12"/>
  <c r="AC6" i="12" s="1"/>
  <c r="AH5" i="12"/>
  <c r="AF5" i="12"/>
  <c r="N5" i="12"/>
  <c r="M5" i="12"/>
  <c r="AH4" i="12"/>
  <c r="AF4" i="12"/>
  <c r="N4" i="12"/>
  <c r="M4" i="12"/>
  <c r="AH3" i="12"/>
  <c r="AF3" i="12"/>
  <c r="N3" i="12"/>
  <c r="M3" i="12"/>
  <c r="AC3" i="12" s="1"/>
  <c r="AJ275" i="12" l="1"/>
  <c r="AI281" i="12"/>
  <c r="AI283" i="12"/>
  <c r="AJ387" i="12"/>
  <c r="AJ206" i="12"/>
  <c r="AJ218" i="12"/>
  <c r="AJ230" i="12"/>
  <c r="AJ252" i="12"/>
  <c r="AJ254" i="12"/>
  <c r="AJ270" i="12"/>
  <c r="AI274" i="12"/>
  <c r="AJ290" i="12"/>
  <c r="AJ294" i="12"/>
  <c r="AJ302" i="12"/>
  <c r="AJ318" i="12"/>
  <c r="AJ382" i="12"/>
  <c r="AJ381" i="12"/>
  <c r="AJ45" i="12"/>
  <c r="AJ53" i="12"/>
  <c r="AJ61" i="12"/>
  <c r="AJ179" i="12"/>
  <c r="AJ181" i="12"/>
  <c r="AJ213" i="12"/>
  <c r="AI237" i="12"/>
  <c r="AJ241" i="12"/>
  <c r="AJ198" i="12"/>
  <c r="AJ171" i="12"/>
  <c r="AI206" i="12"/>
  <c r="AI28" i="12"/>
  <c r="AJ52" i="12"/>
  <c r="AJ127" i="12"/>
  <c r="AI293" i="12"/>
  <c r="AI301" i="12"/>
  <c r="AI309" i="12"/>
  <c r="AJ315" i="12"/>
  <c r="AI325" i="12"/>
  <c r="AI23" i="12"/>
  <c r="AJ100" i="12"/>
  <c r="AI126" i="12"/>
  <c r="AJ138" i="12"/>
  <c r="AJ150" i="12"/>
  <c r="AJ170" i="12"/>
  <c r="AI341" i="12"/>
  <c r="AI373" i="12"/>
  <c r="AI38" i="12"/>
  <c r="AI42" i="12"/>
  <c r="AI182" i="12"/>
  <c r="AI134" i="12"/>
  <c r="AJ195" i="12"/>
  <c r="AI310" i="12"/>
  <c r="AI336" i="12"/>
  <c r="AJ259" i="12"/>
  <c r="AI370" i="12"/>
  <c r="AI186" i="12"/>
  <c r="AI190" i="12"/>
  <c r="AC126" i="12"/>
  <c r="AJ126" i="12" s="1"/>
  <c r="AC134" i="12"/>
  <c r="AJ134" i="12" s="1"/>
  <c r="AI230" i="12"/>
  <c r="AJ244" i="12"/>
  <c r="AI181" i="12"/>
  <c r="AJ307" i="12"/>
  <c r="AJ51" i="12"/>
  <c r="AI145" i="12"/>
  <c r="AI163" i="12"/>
  <c r="AJ128" i="12"/>
  <c r="AI132" i="12"/>
  <c r="AI52" i="12"/>
  <c r="AI140" i="12"/>
  <c r="AJ144" i="12"/>
  <c r="AI146" i="12"/>
  <c r="AI150" i="12"/>
  <c r="AJ162" i="12"/>
  <c r="AI340" i="12"/>
  <c r="AJ8" i="12"/>
  <c r="AI12" i="12"/>
  <c r="AI20" i="12"/>
  <c r="AC28" i="12"/>
  <c r="AJ28" i="12" s="1"/>
  <c r="AJ75" i="12"/>
  <c r="AI114" i="12"/>
  <c r="AI116" i="12"/>
  <c r="AI122" i="12"/>
  <c r="AI170" i="12"/>
  <c r="AI201" i="12"/>
  <c r="AJ203" i="12"/>
  <c r="AI286" i="12"/>
  <c r="AI348" i="12"/>
  <c r="AJ135" i="12"/>
  <c r="AI234" i="12"/>
  <c r="AI238" i="12"/>
  <c r="AJ298" i="12"/>
  <c r="AJ356" i="12"/>
  <c r="AJ389" i="12"/>
  <c r="AI368" i="12"/>
  <c r="AJ41" i="12"/>
  <c r="AI376" i="12"/>
  <c r="AI9" i="12"/>
  <c r="AI11" i="12"/>
  <c r="AJ76" i="12"/>
  <c r="AJ115" i="12"/>
  <c r="AJ121" i="12"/>
  <c r="AI219" i="12"/>
  <c r="AJ227" i="12"/>
  <c r="AI312" i="12"/>
  <c r="AJ322" i="12"/>
  <c r="AI332" i="12"/>
  <c r="AI345" i="12"/>
  <c r="AJ347" i="12"/>
  <c r="AI84" i="12"/>
  <c r="AI268" i="12"/>
  <c r="AJ299" i="12"/>
  <c r="AJ355" i="12"/>
  <c r="AJ174" i="12"/>
  <c r="AI130" i="12"/>
  <c r="AI244" i="12"/>
  <c r="AI307" i="12"/>
  <c r="AJ330" i="12"/>
  <c r="AJ9" i="12"/>
  <c r="AJ34" i="12"/>
  <c r="AI50" i="12"/>
  <c r="AI75" i="12"/>
  <c r="AJ77" i="12"/>
  <c r="AJ90" i="12"/>
  <c r="AJ107" i="12"/>
  <c r="AJ122" i="12"/>
  <c r="AI138" i="12"/>
  <c r="AI189" i="12"/>
  <c r="AJ235" i="12"/>
  <c r="AC274" i="12"/>
  <c r="AJ274" i="12" s="1"/>
  <c r="AI302" i="12"/>
  <c r="AI322" i="12"/>
  <c r="AJ344" i="12"/>
  <c r="AJ353" i="12"/>
  <c r="AJ385" i="12"/>
  <c r="AI387" i="12"/>
  <c r="AJ211" i="12"/>
  <c r="AJ37" i="12"/>
  <c r="AJ44" i="12"/>
  <c r="AJ59" i="12"/>
  <c r="AI66" i="12"/>
  <c r="AJ68" i="12"/>
  <c r="AJ93" i="12"/>
  <c r="AI98" i="12"/>
  <c r="AI107" i="12"/>
  <c r="AI109" i="12"/>
  <c r="AI151" i="12"/>
  <c r="AI197" i="12"/>
  <c r="AI198" i="12"/>
  <c r="AI218" i="12"/>
  <c r="AJ234" i="12"/>
  <c r="AJ238" i="12"/>
  <c r="AI245" i="12"/>
  <c r="AI252" i="12"/>
  <c r="AJ262" i="12"/>
  <c r="AI265" i="12"/>
  <c r="AJ291" i="12"/>
  <c r="AC301" i="12"/>
  <c r="AJ301" i="12" s="1"/>
  <c r="AJ310" i="12"/>
  <c r="AI337" i="12"/>
  <c r="AJ345" i="12"/>
  <c r="AJ348" i="12"/>
  <c r="AJ358" i="12"/>
  <c r="AJ266" i="12"/>
  <c r="AI326" i="12"/>
  <c r="AJ371" i="12"/>
  <c r="AI7" i="12"/>
  <c r="AI26" i="12"/>
  <c r="AI100" i="12"/>
  <c r="AI4" i="12"/>
  <c r="AJ26" i="12"/>
  <c r="AJ84" i="12"/>
  <c r="AJ146" i="12"/>
  <c r="AI154" i="12"/>
  <c r="AI213" i="12"/>
  <c r="AI258" i="12"/>
  <c r="AI277" i="12"/>
  <c r="AI278" i="12"/>
  <c r="AI321" i="12"/>
  <c r="AJ332" i="12"/>
  <c r="AI352" i="12"/>
  <c r="AJ366" i="12"/>
  <c r="AI68" i="12"/>
  <c r="AI82" i="12"/>
  <c r="AJ83" i="12"/>
  <c r="AI241" i="12"/>
  <c r="AJ12" i="12"/>
  <c r="AI16" i="12"/>
  <c r="AJ27" i="12"/>
  <c r="AC82" i="12"/>
  <c r="AJ82" i="12" s="1"/>
  <c r="AJ101" i="12"/>
  <c r="AJ158" i="12"/>
  <c r="AJ166" i="12"/>
  <c r="AJ178" i="12"/>
  <c r="AI205" i="12"/>
  <c r="AI229" i="12"/>
  <c r="AJ281" i="12"/>
  <c r="AJ283" i="12"/>
  <c r="AI333" i="12"/>
  <c r="AJ386" i="12"/>
  <c r="AI3" i="12"/>
  <c r="AI61" i="12"/>
  <c r="AJ153" i="12"/>
  <c r="AI43" i="12"/>
  <c r="AI45" i="12"/>
  <c r="AJ251" i="12"/>
  <c r="AJ273" i="12"/>
  <c r="AI290" i="12"/>
  <c r="AI294" i="12"/>
  <c r="AI338" i="12"/>
  <c r="AJ346" i="12"/>
  <c r="AJ169" i="12"/>
  <c r="AI25" i="12"/>
  <c r="AI33" i="12"/>
  <c r="AI77" i="12"/>
  <c r="AI99" i="12"/>
  <c r="AJ106" i="12"/>
  <c r="AI128" i="12"/>
  <c r="AC130" i="12"/>
  <c r="AJ130" i="12" s="1"/>
  <c r="AI139" i="12"/>
  <c r="AI144" i="12"/>
  <c r="AJ151" i="12"/>
  <c r="AI152" i="12"/>
  <c r="AI162" i="12"/>
  <c r="AC182" i="12"/>
  <c r="AJ182" i="12" s="1"/>
  <c r="AJ190" i="12"/>
  <c r="AI195" i="12"/>
  <c r="AC197" i="12"/>
  <c r="AJ197" i="12" s="1"/>
  <c r="AI203" i="12"/>
  <c r="AI235" i="12"/>
  <c r="AC237" i="12"/>
  <c r="AJ237" i="12" s="1"/>
  <c r="AJ265" i="12"/>
  <c r="AI291" i="12"/>
  <c r="AI299" i="12"/>
  <c r="AJ314" i="12"/>
  <c r="AJ362" i="12"/>
  <c r="AI379" i="12"/>
  <c r="AJ336" i="12"/>
  <c r="AJ337" i="12"/>
  <c r="AC16" i="12"/>
  <c r="AJ16" i="12" s="1"/>
  <c r="AJ60" i="12"/>
  <c r="AI35" i="12"/>
  <c r="AJ69" i="12"/>
  <c r="AJ91" i="12"/>
  <c r="AJ108" i="12"/>
  <c r="AJ120" i="12"/>
  <c r="AI133" i="12"/>
  <c r="AJ149" i="12"/>
  <c r="AJ152" i="12"/>
  <c r="AI173" i="12"/>
  <c r="AC189" i="12"/>
  <c r="AJ189" i="12" s="1"/>
  <c r="AJ220" i="12"/>
  <c r="AI222" i="12"/>
  <c r="AI227" i="12"/>
  <c r="AI261" i="12"/>
  <c r="AI262" i="12"/>
  <c r="AI275" i="12"/>
  <c r="AC277" i="12"/>
  <c r="AJ277" i="12" s="1"/>
  <c r="AI317" i="12"/>
  <c r="AC325" i="12"/>
  <c r="AJ325" i="12" s="1"/>
  <c r="AI344" i="12"/>
  <c r="AI366" i="12"/>
  <c r="AJ379" i="12"/>
  <c r="AI389" i="12"/>
  <c r="AI10" i="12"/>
  <c r="AI21" i="12"/>
  <c r="AI29" i="12"/>
  <c r="AC42" i="12"/>
  <c r="AJ42" i="12" s="1"/>
  <c r="AJ43" i="12"/>
  <c r="AC50" i="12"/>
  <c r="AJ50" i="12" s="1"/>
  <c r="AI17" i="12"/>
  <c r="AI13" i="12"/>
  <c r="AJ17" i="12"/>
  <c r="AI19" i="12"/>
  <c r="AC21" i="12"/>
  <c r="AJ21" i="12" s="1"/>
  <c r="AC29" i="12"/>
  <c r="AJ29" i="12" s="1"/>
  <c r="AJ35" i="12"/>
  <c r="AJ67" i="12"/>
  <c r="AJ74" i="12"/>
  <c r="AI91" i="12"/>
  <c r="AJ129" i="12"/>
  <c r="AJ159" i="12"/>
  <c r="AJ163" i="12"/>
  <c r="AI166" i="12"/>
  <c r="AI174" i="12"/>
  <c r="AJ187" i="12"/>
  <c r="AJ210" i="12"/>
  <c r="AJ212" i="12"/>
  <c r="AI221" i="12"/>
  <c r="AJ222" i="12"/>
  <c r="AI257" i="12"/>
  <c r="AJ268" i="12"/>
  <c r="AI298" i="12"/>
  <c r="AI318" i="12"/>
  <c r="AI330" i="12"/>
  <c r="AJ334" i="12"/>
  <c r="AJ350" i="12"/>
  <c r="AJ58" i="12"/>
  <c r="AJ109" i="12"/>
  <c r="AJ20" i="12"/>
  <c r="AI32" i="12"/>
  <c r="AJ36" i="12"/>
  <c r="AI37" i="12"/>
  <c r="AI93" i="12"/>
  <c r="AJ161" i="12"/>
  <c r="AI171" i="12"/>
  <c r="AJ173" i="12"/>
  <c r="AJ186" i="12"/>
  <c r="AJ194" i="12"/>
  <c r="AJ202" i="12"/>
  <c r="AJ214" i="12"/>
  <c r="AI242" i="12"/>
  <c r="AJ246" i="12"/>
  <c r="AJ261" i="12"/>
  <c r="AC317" i="12"/>
  <c r="AJ317" i="12" s="1"/>
  <c r="AJ342" i="12"/>
  <c r="AI346" i="12"/>
  <c r="AI356" i="12"/>
  <c r="AI371" i="12"/>
  <c r="AI382" i="12"/>
  <c r="AI386" i="12"/>
  <c r="AI5" i="12"/>
  <c r="AJ18" i="12"/>
  <c r="AJ24" i="12"/>
  <c r="AI59" i="12"/>
  <c r="AJ85" i="12"/>
  <c r="AJ123" i="12"/>
  <c r="AJ157" i="12"/>
  <c r="AI158" i="12"/>
  <c r="AJ219" i="12"/>
  <c r="AJ226" i="12"/>
  <c r="AJ233" i="12"/>
  <c r="AJ242" i="12"/>
  <c r="AI254" i="12"/>
  <c r="AJ282" i="12"/>
  <c r="AJ286" i="12"/>
  <c r="AJ289" i="12"/>
  <c r="AJ313" i="12"/>
  <c r="AJ331" i="12"/>
  <c r="AJ378" i="12"/>
  <c r="AJ3" i="12"/>
  <c r="AI8" i="12"/>
  <c r="AJ92" i="12"/>
  <c r="AJ278" i="12"/>
  <c r="AJ326" i="12"/>
  <c r="AI353" i="12"/>
  <c r="AJ370" i="12"/>
  <c r="AI381" i="12"/>
  <c r="AI385" i="12"/>
  <c r="AC172" i="12"/>
  <c r="AJ172" i="12" s="1"/>
  <c r="AI172" i="12"/>
  <c r="AJ247" i="12"/>
  <c r="AI247" i="12"/>
  <c r="AJ359" i="12"/>
  <c r="AI359" i="12"/>
  <c r="AJ15" i="12"/>
  <c r="AI34" i="12"/>
  <c r="AJ71" i="12"/>
  <c r="AJ384" i="12"/>
  <c r="AI384" i="12"/>
  <c r="AC5" i="12"/>
  <c r="AJ5" i="12" s="1"/>
  <c r="AJ6" i="12"/>
  <c r="AI6" i="12"/>
  <c r="AI41" i="12"/>
  <c r="AI51" i="12"/>
  <c r="AI83" i="12"/>
  <c r="AJ361" i="12"/>
  <c r="AJ363" i="12"/>
  <c r="AI363" i="12"/>
  <c r="AC300" i="12"/>
  <c r="AJ300" i="12" s="1"/>
  <c r="AI300" i="12"/>
  <c r="AJ306" i="12"/>
  <c r="AI306" i="12"/>
  <c r="AJ329" i="12"/>
  <c r="AI329" i="12"/>
  <c r="AJ55" i="12"/>
  <c r="AJ87" i="12"/>
  <c r="AI106" i="12"/>
  <c r="AI117" i="12"/>
  <c r="AC117" i="12"/>
  <c r="AJ117" i="12" s="1"/>
  <c r="AI121" i="12"/>
  <c r="AI209" i="12"/>
  <c r="AJ209" i="12"/>
  <c r="AJ225" i="12"/>
  <c r="AI225" i="12"/>
  <c r="AC260" i="12"/>
  <c r="AJ260" i="12" s="1"/>
  <c r="AI260" i="12"/>
  <c r="AI24" i="12"/>
  <c r="AJ25" i="12"/>
  <c r="AJ112" i="12"/>
  <c r="AI127" i="12"/>
  <c r="AJ249" i="12"/>
  <c r="AC4" i="12"/>
  <c r="AJ4" i="12" s="1"/>
  <c r="AJ89" i="12"/>
  <c r="AI89" i="12"/>
  <c r="AJ99" i="12"/>
  <c r="AJ105" i="12"/>
  <c r="AI105" i="12"/>
  <c r="AI70" i="12"/>
  <c r="AC70" i="12"/>
  <c r="AJ70" i="12" s="1"/>
  <c r="AJ143" i="12"/>
  <c r="AI143" i="12"/>
  <c r="AJ215" i="12"/>
  <c r="AI215" i="12"/>
  <c r="AC276" i="12"/>
  <c r="AJ276" i="12" s="1"/>
  <c r="AI276" i="12"/>
  <c r="AJ11" i="12"/>
  <c r="AI15" i="12"/>
  <c r="AJ64" i="12"/>
  <c r="AJ96" i="12"/>
  <c r="AI115" i="12"/>
  <c r="AJ118" i="12"/>
  <c r="AI155" i="12"/>
  <c r="AJ155" i="12"/>
  <c r="AI233" i="12"/>
  <c r="AJ321" i="12"/>
  <c r="AJ258" i="12"/>
  <c r="AI349" i="12"/>
  <c r="AC349" i="12"/>
  <c r="AJ349" i="12" s="1"/>
  <c r="AC380" i="12"/>
  <c r="AJ380" i="12" s="1"/>
  <c r="AI380" i="12"/>
  <c r="AC388" i="12"/>
  <c r="AJ388" i="12" s="1"/>
  <c r="AI388" i="12"/>
  <c r="AJ10" i="12"/>
  <c r="AC13" i="12"/>
  <c r="AJ13" i="12" s="1"/>
  <c r="AJ14" i="12"/>
  <c r="AI14" i="12"/>
  <c r="AJ19" i="12"/>
  <c r="AJ40" i="12"/>
  <c r="AI40" i="12"/>
  <c r="AI44" i="12"/>
  <c r="AI46" i="12"/>
  <c r="AC46" i="12"/>
  <c r="AJ46" i="12" s="1"/>
  <c r="AI60" i="12"/>
  <c r="AI62" i="12"/>
  <c r="AC62" i="12"/>
  <c r="AJ62" i="12" s="1"/>
  <c r="AJ66" i="12"/>
  <c r="AI76" i="12"/>
  <c r="AI78" i="12"/>
  <c r="AC78" i="12"/>
  <c r="AJ78" i="12" s="1"/>
  <c r="AI92" i="12"/>
  <c r="AI94" i="12"/>
  <c r="AC94" i="12"/>
  <c r="AJ94" i="12" s="1"/>
  <c r="AJ98" i="12"/>
  <c r="AI108" i="12"/>
  <c r="AI110" i="12"/>
  <c r="AC110" i="12"/>
  <c r="AJ110" i="12" s="1"/>
  <c r="AJ114" i="12"/>
  <c r="AI120" i="12"/>
  <c r="AJ133" i="12"/>
  <c r="AJ136" i="12"/>
  <c r="AJ139" i="12"/>
  <c r="AJ145" i="12"/>
  <c r="AI157" i="12"/>
  <c r="AJ160" i="12"/>
  <c r="AI160" i="12"/>
  <c r="AJ180" i="12"/>
  <c r="AJ183" i="12"/>
  <c r="AI183" i="12"/>
  <c r="AI202" i="12"/>
  <c r="AC204" i="12"/>
  <c r="AJ204" i="12" s="1"/>
  <c r="AI204" i="12"/>
  <c r="AC221" i="12"/>
  <c r="AJ221" i="12" s="1"/>
  <c r="AC229" i="12"/>
  <c r="AJ229" i="12" s="1"/>
  <c r="AI251" i="12"/>
  <c r="AI253" i="12"/>
  <c r="AC253" i="12"/>
  <c r="AJ253" i="12" s="1"/>
  <c r="AJ257" i="12"/>
  <c r="AI313" i="12"/>
  <c r="AI315" i="12"/>
  <c r="AI347" i="12"/>
  <c r="AI355" i="12"/>
  <c r="AJ30" i="12"/>
  <c r="AI30" i="12"/>
  <c r="AI54" i="12"/>
  <c r="AC54" i="12"/>
  <c r="AJ54" i="12" s="1"/>
  <c r="AC236" i="12"/>
  <c r="AJ236" i="12" s="1"/>
  <c r="AI236" i="12"/>
  <c r="AC292" i="12"/>
  <c r="AJ292" i="12" s="1"/>
  <c r="AI292" i="12"/>
  <c r="AI58" i="12"/>
  <c r="AJ48" i="12"/>
  <c r="AJ80" i="12"/>
  <c r="AC205" i="12"/>
  <c r="AJ205" i="12" s="1"/>
  <c r="AI273" i="12"/>
  <c r="AJ297" i="12"/>
  <c r="AI297" i="12"/>
  <c r="AJ33" i="12"/>
  <c r="AC154" i="12"/>
  <c r="AJ154" i="12" s="1"/>
  <c r="AI178" i="12"/>
  <c r="AI269" i="12"/>
  <c r="AC269" i="12"/>
  <c r="AJ269" i="12" s="1"/>
  <c r="AJ339" i="12"/>
  <c r="AI339" i="12"/>
  <c r="AI357" i="12"/>
  <c r="AC357" i="12"/>
  <c r="AJ357" i="12" s="1"/>
  <c r="AI18" i="12"/>
  <c r="AI27" i="12"/>
  <c r="AI36" i="12"/>
  <c r="AJ47" i="12"/>
  <c r="AJ63" i="12"/>
  <c r="AJ79" i="12"/>
  <c r="AJ95" i="12"/>
  <c r="AJ111" i="12"/>
  <c r="AI129" i="12"/>
  <c r="AJ132" i="12"/>
  <c r="AI177" i="12"/>
  <c r="AJ177" i="12"/>
  <c r="AJ188" i="12"/>
  <c r="AJ193" i="12"/>
  <c r="AI193" i="12"/>
  <c r="AJ201" i="12"/>
  <c r="AJ240" i="12"/>
  <c r="AI240" i="12"/>
  <c r="AC309" i="12"/>
  <c r="AJ309" i="12" s="1"/>
  <c r="AJ367" i="12"/>
  <c r="AI367" i="12"/>
  <c r="AC372" i="12"/>
  <c r="AJ372" i="12" s="1"/>
  <c r="AI372" i="12"/>
  <c r="AI378" i="12"/>
  <c r="AI102" i="12"/>
  <c r="AC102" i="12"/>
  <c r="AJ102" i="12" s="1"/>
  <c r="AI365" i="12"/>
  <c r="AC365" i="12"/>
  <c r="AJ365" i="12" s="1"/>
  <c r="AJ103" i="12"/>
  <c r="AJ137" i="12"/>
  <c r="AI137" i="12"/>
  <c r="AI187" i="12"/>
  <c r="AC323" i="12"/>
  <c r="AJ323" i="12" s="1"/>
  <c r="AI323" i="12"/>
  <c r="AI67" i="12"/>
  <c r="AI161" i="12"/>
  <c r="AI169" i="12"/>
  <c r="AC267" i="12"/>
  <c r="AJ267" i="12" s="1"/>
  <c r="AI267" i="12"/>
  <c r="AI289" i="12"/>
  <c r="AJ23" i="12"/>
  <c r="AJ57" i="12"/>
  <c r="AI57" i="12"/>
  <c r="AI211" i="12"/>
  <c r="AJ320" i="12"/>
  <c r="AI320" i="12"/>
  <c r="AJ31" i="12"/>
  <c r="AI31" i="12"/>
  <c r="AI53" i="12"/>
  <c r="AJ72" i="12"/>
  <c r="AI85" i="12"/>
  <c r="AJ104" i="12"/>
  <c r="AJ141" i="12"/>
  <c r="AJ156" i="12"/>
  <c r="AJ165" i="12"/>
  <c r="AJ185" i="12"/>
  <c r="AI185" i="12"/>
  <c r="AJ243" i="12"/>
  <c r="AJ264" i="12"/>
  <c r="AI264" i="12"/>
  <c r="AJ280" i="12"/>
  <c r="AI280" i="12"/>
  <c r="AI86" i="12"/>
  <c r="AC86" i="12"/>
  <c r="AJ86" i="12" s="1"/>
  <c r="AI74" i="12"/>
  <c r="AI90" i="12"/>
  <c r="AI149" i="12"/>
  <c r="AJ217" i="12"/>
  <c r="AI217" i="12"/>
  <c r="AJ32" i="12"/>
  <c r="AJ73" i="12"/>
  <c r="AI73" i="12"/>
  <c r="AJ142" i="12"/>
  <c r="AJ175" i="12"/>
  <c r="AI175" i="12"/>
  <c r="AI194" i="12"/>
  <c r="AJ199" i="12"/>
  <c r="AI199" i="12"/>
  <c r="AI285" i="12"/>
  <c r="AC285" i="12"/>
  <c r="AJ285" i="12" s="1"/>
  <c r="AJ22" i="12"/>
  <c r="AI22" i="12"/>
  <c r="AJ56" i="12"/>
  <c r="AI69" i="12"/>
  <c r="AJ88" i="12"/>
  <c r="AI101" i="12"/>
  <c r="AJ7" i="12"/>
  <c r="AC38" i="12"/>
  <c r="AJ38" i="12" s="1"/>
  <c r="AJ39" i="12"/>
  <c r="AJ49" i="12"/>
  <c r="AI49" i="12"/>
  <c r="AJ65" i="12"/>
  <c r="AI65" i="12"/>
  <c r="AJ81" i="12"/>
  <c r="AI81" i="12"/>
  <c r="AJ97" i="12"/>
  <c r="AI97" i="12"/>
  <c r="AJ113" i="12"/>
  <c r="AI113" i="12"/>
  <c r="AJ116" i="12"/>
  <c r="AJ119" i="12"/>
  <c r="AJ125" i="12"/>
  <c r="AI125" i="12"/>
  <c r="AI135" i="12"/>
  <c r="AI156" i="12"/>
  <c r="AJ167" i="12"/>
  <c r="AI167" i="12"/>
  <c r="AI179" i="12"/>
  <c r="AJ207" i="12"/>
  <c r="AI207" i="12"/>
  <c r="AI210" i="12"/>
  <c r="AI226" i="12"/>
  <c r="AJ231" i="12"/>
  <c r="AI231" i="12"/>
  <c r="AJ250" i="12"/>
  <c r="AI250" i="12"/>
  <c r="AI259" i="12"/>
  <c r="AI131" i="12"/>
  <c r="AJ148" i="12"/>
  <c r="AJ256" i="12"/>
  <c r="AI256" i="12"/>
  <c r="AI270" i="12"/>
  <c r="AC308" i="12"/>
  <c r="AJ308" i="12" s="1"/>
  <c r="AI308" i="12"/>
  <c r="AJ343" i="12"/>
  <c r="AI343" i="12"/>
  <c r="AJ369" i="12"/>
  <c r="AI369" i="12"/>
  <c r="AI48" i="12"/>
  <c r="AI56" i="12"/>
  <c r="AI64" i="12"/>
  <c r="AI72" i="12"/>
  <c r="AI80" i="12"/>
  <c r="AI88" i="12"/>
  <c r="AI96" i="12"/>
  <c r="AI104" i="12"/>
  <c r="AI112" i="12"/>
  <c r="AI119" i="12"/>
  <c r="AJ124" i="12"/>
  <c r="AJ131" i="12"/>
  <c r="AI136" i="12"/>
  <c r="AI142" i="12"/>
  <c r="AI148" i="12"/>
  <c r="AI165" i="12"/>
  <c r="AJ168" i="12"/>
  <c r="AI168" i="12"/>
  <c r="AJ176" i="12"/>
  <c r="AI180" i="12"/>
  <c r="AJ184" i="12"/>
  <c r="AJ192" i="12"/>
  <c r="AJ200" i="12"/>
  <c r="AI200" i="12"/>
  <c r="AJ208" i="12"/>
  <c r="AI212" i="12"/>
  <c r="AJ216" i="12"/>
  <c r="AJ224" i="12"/>
  <c r="AJ232" i="12"/>
  <c r="AI232" i="12"/>
  <c r="AJ239" i="12"/>
  <c r="AI239" i="12"/>
  <c r="AI243" i="12"/>
  <c r="AI249" i="12"/>
  <c r="AJ272" i="12"/>
  <c r="AI272" i="12"/>
  <c r="AJ305" i="12"/>
  <c r="AC316" i="12"/>
  <c r="AJ316" i="12" s="1"/>
  <c r="AI316" i="12"/>
  <c r="AC324" i="12"/>
  <c r="AJ324" i="12" s="1"/>
  <c r="AI324" i="12"/>
  <c r="AJ328" i="12"/>
  <c r="AJ377" i="12"/>
  <c r="AI39" i="12"/>
  <c r="AI47" i="12"/>
  <c r="AI55" i="12"/>
  <c r="AI63" i="12"/>
  <c r="AI71" i="12"/>
  <c r="AI79" i="12"/>
  <c r="AI87" i="12"/>
  <c r="AI95" i="12"/>
  <c r="AI103" i="12"/>
  <c r="AI111" i="12"/>
  <c r="AI118" i="12"/>
  <c r="AI124" i="12"/>
  <c r="AI141" i="12"/>
  <c r="AI147" i="12"/>
  <c r="AI153" i="12"/>
  <c r="AI159" i="12"/>
  <c r="AJ164" i="12"/>
  <c r="AI176" i="12"/>
  <c r="AI184" i="12"/>
  <c r="AI188" i="12"/>
  <c r="AI192" i="12"/>
  <c r="AJ196" i="12"/>
  <c r="AI208" i="12"/>
  <c r="AI216" i="12"/>
  <c r="AI220" i="12"/>
  <c r="AI224" i="12"/>
  <c r="AJ228" i="12"/>
  <c r="AI246" i="12"/>
  <c r="AI266" i="12"/>
  <c r="AI282" i="12"/>
  <c r="AC284" i="12"/>
  <c r="AJ284" i="12" s="1"/>
  <c r="AI284" i="12"/>
  <c r="AC293" i="12"/>
  <c r="AJ293" i="12" s="1"/>
  <c r="AI305" i="12"/>
  <c r="AI314" i="12"/>
  <c r="AI328" i="12"/>
  <c r="AI331" i="12"/>
  <c r="AJ351" i="12"/>
  <c r="AI351" i="12"/>
  <c r="AJ354" i="12"/>
  <c r="AI354" i="12"/>
  <c r="AC364" i="12"/>
  <c r="AJ364" i="12" s="1"/>
  <c r="AI364" i="12"/>
  <c r="AJ374" i="12"/>
  <c r="AI377" i="12"/>
  <c r="AI123" i="12"/>
  <c r="AJ140" i="12"/>
  <c r="AJ147" i="12"/>
  <c r="AI164" i="12"/>
  <c r="AI196" i="12"/>
  <c r="AI228" i="12"/>
  <c r="AC245" i="12"/>
  <c r="AJ245" i="12" s="1"/>
  <c r="AJ248" i="12"/>
  <c r="AI248" i="12"/>
  <c r="AJ255" i="12"/>
  <c r="AI255" i="12"/>
  <c r="AI362" i="12"/>
  <c r="AC373" i="12"/>
  <c r="AJ373" i="12" s="1"/>
  <c r="AJ288" i="12"/>
  <c r="AJ296" i="12"/>
  <c r="AJ304" i="12"/>
  <c r="AJ312" i="12"/>
  <c r="AJ335" i="12"/>
  <c r="AI335" i="12"/>
  <c r="AI358" i="12"/>
  <c r="AJ376" i="12"/>
  <c r="AJ191" i="12"/>
  <c r="AI191" i="12"/>
  <c r="AI214" i="12"/>
  <c r="AJ223" i="12"/>
  <c r="AI223" i="12"/>
  <c r="AI288" i="12"/>
  <c r="AI296" i="12"/>
  <c r="AI304" i="12"/>
  <c r="AJ327" i="12"/>
  <c r="AI327" i="12"/>
  <c r="AI350" i="12"/>
  <c r="AI361" i="12"/>
  <c r="AJ368" i="12"/>
  <c r="AJ319" i="12"/>
  <c r="AI319" i="12"/>
  <c r="AC341" i="12"/>
  <c r="AJ341" i="12" s="1"/>
  <c r="AI342" i="12"/>
  <c r="AJ360" i="12"/>
  <c r="AJ383" i="12"/>
  <c r="AI383" i="12"/>
  <c r="AJ263" i="12"/>
  <c r="AI263" i="12"/>
  <c r="AJ271" i="12"/>
  <c r="AI271" i="12"/>
  <c r="AJ279" i="12"/>
  <c r="AI279" i="12"/>
  <c r="AJ287" i="12"/>
  <c r="AI287" i="12"/>
  <c r="AJ295" i="12"/>
  <c r="AI295" i="12"/>
  <c r="AJ303" i="12"/>
  <c r="AI303" i="12"/>
  <c r="AJ311" i="12"/>
  <c r="AI311" i="12"/>
  <c r="AC333" i="12"/>
  <c r="AJ333" i="12" s="1"/>
  <c r="AI334" i="12"/>
  <c r="AJ352" i="12"/>
  <c r="AI360" i="12"/>
  <c r="AJ375" i="12"/>
  <c r="AI375" i="12"/>
  <c r="AJ390" i="12"/>
  <c r="AI374" i="12"/>
  <c r="AI390" i="12"/>
  <c r="AH90" i="9" l="1"/>
  <c r="N3" i="10"/>
  <c r="M3" i="10"/>
  <c r="M4" i="10" l="1"/>
  <c r="N4" i="10"/>
  <c r="M5" i="10"/>
  <c r="N5" i="10"/>
  <c r="M6" i="10"/>
  <c r="N6" i="10"/>
  <c r="M7" i="10"/>
  <c r="N7" i="10"/>
  <c r="M8" i="10"/>
  <c r="N8" i="10"/>
  <c r="M9" i="10"/>
  <c r="N9" i="10"/>
  <c r="M10" i="10"/>
  <c r="N10" i="10"/>
  <c r="M11" i="10"/>
  <c r="N11" i="10"/>
  <c r="M12" i="10"/>
  <c r="N12" i="10"/>
  <c r="M13" i="10"/>
  <c r="N13" i="10"/>
  <c r="M14" i="10"/>
  <c r="N14" i="10"/>
  <c r="M15" i="10"/>
  <c r="N15" i="10"/>
  <c r="M16" i="10"/>
  <c r="N16" i="10"/>
  <c r="M17" i="10"/>
  <c r="N17" i="10"/>
  <c r="M18" i="10"/>
  <c r="N18" i="10"/>
  <c r="M19" i="10"/>
  <c r="N19" i="10"/>
  <c r="M20" i="10"/>
  <c r="N20" i="10"/>
  <c r="M21" i="10"/>
  <c r="N21" i="10"/>
  <c r="M22" i="10"/>
  <c r="N22" i="10"/>
  <c r="M23" i="10"/>
  <c r="N23" i="10"/>
  <c r="M24" i="10"/>
  <c r="N24" i="10"/>
  <c r="M25" i="10"/>
  <c r="N25" i="10"/>
  <c r="M26" i="10"/>
  <c r="N26" i="10"/>
  <c r="M27" i="10"/>
  <c r="N27" i="10"/>
  <c r="M28" i="10"/>
  <c r="N28" i="10"/>
  <c r="M29" i="10"/>
  <c r="N29" i="10"/>
  <c r="M30" i="10"/>
  <c r="N30" i="10"/>
  <c r="M31" i="10"/>
  <c r="N31" i="10"/>
  <c r="M32" i="10"/>
  <c r="N32" i="10"/>
  <c r="M33" i="10"/>
  <c r="N33" i="10"/>
  <c r="M34" i="10"/>
  <c r="N34" i="10"/>
  <c r="M35" i="10"/>
  <c r="N35" i="10"/>
  <c r="M36" i="10"/>
  <c r="N36" i="10"/>
  <c r="M37" i="10"/>
  <c r="N37" i="10"/>
  <c r="M38" i="10"/>
  <c r="N38" i="10"/>
  <c r="M39" i="10"/>
  <c r="N39" i="10"/>
  <c r="M40" i="10"/>
  <c r="N40" i="10"/>
  <c r="M41" i="10"/>
  <c r="N41" i="10"/>
  <c r="M42" i="10"/>
  <c r="N42" i="10"/>
  <c r="M43" i="10"/>
  <c r="N43" i="10"/>
  <c r="M44" i="10"/>
  <c r="N44" i="10"/>
  <c r="M45" i="10"/>
  <c r="N45" i="10"/>
  <c r="M46" i="10"/>
  <c r="N46" i="10"/>
  <c r="M47" i="10"/>
  <c r="N47" i="10"/>
  <c r="M48" i="10"/>
  <c r="N48" i="10"/>
  <c r="M49" i="10"/>
  <c r="N49" i="10"/>
  <c r="M50" i="10"/>
  <c r="N50" i="10"/>
  <c r="M51" i="10"/>
  <c r="N51" i="10"/>
  <c r="M52" i="10"/>
  <c r="N52" i="10"/>
  <c r="M53" i="10"/>
  <c r="N53" i="10"/>
  <c r="M54" i="10"/>
  <c r="N54" i="10"/>
  <c r="M55" i="10"/>
  <c r="N55" i="10"/>
  <c r="M56" i="10"/>
  <c r="N56" i="10"/>
  <c r="M57" i="10"/>
  <c r="N57" i="10"/>
  <c r="M58" i="10"/>
  <c r="N58" i="10"/>
  <c r="M59" i="10"/>
  <c r="N59" i="10"/>
  <c r="M60" i="10"/>
  <c r="N60" i="10"/>
  <c r="M61" i="10"/>
  <c r="N61" i="10"/>
  <c r="M62" i="10"/>
  <c r="N62" i="10"/>
  <c r="M63" i="10"/>
  <c r="N63" i="10"/>
  <c r="M64" i="10"/>
  <c r="N64" i="10"/>
  <c r="M65" i="10"/>
  <c r="N65" i="10"/>
  <c r="M66" i="10"/>
  <c r="N66" i="10"/>
  <c r="M67" i="10"/>
  <c r="N67" i="10"/>
  <c r="M68" i="10"/>
  <c r="N68" i="10"/>
  <c r="M69" i="10"/>
  <c r="N69" i="10"/>
  <c r="M70" i="10"/>
  <c r="N70" i="10"/>
  <c r="M71" i="10"/>
  <c r="N71" i="10"/>
  <c r="M72" i="10"/>
  <c r="N72" i="10"/>
  <c r="M73" i="10"/>
  <c r="N73" i="10"/>
  <c r="M74" i="10"/>
  <c r="N74" i="10"/>
  <c r="M75" i="10"/>
  <c r="N75" i="10"/>
  <c r="M76" i="10"/>
  <c r="N76" i="10"/>
  <c r="M77" i="10"/>
  <c r="N77" i="10"/>
  <c r="M78" i="10"/>
  <c r="N78" i="10"/>
  <c r="M79" i="10"/>
  <c r="N79" i="10"/>
  <c r="M80" i="10"/>
  <c r="N80" i="10"/>
  <c r="M81" i="10"/>
  <c r="N81" i="10"/>
  <c r="M82" i="10"/>
  <c r="N82" i="10"/>
  <c r="M83" i="10"/>
  <c r="N83" i="10"/>
  <c r="M84" i="10"/>
  <c r="N84" i="10"/>
  <c r="M85" i="10"/>
  <c r="N85" i="10"/>
  <c r="M86" i="10"/>
  <c r="N86" i="10"/>
  <c r="M87" i="10"/>
  <c r="N87" i="10"/>
  <c r="M88" i="10"/>
  <c r="N88" i="10"/>
  <c r="M89" i="10"/>
  <c r="N89" i="10"/>
  <c r="M90" i="10"/>
  <c r="N90" i="10"/>
  <c r="M91" i="10"/>
  <c r="N91" i="10"/>
  <c r="M92" i="10"/>
  <c r="N92" i="10"/>
  <c r="M93" i="10"/>
  <c r="N93" i="10"/>
  <c r="M94" i="10"/>
  <c r="N94" i="10"/>
  <c r="M95" i="10"/>
  <c r="N95" i="10"/>
  <c r="M96" i="10"/>
  <c r="N96" i="10"/>
  <c r="M97" i="10"/>
  <c r="N97" i="10"/>
  <c r="M98" i="10"/>
  <c r="N98" i="10"/>
  <c r="M99" i="10"/>
  <c r="N99" i="10"/>
  <c r="M100" i="10"/>
  <c r="N100" i="10"/>
  <c r="M101" i="10"/>
  <c r="N101" i="10"/>
  <c r="M102" i="10"/>
  <c r="N102" i="10"/>
  <c r="M103" i="10"/>
  <c r="N103" i="10"/>
  <c r="M104" i="10"/>
  <c r="N104" i="10"/>
  <c r="M105" i="10"/>
  <c r="N105" i="10"/>
  <c r="M106" i="10"/>
  <c r="N106" i="10"/>
  <c r="M107" i="10"/>
  <c r="N107" i="10"/>
  <c r="M108" i="10"/>
  <c r="N108" i="10"/>
  <c r="M109" i="10"/>
  <c r="N109" i="10"/>
  <c r="M110" i="10"/>
  <c r="N110" i="10"/>
  <c r="M111" i="10"/>
  <c r="N111" i="10"/>
  <c r="M112" i="10"/>
  <c r="N112" i="10"/>
  <c r="M113" i="10"/>
  <c r="N113" i="10"/>
  <c r="M114" i="10"/>
  <c r="N114" i="10"/>
  <c r="M115" i="10"/>
  <c r="N115" i="10"/>
  <c r="M116" i="10"/>
  <c r="N116" i="10"/>
  <c r="M117" i="10"/>
  <c r="N117" i="10"/>
  <c r="M118" i="10"/>
  <c r="N118" i="10"/>
  <c r="M119" i="10"/>
  <c r="N119" i="10"/>
  <c r="M120" i="10"/>
  <c r="N120" i="10"/>
  <c r="M121" i="10"/>
  <c r="N121" i="10"/>
  <c r="M122" i="10"/>
  <c r="N122" i="10"/>
  <c r="M123" i="10"/>
  <c r="N123" i="10"/>
  <c r="M124" i="10"/>
  <c r="N124" i="10"/>
  <c r="M125" i="10"/>
  <c r="N125" i="10"/>
  <c r="M126" i="10"/>
  <c r="N126" i="10"/>
  <c r="M127" i="10"/>
  <c r="N127" i="10"/>
  <c r="M128" i="10"/>
  <c r="N128" i="10"/>
  <c r="M129" i="10"/>
  <c r="N129" i="10"/>
  <c r="M130" i="10"/>
  <c r="N130" i="10"/>
  <c r="M131" i="10"/>
  <c r="N131" i="10"/>
  <c r="M132" i="10"/>
  <c r="N132" i="10"/>
  <c r="M133" i="10"/>
  <c r="N133" i="10"/>
  <c r="M134" i="10"/>
  <c r="N134" i="10"/>
  <c r="M135" i="10"/>
  <c r="N135" i="10"/>
  <c r="M136" i="10"/>
  <c r="N136" i="10"/>
  <c r="M137" i="10"/>
  <c r="N137" i="10"/>
  <c r="M138" i="10"/>
  <c r="N138" i="10"/>
  <c r="M139" i="10"/>
  <c r="N139" i="10"/>
  <c r="M140" i="10"/>
  <c r="N140" i="10"/>
  <c r="M141" i="10"/>
  <c r="N141" i="10"/>
  <c r="M142" i="10"/>
  <c r="N142" i="10"/>
  <c r="M143" i="10"/>
  <c r="N143" i="10"/>
  <c r="M144" i="10"/>
  <c r="N144" i="10"/>
  <c r="M145" i="10"/>
  <c r="N145" i="10"/>
  <c r="M146" i="10"/>
  <c r="N146" i="10"/>
  <c r="M147" i="10"/>
  <c r="N147" i="10"/>
  <c r="M148" i="10"/>
  <c r="N148" i="10"/>
  <c r="M149" i="10"/>
  <c r="N149" i="10"/>
  <c r="M150" i="10"/>
  <c r="N150" i="10"/>
  <c r="M151" i="10"/>
  <c r="N151" i="10"/>
  <c r="M152" i="10"/>
  <c r="N152" i="10"/>
  <c r="M153" i="10"/>
  <c r="N153" i="10"/>
  <c r="M154" i="10"/>
  <c r="N154" i="10"/>
  <c r="M155" i="10"/>
  <c r="N155" i="10"/>
  <c r="M156" i="10"/>
  <c r="N156" i="10"/>
  <c r="M157" i="10"/>
  <c r="N157" i="10"/>
  <c r="M158" i="10"/>
  <c r="N158" i="10"/>
  <c r="M159" i="10"/>
  <c r="N159" i="10"/>
  <c r="M160" i="10"/>
  <c r="N160" i="10"/>
  <c r="M161" i="10"/>
  <c r="N161" i="10"/>
  <c r="M162" i="10"/>
  <c r="N162" i="10"/>
  <c r="M163" i="10"/>
  <c r="N163" i="10"/>
  <c r="M164" i="10"/>
  <c r="N164" i="10"/>
  <c r="M165" i="10"/>
  <c r="N165" i="10"/>
  <c r="M166" i="10"/>
  <c r="N166" i="10"/>
  <c r="M167" i="10"/>
  <c r="N167" i="10"/>
  <c r="M168" i="10"/>
  <c r="N168" i="10"/>
  <c r="M169" i="10"/>
  <c r="N169" i="10"/>
  <c r="M170" i="10"/>
  <c r="N170" i="10"/>
  <c r="M171" i="10"/>
  <c r="N171" i="10"/>
  <c r="M172" i="10"/>
  <c r="N172" i="10"/>
  <c r="M173" i="10"/>
  <c r="N173" i="10"/>
  <c r="M174" i="10"/>
  <c r="N174" i="10"/>
  <c r="M175" i="10"/>
  <c r="N175" i="10"/>
  <c r="M176" i="10"/>
  <c r="N176" i="10"/>
  <c r="M177" i="10"/>
  <c r="N177" i="10"/>
  <c r="M178" i="10"/>
  <c r="N178" i="10"/>
  <c r="M179" i="10"/>
  <c r="N179" i="10"/>
  <c r="M180" i="10"/>
  <c r="N180" i="10"/>
  <c r="M181" i="10"/>
  <c r="N181" i="10"/>
  <c r="M182" i="10"/>
  <c r="N182" i="10"/>
  <c r="M183" i="10"/>
  <c r="N183" i="10"/>
  <c r="M184" i="10"/>
  <c r="N184" i="10"/>
  <c r="M185" i="10"/>
  <c r="N185" i="10"/>
  <c r="M186" i="10"/>
  <c r="N186" i="10"/>
  <c r="M187" i="10"/>
  <c r="N187" i="10"/>
  <c r="M188" i="10"/>
  <c r="N188" i="10"/>
  <c r="M189" i="10"/>
  <c r="N189" i="10"/>
  <c r="M190" i="10"/>
  <c r="N190" i="10"/>
  <c r="M191" i="10"/>
  <c r="N191" i="10"/>
  <c r="M192" i="10"/>
  <c r="N192" i="10"/>
  <c r="M193" i="10"/>
  <c r="N193" i="10"/>
  <c r="M194" i="10"/>
  <c r="N194" i="10"/>
  <c r="M195" i="10"/>
  <c r="N195" i="10"/>
  <c r="M196" i="10"/>
  <c r="N196" i="10"/>
  <c r="M197" i="10"/>
  <c r="N197" i="10"/>
  <c r="M198" i="10"/>
  <c r="N198" i="10"/>
  <c r="M199" i="10"/>
  <c r="N199" i="10"/>
  <c r="M200" i="10"/>
  <c r="N200" i="10"/>
  <c r="M201" i="10"/>
  <c r="N201" i="10"/>
  <c r="M202" i="10"/>
  <c r="N202" i="10"/>
  <c r="M203" i="10"/>
  <c r="N203" i="10"/>
  <c r="M204" i="10"/>
  <c r="N204" i="10"/>
  <c r="M205" i="10"/>
  <c r="N205" i="10"/>
  <c r="M206" i="10"/>
  <c r="N206" i="10"/>
  <c r="M207" i="10"/>
  <c r="N207" i="10"/>
  <c r="M208" i="10"/>
  <c r="N208" i="10"/>
  <c r="M209" i="10"/>
  <c r="N209" i="10"/>
  <c r="M210" i="10"/>
  <c r="N210" i="10"/>
  <c r="M211" i="10"/>
  <c r="N211" i="10"/>
  <c r="M212" i="10"/>
  <c r="N212" i="10"/>
  <c r="M213" i="10"/>
  <c r="N213" i="10"/>
  <c r="M214" i="10"/>
  <c r="N214" i="10"/>
  <c r="M215" i="10"/>
  <c r="N215" i="10"/>
  <c r="M216" i="10"/>
  <c r="N216" i="10"/>
  <c r="M217" i="10"/>
  <c r="N217" i="10"/>
  <c r="M218" i="10"/>
  <c r="N218" i="10"/>
  <c r="M219" i="10"/>
  <c r="N219" i="10"/>
  <c r="M220" i="10"/>
  <c r="N220" i="10"/>
  <c r="M221" i="10"/>
  <c r="N221" i="10"/>
  <c r="M222" i="10"/>
  <c r="N222" i="10"/>
  <c r="M223" i="10"/>
  <c r="N223" i="10"/>
  <c r="M224" i="10"/>
  <c r="N224" i="10"/>
  <c r="M225" i="10"/>
  <c r="N225" i="10"/>
  <c r="M226" i="10"/>
  <c r="N226" i="10"/>
  <c r="M227" i="10"/>
  <c r="N227" i="10"/>
  <c r="M228" i="10"/>
  <c r="N228" i="10"/>
  <c r="M229" i="10"/>
  <c r="N229" i="10"/>
  <c r="M230" i="10"/>
  <c r="N230" i="10"/>
  <c r="M231" i="10"/>
  <c r="N231" i="10"/>
  <c r="M232" i="10"/>
  <c r="N232" i="10"/>
  <c r="M233" i="10"/>
  <c r="N233" i="10"/>
  <c r="M234" i="10"/>
  <c r="N234" i="10"/>
  <c r="M235" i="10"/>
  <c r="N235" i="10"/>
  <c r="M236" i="10"/>
  <c r="N236" i="10"/>
  <c r="M237" i="10"/>
  <c r="N237" i="10"/>
  <c r="M238" i="10"/>
  <c r="N238" i="10"/>
  <c r="M239" i="10"/>
  <c r="N239" i="10"/>
  <c r="M240" i="10"/>
  <c r="N240" i="10"/>
  <c r="M241" i="10"/>
  <c r="N241" i="10"/>
  <c r="M242" i="10"/>
  <c r="N242" i="10"/>
  <c r="M243" i="10"/>
  <c r="N243" i="10"/>
  <c r="M244" i="10"/>
  <c r="N244" i="10"/>
  <c r="M245" i="10"/>
  <c r="N245" i="10"/>
  <c r="M246" i="10"/>
  <c r="N246" i="10"/>
  <c r="M247" i="10"/>
  <c r="N247" i="10"/>
  <c r="M248" i="10"/>
  <c r="N248" i="10"/>
  <c r="M249" i="10"/>
  <c r="N249" i="10"/>
  <c r="M250" i="10"/>
  <c r="N250" i="10"/>
  <c r="M251" i="10"/>
  <c r="N251" i="10"/>
  <c r="M252" i="10"/>
  <c r="N252" i="10"/>
  <c r="M253" i="10"/>
  <c r="N253" i="10"/>
  <c r="M254" i="10"/>
  <c r="N254" i="10"/>
  <c r="M255" i="10"/>
  <c r="N255" i="10"/>
  <c r="M256" i="10"/>
  <c r="N256" i="10"/>
  <c r="M257" i="10"/>
  <c r="N257" i="10"/>
  <c r="M258" i="10"/>
  <c r="N258" i="10"/>
  <c r="M259" i="10"/>
  <c r="N259" i="10"/>
  <c r="M260" i="10"/>
  <c r="N260" i="10"/>
  <c r="M261" i="10"/>
  <c r="N261" i="10"/>
  <c r="M262" i="10"/>
  <c r="N262" i="10"/>
  <c r="M263" i="10"/>
  <c r="N263" i="10"/>
  <c r="M264" i="10"/>
  <c r="N264" i="10"/>
  <c r="M265" i="10"/>
  <c r="N265" i="10"/>
  <c r="M266" i="10"/>
  <c r="N266" i="10"/>
  <c r="M267" i="10"/>
  <c r="N267" i="10"/>
  <c r="M268" i="10"/>
  <c r="N268" i="10"/>
  <c r="M269" i="10"/>
  <c r="N269" i="10"/>
  <c r="M270" i="10"/>
  <c r="N270" i="10"/>
  <c r="M271" i="10"/>
  <c r="N271" i="10"/>
  <c r="M272" i="10"/>
  <c r="N272" i="10"/>
  <c r="M273" i="10"/>
  <c r="N273" i="10"/>
  <c r="M274" i="10"/>
  <c r="N274" i="10"/>
  <c r="M275" i="10"/>
  <c r="N275" i="10"/>
  <c r="M276" i="10"/>
  <c r="N276" i="10"/>
  <c r="M277" i="10"/>
  <c r="N277" i="10"/>
  <c r="M278" i="10"/>
  <c r="N278" i="10"/>
  <c r="M279" i="10"/>
  <c r="N279" i="10"/>
  <c r="M280" i="10"/>
  <c r="N280" i="10"/>
  <c r="M281" i="10"/>
  <c r="N281" i="10"/>
  <c r="M282" i="10"/>
  <c r="N282" i="10"/>
  <c r="M283" i="10"/>
  <c r="N283" i="10"/>
  <c r="M284" i="10"/>
  <c r="N284" i="10"/>
  <c r="M285" i="10"/>
  <c r="N285" i="10"/>
  <c r="M286" i="10"/>
  <c r="N286" i="10"/>
  <c r="M287" i="10"/>
  <c r="N287" i="10"/>
  <c r="M288" i="10"/>
  <c r="N288" i="10"/>
  <c r="M289" i="10"/>
  <c r="N289" i="10"/>
  <c r="M290" i="10"/>
  <c r="N290" i="10"/>
  <c r="M291" i="10"/>
  <c r="N291" i="10"/>
  <c r="M292" i="10"/>
  <c r="N292" i="10"/>
  <c r="M293" i="10"/>
  <c r="N293" i="10"/>
  <c r="M294" i="10"/>
  <c r="N294" i="10"/>
  <c r="M295" i="10"/>
  <c r="N295" i="10"/>
  <c r="M296" i="10"/>
  <c r="N296" i="10"/>
  <c r="M297" i="10"/>
  <c r="N297" i="10"/>
  <c r="M298" i="10"/>
  <c r="N298" i="10"/>
  <c r="M299" i="10"/>
  <c r="N299" i="10"/>
  <c r="M300" i="10"/>
  <c r="N300" i="10"/>
  <c r="M301" i="10"/>
  <c r="N301" i="10"/>
  <c r="M302" i="10"/>
  <c r="N302" i="10"/>
  <c r="M303" i="10"/>
  <c r="N303" i="10"/>
  <c r="M304" i="10"/>
  <c r="N304" i="10"/>
  <c r="M305" i="10"/>
  <c r="N305" i="10"/>
  <c r="M306" i="10"/>
  <c r="N306" i="10"/>
  <c r="M307" i="10"/>
  <c r="N307" i="10"/>
  <c r="M308" i="10"/>
  <c r="N308" i="10"/>
  <c r="M309" i="10"/>
  <c r="N309" i="10"/>
  <c r="M310" i="10"/>
  <c r="N310" i="10"/>
  <c r="M311" i="10"/>
  <c r="N311" i="10"/>
  <c r="M312" i="10"/>
  <c r="N312" i="10"/>
  <c r="M313" i="10"/>
  <c r="N313" i="10"/>
  <c r="M314" i="10"/>
  <c r="N314" i="10"/>
  <c r="M315" i="10"/>
  <c r="N315" i="10"/>
  <c r="M316" i="10"/>
  <c r="N316" i="10"/>
  <c r="M317" i="10"/>
  <c r="N317" i="10"/>
  <c r="M318" i="10"/>
  <c r="N318" i="10"/>
  <c r="M319" i="10"/>
  <c r="N319" i="10"/>
  <c r="M320" i="10"/>
  <c r="N320" i="10"/>
  <c r="M321" i="10"/>
  <c r="N321" i="10"/>
  <c r="M322" i="10"/>
  <c r="N322" i="10"/>
  <c r="M323" i="10"/>
  <c r="N323" i="10"/>
  <c r="M324" i="10"/>
  <c r="N324" i="10"/>
  <c r="M325" i="10"/>
  <c r="N325" i="10"/>
  <c r="M326" i="10"/>
  <c r="N326" i="10"/>
  <c r="M327" i="10"/>
  <c r="N327" i="10"/>
  <c r="M328" i="10"/>
  <c r="N328" i="10"/>
  <c r="M329" i="10"/>
  <c r="N329" i="10"/>
  <c r="M330" i="10"/>
  <c r="N330" i="10"/>
  <c r="M331" i="10"/>
  <c r="N331" i="10"/>
  <c r="M332" i="10"/>
  <c r="N332" i="10"/>
  <c r="M333" i="10"/>
  <c r="N333" i="10"/>
  <c r="M334" i="10"/>
  <c r="N334" i="10"/>
  <c r="M335" i="10"/>
  <c r="N335" i="10"/>
  <c r="M336" i="10"/>
  <c r="N336" i="10"/>
  <c r="M337" i="10"/>
  <c r="N337" i="10"/>
  <c r="M338" i="10"/>
  <c r="N338" i="10"/>
  <c r="M339" i="10"/>
  <c r="N339" i="10"/>
  <c r="M340" i="10"/>
  <c r="N340" i="10"/>
  <c r="M341" i="10"/>
  <c r="N341" i="10"/>
  <c r="M342" i="10"/>
  <c r="N342" i="10"/>
  <c r="M343" i="10"/>
  <c r="N343" i="10"/>
  <c r="M344" i="10"/>
  <c r="N344" i="10"/>
  <c r="M345" i="10"/>
  <c r="N345" i="10"/>
  <c r="M346" i="10"/>
  <c r="N346" i="10"/>
  <c r="M347" i="10"/>
  <c r="N347" i="10"/>
  <c r="M348" i="10"/>
  <c r="N348" i="10"/>
  <c r="M349" i="10"/>
  <c r="N349" i="10"/>
  <c r="M350" i="10"/>
  <c r="N350" i="10"/>
  <c r="M351" i="10"/>
  <c r="N351" i="10"/>
  <c r="M352" i="10"/>
  <c r="N352" i="10"/>
  <c r="M353" i="10"/>
  <c r="N353" i="10"/>
  <c r="M354" i="10"/>
  <c r="N354" i="10"/>
  <c r="M355" i="10"/>
  <c r="N355" i="10"/>
  <c r="M356" i="10"/>
  <c r="N356" i="10"/>
  <c r="M357" i="10"/>
  <c r="N357" i="10"/>
  <c r="M358" i="10"/>
  <c r="N358" i="10"/>
  <c r="M359" i="10"/>
  <c r="N359" i="10"/>
  <c r="M360" i="10"/>
  <c r="N360" i="10"/>
  <c r="M361" i="10"/>
  <c r="N361" i="10"/>
  <c r="M362" i="10"/>
  <c r="N362" i="10"/>
  <c r="M363" i="10"/>
  <c r="N363" i="10"/>
  <c r="M364" i="10"/>
  <c r="N364" i="10"/>
  <c r="M365" i="10"/>
  <c r="N365" i="10"/>
  <c r="M366" i="10"/>
  <c r="N366" i="10"/>
  <c r="M367" i="10"/>
  <c r="N367" i="10"/>
  <c r="M368" i="10"/>
  <c r="N368" i="10"/>
  <c r="M369" i="10"/>
  <c r="N369" i="10"/>
  <c r="M370" i="10"/>
  <c r="N370" i="10"/>
  <c r="M371" i="10"/>
  <c r="N371" i="10"/>
  <c r="M372" i="10"/>
  <c r="N372" i="10"/>
  <c r="M373" i="10"/>
  <c r="N373" i="10"/>
  <c r="M374" i="10"/>
  <c r="N374" i="10"/>
  <c r="M375" i="10"/>
  <c r="N375" i="10"/>
  <c r="M376" i="10"/>
  <c r="N376" i="10"/>
  <c r="M377" i="10"/>
  <c r="N377" i="10"/>
  <c r="M378" i="10"/>
  <c r="N378" i="10"/>
  <c r="M379" i="10"/>
  <c r="N379" i="10"/>
  <c r="M380" i="10"/>
  <c r="N380" i="10"/>
  <c r="M381" i="10"/>
  <c r="N381" i="10"/>
  <c r="M382" i="10"/>
  <c r="N382" i="10"/>
  <c r="M383" i="10"/>
  <c r="N383" i="10"/>
  <c r="M384" i="10"/>
  <c r="N384" i="10"/>
  <c r="M385" i="10"/>
  <c r="N385" i="10"/>
  <c r="M386" i="10"/>
  <c r="N386" i="10"/>
  <c r="M387" i="10"/>
  <c r="N387" i="10"/>
  <c r="M388" i="10"/>
  <c r="N388" i="10"/>
  <c r="M389" i="10"/>
  <c r="N389" i="10"/>
  <c r="M390" i="10"/>
  <c r="N390" i="10"/>
  <c r="N333" i="9" l="1"/>
  <c r="M333" i="9"/>
  <c r="N332" i="9"/>
  <c r="M332" i="9"/>
  <c r="N331" i="9"/>
  <c r="M331" i="9"/>
  <c r="N330" i="9"/>
  <c r="M330" i="9"/>
  <c r="N326" i="9"/>
  <c r="M326" i="9"/>
  <c r="N325" i="9"/>
  <c r="M325" i="9"/>
  <c r="N324" i="9"/>
  <c r="M324" i="9"/>
  <c r="N323" i="9"/>
  <c r="M323" i="9"/>
  <c r="N321" i="9"/>
  <c r="M321" i="9"/>
  <c r="M312" i="9"/>
  <c r="N312" i="9"/>
  <c r="M313" i="9"/>
  <c r="N313" i="9"/>
  <c r="M314" i="9"/>
  <c r="N314" i="9"/>
  <c r="M315" i="9"/>
  <c r="N315" i="9"/>
  <c r="M316" i="9"/>
  <c r="N316" i="9"/>
  <c r="M317" i="9"/>
  <c r="N317" i="9"/>
  <c r="M318" i="9"/>
  <c r="N318" i="9"/>
  <c r="N311" i="9"/>
  <c r="M311" i="9"/>
  <c r="N310" i="9"/>
  <c r="M310" i="9"/>
  <c r="N306" i="9"/>
  <c r="M306" i="9"/>
  <c r="N305" i="9"/>
  <c r="M305" i="9"/>
  <c r="N303" i="9"/>
  <c r="M303" i="9"/>
  <c r="N302" i="9"/>
  <c r="M302" i="9"/>
  <c r="N301" i="9"/>
  <c r="M301" i="9"/>
  <c r="N300" i="9"/>
  <c r="M300" i="9"/>
  <c r="N299" i="9"/>
  <c r="M299" i="9"/>
  <c r="N298" i="9"/>
  <c r="M298" i="9"/>
  <c r="N296" i="9"/>
  <c r="M296" i="9"/>
  <c r="N294" i="9"/>
  <c r="M294" i="9"/>
  <c r="N290" i="9"/>
  <c r="M290" i="9"/>
  <c r="N275" i="9"/>
  <c r="M275" i="9"/>
  <c r="N273" i="9"/>
  <c r="M273" i="9"/>
  <c r="N268" i="9"/>
  <c r="M268" i="9"/>
  <c r="N271" i="9"/>
  <c r="M271" i="9"/>
  <c r="N270" i="9"/>
  <c r="M270" i="9"/>
  <c r="N266" i="9"/>
  <c r="M266" i="9"/>
  <c r="N265" i="9"/>
  <c r="M265" i="9"/>
  <c r="N262" i="9"/>
  <c r="M262" i="9"/>
  <c r="N261" i="9"/>
  <c r="M261" i="9"/>
  <c r="N259" i="9"/>
  <c r="M259" i="9"/>
  <c r="N257" i="9"/>
  <c r="M257" i="9"/>
  <c r="N256" i="9"/>
  <c r="M256" i="9"/>
  <c r="N254" i="9"/>
  <c r="M254" i="9"/>
  <c r="N252" i="9"/>
  <c r="M252" i="9"/>
  <c r="N251" i="9"/>
  <c r="M251" i="9"/>
  <c r="N250" i="9"/>
  <c r="M250" i="9"/>
  <c r="N249" i="9"/>
  <c r="M249" i="9"/>
  <c r="N247" i="9"/>
  <c r="M247" i="9"/>
  <c r="N246" i="9"/>
  <c r="M246" i="9"/>
  <c r="M233" i="9"/>
  <c r="N233" i="9"/>
  <c r="N229" i="9"/>
  <c r="M229" i="9"/>
  <c r="N244" i="9"/>
  <c r="M244" i="9"/>
  <c r="N243" i="9"/>
  <c r="M243" i="9"/>
  <c r="N223" i="9"/>
  <c r="M223" i="9"/>
  <c r="N222" i="9"/>
  <c r="M222" i="9"/>
  <c r="M215" i="9"/>
  <c r="N215" i="9"/>
  <c r="M216" i="9"/>
  <c r="N216" i="9"/>
  <c r="M217" i="9"/>
  <c r="N217" i="9"/>
  <c r="N214" i="9"/>
  <c r="M214" i="9"/>
  <c r="N213" i="9"/>
  <c r="M213" i="9"/>
  <c r="N211" i="9"/>
  <c r="M211" i="9"/>
  <c r="N210" i="9"/>
  <c r="M210" i="9"/>
  <c r="N207" i="9"/>
  <c r="M207" i="9"/>
  <c r="N205" i="9"/>
  <c r="M205" i="9"/>
  <c r="N198" i="9"/>
  <c r="M198" i="9"/>
  <c r="N201" i="9"/>
  <c r="M201" i="9"/>
  <c r="N200" i="9"/>
  <c r="M200" i="9"/>
  <c r="N196" i="9"/>
  <c r="M196" i="9"/>
  <c r="N195" i="9"/>
  <c r="M195" i="9"/>
  <c r="N193" i="9"/>
  <c r="M193" i="9"/>
  <c r="N192" i="9"/>
  <c r="M192" i="9"/>
  <c r="N191" i="9"/>
  <c r="M191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M179" i="9"/>
  <c r="N179" i="9"/>
  <c r="M180" i="9"/>
  <c r="N180" i="9"/>
  <c r="M181" i="9"/>
  <c r="N181" i="9"/>
  <c r="M182" i="9"/>
  <c r="N182" i="9"/>
  <c r="N178" i="9"/>
  <c r="M178" i="9"/>
  <c r="N177" i="9"/>
  <c r="M177" i="9"/>
  <c r="N176" i="9"/>
  <c r="M176" i="9"/>
  <c r="N174" i="9"/>
  <c r="M174" i="9"/>
  <c r="N173" i="9"/>
  <c r="M173" i="9"/>
  <c r="N172" i="9"/>
  <c r="M172" i="9"/>
  <c r="N167" i="9"/>
  <c r="M167" i="9"/>
  <c r="N165" i="9"/>
  <c r="M165" i="9"/>
  <c r="M163" i="9"/>
  <c r="N163" i="9"/>
  <c r="N162" i="9"/>
  <c r="M162" i="9"/>
  <c r="N161" i="9"/>
  <c r="M161" i="9"/>
  <c r="N160" i="9"/>
  <c r="M160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0" i="9"/>
  <c r="M140" i="9"/>
  <c r="N139" i="9"/>
  <c r="M139" i="9"/>
  <c r="N137" i="9"/>
  <c r="M137" i="9"/>
  <c r="N136" i="9"/>
  <c r="M136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7" i="9"/>
  <c r="M127" i="9"/>
  <c r="N125" i="9"/>
  <c r="M125" i="9"/>
  <c r="N124" i="9"/>
  <c r="M124" i="9"/>
  <c r="N123" i="9"/>
  <c r="M123" i="9"/>
  <c r="M117" i="9"/>
  <c r="N117" i="9"/>
  <c r="M118" i="9"/>
  <c r="N118" i="9"/>
  <c r="M119" i="9"/>
  <c r="N119" i="9"/>
  <c r="M120" i="9"/>
  <c r="N120" i="9"/>
  <c r="M121" i="9"/>
  <c r="N121" i="9"/>
  <c r="N116" i="9"/>
  <c r="M116" i="9"/>
  <c r="N115" i="9"/>
  <c r="M115" i="9"/>
  <c r="M113" i="9"/>
  <c r="N113" i="9"/>
  <c r="N112" i="9"/>
  <c r="M112" i="9"/>
  <c r="N111" i="9"/>
  <c r="M111" i="9"/>
  <c r="N110" i="9"/>
  <c r="M110" i="9"/>
  <c r="N109" i="9"/>
  <c r="M109" i="9"/>
  <c r="N108" i="9"/>
  <c r="M108" i="9"/>
  <c r="N106" i="9"/>
  <c r="M106" i="9"/>
  <c r="N105" i="9"/>
  <c r="M105" i="9"/>
  <c r="N104" i="9"/>
  <c r="M104" i="9"/>
  <c r="N103" i="9"/>
  <c r="M103" i="9"/>
  <c r="N102" i="9"/>
  <c r="M102" i="9"/>
  <c r="N100" i="9"/>
  <c r="M100" i="9"/>
  <c r="N98" i="9"/>
  <c r="M98" i="9"/>
  <c r="M95" i="9"/>
  <c r="N95" i="9"/>
  <c r="M96" i="9"/>
  <c r="N96" i="9"/>
  <c r="N94" i="9"/>
  <c r="M94" i="9"/>
  <c r="N93" i="9"/>
  <c r="M93" i="9"/>
  <c r="N91" i="9"/>
  <c r="M91" i="9"/>
  <c r="N90" i="9"/>
  <c r="M90" i="9"/>
  <c r="N88" i="9"/>
  <c r="M88" i="9"/>
  <c r="N87" i="9"/>
  <c r="M87" i="9"/>
  <c r="N86" i="9"/>
  <c r="M86" i="9"/>
  <c r="N85" i="9"/>
  <c r="M85" i="9"/>
  <c r="N84" i="9"/>
  <c r="M84" i="9"/>
  <c r="M77" i="9"/>
  <c r="N77" i="9"/>
  <c r="M78" i="9"/>
  <c r="N78" i="9"/>
  <c r="M79" i="9"/>
  <c r="N79" i="9"/>
  <c r="M80" i="9"/>
  <c r="N80" i="9"/>
  <c r="M81" i="9"/>
  <c r="N81" i="9"/>
  <c r="M82" i="9"/>
  <c r="N82" i="9"/>
  <c r="M76" i="9"/>
  <c r="N75" i="9"/>
  <c r="M75" i="9"/>
  <c r="N74" i="9"/>
  <c r="M74" i="9"/>
  <c r="M71" i="9"/>
  <c r="M72" i="9"/>
  <c r="N72" i="9"/>
  <c r="N70" i="9"/>
  <c r="M70" i="9"/>
  <c r="N68" i="9"/>
  <c r="M68" i="9"/>
  <c r="M65" i="9"/>
  <c r="N65" i="9"/>
  <c r="M56" i="9"/>
  <c r="N56" i="9"/>
  <c r="M57" i="9"/>
  <c r="N57" i="9"/>
  <c r="M58" i="9"/>
  <c r="N58" i="9"/>
  <c r="M59" i="9"/>
  <c r="N59" i="9"/>
  <c r="M60" i="9"/>
  <c r="N60" i="9"/>
  <c r="M61" i="9"/>
  <c r="N61" i="9"/>
  <c r="M62" i="9"/>
  <c r="N62" i="9"/>
  <c r="M63" i="9"/>
  <c r="N63" i="9"/>
  <c r="M64" i="9"/>
  <c r="N64" i="9"/>
  <c r="M66" i="9"/>
  <c r="N66" i="9"/>
  <c r="N55" i="9"/>
  <c r="M55" i="9"/>
  <c r="N54" i="9"/>
  <c r="M54" i="9"/>
  <c r="M33" i="9"/>
  <c r="N33" i="9"/>
  <c r="M34" i="9"/>
  <c r="N34" i="9"/>
  <c r="M35" i="9"/>
  <c r="N35" i="9"/>
  <c r="M36" i="9"/>
  <c r="N36" i="9"/>
  <c r="M37" i="9"/>
  <c r="N37" i="9"/>
  <c r="M38" i="9"/>
  <c r="N38" i="9"/>
  <c r="M39" i="9"/>
  <c r="N39" i="9"/>
  <c r="M40" i="9"/>
  <c r="N40" i="9"/>
  <c r="M41" i="9"/>
  <c r="N41" i="9"/>
  <c r="M42" i="9"/>
  <c r="N42" i="9"/>
  <c r="M43" i="9"/>
  <c r="N43" i="9"/>
  <c r="M44" i="9"/>
  <c r="N44" i="9"/>
  <c r="M45" i="9"/>
  <c r="N45" i="9"/>
  <c r="M46" i="9"/>
  <c r="N46" i="9"/>
  <c r="M47" i="9"/>
  <c r="N47" i="9"/>
  <c r="M48" i="9"/>
  <c r="N48" i="9"/>
  <c r="M49" i="9"/>
  <c r="N49" i="9"/>
  <c r="M50" i="9"/>
  <c r="N50" i="9"/>
  <c r="M51" i="9"/>
  <c r="N51" i="9"/>
  <c r="M52" i="9"/>
  <c r="N52" i="9"/>
  <c r="N32" i="9"/>
  <c r="M32" i="9"/>
  <c r="N31" i="9"/>
  <c r="M31" i="9"/>
  <c r="M29" i="9"/>
  <c r="N29" i="9"/>
  <c r="N28" i="9"/>
  <c r="M28" i="9"/>
  <c r="N27" i="9"/>
  <c r="M27" i="9"/>
  <c r="N26" i="9"/>
  <c r="M26" i="9"/>
  <c r="M19" i="9"/>
  <c r="N19" i="9"/>
  <c r="M20" i="9"/>
  <c r="N20" i="9"/>
  <c r="N18" i="9"/>
  <c r="M18" i="9"/>
  <c r="N17" i="9"/>
  <c r="M17" i="9"/>
  <c r="N15" i="9"/>
  <c r="M15" i="9"/>
  <c r="N14" i="9"/>
  <c r="M14" i="9"/>
  <c r="N13" i="9"/>
  <c r="M13" i="9"/>
  <c r="M4" i="9"/>
  <c r="N4" i="9"/>
  <c r="M5" i="9"/>
  <c r="N5" i="9"/>
  <c r="M6" i="9"/>
  <c r="N6" i="9"/>
  <c r="M7" i="9"/>
  <c r="N7" i="9"/>
  <c r="M8" i="9"/>
  <c r="N8" i="9"/>
  <c r="M9" i="9"/>
  <c r="N9" i="9"/>
  <c r="M10" i="9"/>
  <c r="N10" i="9"/>
  <c r="M11" i="9"/>
  <c r="N11" i="9"/>
  <c r="N3" i="9"/>
  <c r="M3" i="9"/>
  <c r="N329" i="9" l="1"/>
  <c r="N328" i="9"/>
  <c r="N327" i="9"/>
  <c r="N322" i="9"/>
  <c r="N320" i="9"/>
  <c r="N319" i="9"/>
  <c r="N309" i="9"/>
  <c r="N308" i="9"/>
  <c r="N307" i="9"/>
  <c r="N304" i="9"/>
  <c r="N297" i="9"/>
  <c r="N295" i="9"/>
  <c r="N293" i="9"/>
  <c r="N292" i="9"/>
  <c r="N291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4" i="9"/>
  <c r="N272" i="9"/>
  <c r="N269" i="9"/>
  <c r="N267" i="9"/>
  <c r="N264" i="9"/>
  <c r="N263" i="9"/>
  <c r="N260" i="9"/>
  <c r="N258" i="9"/>
  <c r="N255" i="9"/>
  <c r="N253" i="9"/>
  <c r="N248" i="9"/>
  <c r="N245" i="9"/>
  <c r="N242" i="9"/>
  <c r="N241" i="9"/>
  <c r="N240" i="9"/>
  <c r="N239" i="9"/>
  <c r="N238" i="9"/>
  <c r="N237" i="9"/>
  <c r="N236" i="9"/>
  <c r="N235" i="9"/>
  <c r="N234" i="9"/>
  <c r="N232" i="9"/>
  <c r="N231" i="9"/>
  <c r="N230" i="9"/>
  <c r="N228" i="9"/>
  <c r="N227" i="9"/>
  <c r="N226" i="9"/>
  <c r="N225" i="9"/>
  <c r="N224" i="9"/>
  <c r="N221" i="9"/>
  <c r="N220" i="9"/>
  <c r="N219" i="9"/>
  <c r="N218" i="9"/>
  <c r="N212" i="9"/>
  <c r="N209" i="9"/>
  <c r="N208" i="9"/>
  <c r="N206" i="9"/>
  <c r="N204" i="9"/>
  <c r="N203" i="9"/>
  <c r="N202" i="9"/>
  <c r="N199" i="9"/>
  <c r="N197" i="9"/>
  <c r="N194" i="9"/>
  <c r="N190" i="9"/>
  <c r="N183" i="9"/>
  <c r="N175" i="9"/>
  <c r="N171" i="9"/>
  <c r="N170" i="9"/>
  <c r="N169" i="9"/>
  <c r="N168" i="9"/>
  <c r="N166" i="9"/>
  <c r="N164" i="9"/>
  <c r="N159" i="9"/>
  <c r="N158" i="9"/>
  <c r="N145" i="9"/>
  <c r="N144" i="9"/>
  <c r="N143" i="9"/>
  <c r="N142" i="9"/>
  <c r="N141" i="9"/>
  <c r="N138" i="9"/>
  <c r="N135" i="9"/>
  <c r="N128" i="9"/>
  <c r="N126" i="9"/>
  <c r="N122" i="9"/>
  <c r="N114" i="9"/>
  <c r="N107" i="9"/>
  <c r="N101" i="9"/>
  <c r="N99" i="9"/>
  <c r="N97" i="9"/>
  <c r="N92" i="9"/>
  <c r="N89" i="9"/>
  <c r="N83" i="9"/>
  <c r="N73" i="9"/>
  <c r="N69" i="9"/>
  <c r="N67" i="9"/>
  <c r="N53" i="9"/>
  <c r="N30" i="9"/>
  <c r="N25" i="9"/>
  <c r="N24" i="9"/>
  <c r="N23" i="9"/>
  <c r="N22" i="9"/>
  <c r="N21" i="9"/>
  <c r="N16" i="9"/>
  <c r="M329" i="9"/>
  <c r="M328" i="9"/>
  <c r="M327" i="9"/>
  <c r="M322" i="9"/>
  <c r="M320" i="9"/>
  <c r="M319" i="9"/>
  <c r="M309" i="9"/>
  <c r="M308" i="9"/>
  <c r="M307" i="9"/>
  <c r="M304" i="9"/>
  <c r="M297" i="9"/>
  <c r="M295" i="9"/>
  <c r="M293" i="9"/>
  <c r="M292" i="9"/>
  <c r="M291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4" i="9"/>
  <c r="M272" i="9"/>
  <c r="M269" i="9"/>
  <c r="M267" i="9"/>
  <c r="M264" i="9"/>
  <c r="M263" i="9"/>
  <c r="M260" i="9"/>
  <c r="M258" i="9"/>
  <c r="M255" i="9"/>
  <c r="M253" i="9"/>
  <c r="M248" i="9"/>
  <c r="M245" i="9"/>
  <c r="M242" i="9"/>
  <c r="M241" i="9"/>
  <c r="M240" i="9"/>
  <c r="M239" i="9"/>
  <c r="M238" i="9"/>
  <c r="M237" i="9"/>
  <c r="M236" i="9"/>
  <c r="M235" i="9"/>
  <c r="M234" i="9"/>
  <c r="M232" i="9"/>
  <c r="M231" i="9"/>
  <c r="M230" i="9"/>
  <c r="M228" i="9"/>
  <c r="M227" i="9"/>
  <c r="M226" i="9"/>
  <c r="M225" i="9"/>
  <c r="M224" i="9"/>
  <c r="M221" i="9"/>
  <c r="M220" i="9"/>
  <c r="M219" i="9"/>
  <c r="M218" i="9"/>
  <c r="M212" i="9"/>
  <c r="M209" i="9"/>
  <c r="M208" i="9"/>
  <c r="M206" i="9"/>
  <c r="M204" i="9"/>
  <c r="M203" i="9"/>
  <c r="M202" i="9"/>
  <c r="M199" i="9"/>
  <c r="M197" i="9"/>
  <c r="M194" i="9"/>
  <c r="M190" i="9"/>
  <c r="M183" i="9"/>
  <c r="M175" i="9"/>
  <c r="M171" i="9"/>
  <c r="M170" i="9"/>
  <c r="M169" i="9"/>
  <c r="M168" i="9"/>
  <c r="M166" i="9"/>
  <c r="M164" i="9"/>
  <c r="M159" i="9"/>
  <c r="M158" i="9"/>
  <c r="M145" i="9"/>
  <c r="M144" i="9"/>
  <c r="M143" i="9"/>
  <c r="M142" i="9"/>
  <c r="M141" i="9"/>
  <c r="M138" i="9"/>
  <c r="M135" i="9"/>
  <c r="M128" i="9"/>
  <c r="M126" i="9"/>
  <c r="M122" i="9"/>
  <c r="M114" i="9"/>
  <c r="M107" i="9"/>
  <c r="M101" i="9"/>
  <c r="M99" i="9"/>
  <c r="M97" i="9"/>
  <c r="M92" i="9"/>
  <c r="M89" i="9"/>
  <c r="M83" i="9"/>
  <c r="M73" i="9"/>
  <c r="M69" i="9"/>
  <c r="M67" i="9"/>
  <c r="M53" i="9"/>
  <c r="M30" i="9"/>
  <c r="M25" i="9"/>
  <c r="M24" i="9"/>
  <c r="M23" i="9"/>
  <c r="M22" i="9"/>
  <c r="M21" i="9"/>
  <c r="M16" i="9"/>
  <c r="M12" i="9"/>
  <c r="N12" i="9"/>
  <c r="AC3" i="9" l="1"/>
  <c r="K5" i="11" l="1"/>
  <c r="K6" i="11"/>
  <c r="K7" i="11"/>
  <c r="K8" i="11"/>
  <c r="K9" i="11"/>
  <c r="K10" i="11"/>
  <c r="K11" i="11"/>
  <c r="K12" i="11"/>
  <c r="K13" i="11"/>
  <c r="K14" i="11"/>
  <c r="K15" i="11"/>
  <c r="K16" i="11"/>
  <c r="K17" i="11"/>
  <c r="K4" i="11"/>
  <c r="AH112" i="10" l="1"/>
  <c r="AI112" i="10" s="1"/>
  <c r="AF112" i="10"/>
  <c r="AC112" i="10" l="1"/>
  <c r="AJ112" i="10" s="1"/>
  <c r="AC352" i="10" l="1"/>
  <c r="AC390" i="10"/>
  <c r="AC389" i="10"/>
  <c r="AC388" i="10"/>
  <c r="AC387" i="10"/>
  <c r="AC386" i="10"/>
  <c r="AC385" i="10"/>
  <c r="AC384" i="10"/>
  <c r="AC383" i="10"/>
  <c r="AC382" i="10"/>
  <c r="AC381" i="10"/>
  <c r="AC380" i="10"/>
  <c r="AC379" i="10"/>
  <c r="AC378" i="10"/>
  <c r="AC377" i="10"/>
  <c r="AC376" i="10"/>
  <c r="AC375" i="10"/>
  <c r="AC374" i="10"/>
  <c r="AC373" i="10"/>
  <c r="AC372" i="10"/>
  <c r="AC371" i="10"/>
  <c r="AC370" i="10"/>
  <c r="AC369" i="10"/>
  <c r="AC368" i="10"/>
  <c r="AC367" i="10"/>
  <c r="AC366" i="10"/>
  <c r="AC365" i="10"/>
  <c r="AC364" i="10"/>
  <c r="AC363" i="10"/>
  <c r="AC362" i="10"/>
  <c r="AC361" i="10"/>
  <c r="AC360" i="10"/>
  <c r="AC359" i="10"/>
  <c r="AC358" i="10"/>
  <c r="AC357" i="10"/>
  <c r="AC356" i="10"/>
  <c r="AC355" i="10"/>
  <c r="AC354" i="10"/>
  <c r="AC353" i="10"/>
  <c r="AC351" i="10"/>
  <c r="AC350" i="10"/>
  <c r="AC349" i="10"/>
  <c r="AC348" i="10"/>
  <c r="AC347" i="10"/>
  <c r="AC346" i="10"/>
  <c r="AC345" i="10"/>
  <c r="AC344" i="10"/>
  <c r="AC343" i="10"/>
  <c r="AC342" i="10"/>
  <c r="AC341" i="10"/>
  <c r="AC340" i="10"/>
  <c r="AC339" i="10"/>
  <c r="AC338" i="10"/>
  <c r="AC337" i="10"/>
  <c r="AC336" i="10"/>
  <c r="AC335" i="10"/>
  <c r="AC334" i="10"/>
  <c r="AC333" i="10"/>
  <c r="AC332" i="10"/>
  <c r="AC331" i="10"/>
  <c r="AC330" i="10"/>
  <c r="AC329" i="10"/>
  <c r="AC328" i="10"/>
  <c r="AC327" i="10"/>
  <c r="AC326" i="10"/>
  <c r="AC325" i="10"/>
  <c r="AC324" i="10"/>
  <c r="AC323" i="10"/>
  <c r="AC322" i="10"/>
  <c r="AC321" i="10"/>
  <c r="AC320" i="10"/>
  <c r="AC319" i="10"/>
  <c r="AC318" i="10"/>
  <c r="AC317" i="10"/>
  <c r="AC316" i="10"/>
  <c r="AC315" i="10"/>
  <c r="AC314" i="10"/>
  <c r="AC313" i="10"/>
  <c r="AC312" i="10"/>
  <c r="AC311" i="10"/>
  <c r="AC310" i="10"/>
  <c r="AC309" i="10"/>
  <c r="AC308" i="10"/>
  <c r="AC307" i="10"/>
  <c r="AC306" i="10"/>
  <c r="AC305" i="10"/>
  <c r="AC304" i="10"/>
  <c r="AC303" i="10"/>
  <c r="AC302" i="10"/>
  <c r="AC301" i="10"/>
  <c r="AC300" i="10"/>
  <c r="AC299" i="10"/>
  <c r="AC298" i="10"/>
  <c r="AC297" i="10"/>
  <c r="AC296" i="10"/>
  <c r="AC295" i="10"/>
  <c r="AC294" i="10"/>
  <c r="AC293" i="10"/>
  <c r="AC292" i="10"/>
  <c r="AC291" i="10"/>
  <c r="AC290" i="10"/>
  <c r="AC289" i="10"/>
  <c r="AC288" i="10"/>
  <c r="AC287" i="10"/>
  <c r="AC286" i="10"/>
  <c r="AC285" i="10"/>
  <c r="AC284" i="10"/>
  <c r="AC283" i="10"/>
  <c r="AC282" i="10"/>
  <c r="AC281" i="10"/>
  <c r="AC280" i="10"/>
  <c r="AC279" i="10"/>
  <c r="AC278" i="10"/>
  <c r="AC277" i="10"/>
  <c r="AC276" i="10"/>
  <c r="AC275" i="10"/>
  <c r="AC274" i="10"/>
  <c r="AC273" i="10"/>
  <c r="AC272" i="10"/>
  <c r="AC271" i="10"/>
  <c r="AC270" i="10"/>
  <c r="AC269" i="10"/>
  <c r="AC268" i="10"/>
  <c r="AC267" i="10"/>
  <c r="AC266" i="10"/>
  <c r="AC265" i="10"/>
  <c r="AC264" i="10"/>
  <c r="AC263" i="10"/>
  <c r="AC262" i="10"/>
  <c r="AC261" i="10"/>
  <c r="AC260" i="10"/>
  <c r="AC259" i="10"/>
  <c r="AC258" i="10"/>
  <c r="AC257" i="10"/>
  <c r="AC256" i="10"/>
  <c r="AC255" i="10"/>
  <c r="AC254" i="10"/>
  <c r="AC253" i="10"/>
  <c r="AC252" i="10"/>
  <c r="AC251" i="10"/>
  <c r="AC250" i="10"/>
  <c r="AC249" i="10"/>
  <c r="AC248" i="10"/>
  <c r="AC247" i="10"/>
  <c r="AC246" i="10"/>
  <c r="AC245" i="10"/>
  <c r="AC244" i="10"/>
  <c r="AC243" i="10"/>
  <c r="AC242" i="10"/>
  <c r="AC241" i="10"/>
  <c r="AC240" i="10"/>
  <c r="AC239" i="10"/>
  <c r="AC238" i="10"/>
  <c r="AC237" i="10"/>
  <c r="AC236" i="10"/>
  <c r="AC235" i="10"/>
  <c r="AC234" i="10"/>
  <c r="AC233" i="10"/>
  <c r="AC232" i="10"/>
  <c r="AC231" i="10"/>
  <c r="AC230" i="10"/>
  <c r="AC229" i="10"/>
  <c r="AC228" i="10"/>
  <c r="AC227" i="10"/>
  <c r="AC226" i="10"/>
  <c r="AC225" i="10"/>
  <c r="AC224" i="10"/>
  <c r="AC223" i="10"/>
  <c r="AC222" i="10"/>
  <c r="AC221" i="10"/>
  <c r="AC220" i="10"/>
  <c r="AC219" i="10"/>
  <c r="AC218" i="10"/>
  <c r="AC217" i="10"/>
  <c r="AC216" i="10"/>
  <c r="AC215" i="10"/>
  <c r="AC214" i="10"/>
  <c r="AC213" i="10"/>
  <c r="AC212" i="10"/>
  <c r="AC211" i="10"/>
  <c r="AC210" i="10"/>
  <c r="AC209" i="10"/>
  <c r="AC208" i="10"/>
  <c r="AC207" i="10"/>
  <c r="AC206" i="10"/>
  <c r="AC205" i="10"/>
  <c r="AC204" i="10"/>
  <c r="AC203" i="10"/>
  <c r="AC202" i="10"/>
  <c r="AC201" i="10"/>
  <c r="AC200" i="10"/>
  <c r="AC199" i="10"/>
  <c r="AC198" i="10"/>
  <c r="AC197" i="10"/>
  <c r="AC196" i="10"/>
  <c r="AC195" i="10"/>
  <c r="AC194" i="10"/>
  <c r="AC193" i="10"/>
  <c r="AC192" i="10"/>
  <c r="AC191" i="10"/>
  <c r="AC190" i="10"/>
  <c r="AC189" i="10"/>
  <c r="AC188" i="10"/>
  <c r="AC187" i="10"/>
  <c r="AC186" i="10"/>
  <c r="AC185" i="10"/>
  <c r="AC184" i="10"/>
  <c r="AC183" i="10"/>
  <c r="AC182" i="10"/>
  <c r="AC181" i="10"/>
  <c r="AC180" i="10"/>
  <c r="AC179" i="10"/>
  <c r="AC178" i="10"/>
  <c r="AC177" i="10"/>
  <c r="AC176" i="10"/>
  <c r="AC175" i="10"/>
  <c r="AC174" i="10"/>
  <c r="AC173" i="10"/>
  <c r="AC172" i="10"/>
  <c r="AC171" i="10"/>
  <c r="AC170" i="10"/>
  <c r="AC169" i="10"/>
  <c r="AC168" i="10"/>
  <c r="AC167" i="10"/>
  <c r="AC166" i="10"/>
  <c r="AC165" i="10"/>
  <c r="AC164" i="10"/>
  <c r="AC163" i="10"/>
  <c r="AC162" i="10"/>
  <c r="AC161" i="10"/>
  <c r="AC160" i="10"/>
  <c r="AC159" i="10"/>
  <c r="AC158" i="10"/>
  <c r="AC157" i="10"/>
  <c r="AC156" i="10"/>
  <c r="AC155" i="10"/>
  <c r="AC154" i="10"/>
  <c r="AC153" i="10"/>
  <c r="AC152" i="10"/>
  <c r="AC151" i="10"/>
  <c r="AC150" i="10"/>
  <c r="AC149" i="10"/>
  <c r="AC148" i="10"/>
  <c r="AC147" i="10"/>
  <c r="AC146" i="10"/>
  <c r="AC145" i="10"/>
  <c r="AC144" i="10"/>
  <c r="AC143" i="10"/>
  <c r="AC142" i="10"/>
  <c r="AC141" i="10"/>
  <c r="AC140" i="10"/>
  <c r="AC139" i="10"/>
  <c r="AC138" i="10"/>
  <c r="AC137" i="10"/>
  <c r="AC136" i="10"/>
  <c r="AC135" i="10"/>
  <c r="AC134" i="10"/>
  <c r="AC133" i="10"/>
  <c r="AC132" i="10"/>
  <c r="AC131" i="10"/>
  <c r="AC130" i="10"/>
  <c r="AC129" i="10"/>
  <c r="AC128" i="10"/>
  <c r="AC127" i="10"/>
  <c r="AC126" i="10"/>
  <c r="AC125" i="10"/>
  <c r="AC124" i="10"/>
  <c r="AC123" i="10"/>
  <c r="AC122" i="10"/>
  <c r="AC121" i="10"/>
  <c r="AC120" i="10"/>
  <c r="AC119" i="10"/>
  <c r="AC118" i="10"/>
  <c r="AC117" i="10"/>
  <c r="AC116" i="10"/>
  <c r="AC115" i="10"/>
  <c r="AC114" i="10"/>
  <c r="AC113" i="10"/>
  <c r="AC111" i="10"/>
  <c r="AC110" i="10"/>
  <c r="AC109" i="10"/>
  <c r="AC108" i="10"/>
  <c r="AC107" i="10"/>
  <c r="AC106" i="10"/>
  <c r="AC105" i="10"/>
  <c r="AC104" i="10"/>
  <c r="AC103" i="10"/>
  <c r="AC102" i="10"/>
  <c r="AC101" i="10"/>
  <c r="AC100" i="10"/>
  <c r="AC99" i="10"/>
  <c r="AC98" i="10"/>
  <c r="AC97" i="10"/>
  <c r="AC96" i="10"/>
  <c r="AC95" i="10"/>
  <c r="AC94" i="10"/>
  <c r="AC93" i="10"/>
  <c r="AC92" i="10"/>
  <c r="AC91" i="10"/>
  <c r="AC90" i="10"/>
  <c r="AC89" i="10"/>
  <c r="AC88" i="10"/>
  <c r="AC87" i="10"/>
  <c r="AC86" i="10"/>
  <c r="AC85" i="10"/>
  <c r="AC84" i="10"/>
  <c r="AC83" i="10"/>
  <c r="AC82" i="10"/>
  <c r="AC81" i="10"/>
  <c r="AC80" i="10"/>
  <c r="AC79" i="10"/>
  <c r="AC78" i="10"/>
  <c r="AC77" i="10"/>
  <c r="AC76" i="10"/>
  <c r="AC75" i="10"/>
  <c r="AC74" i="10"/>
  <c r="AC73" i="10"/>
  <c r="AC72" i="10"/>
  <c r="AC71" i="10"/>
  <c r="AC70" i="10"/>
  <c r="AC69" i="10"/>
  <c r="AC68" i="10"/>
  <c r="AC67" i="10"/>
  <c r="AC66" i="10"/>
  <c r="AC65" i="10"/>
  <c r="AC64" i="10"/>
  <c r="AC63" i="10"/>
  <c r="AC62" i="10"/>
  <c r="AC61" i="10"/>
  <c r="AC60" i="10"/>
  <c r="AC59" i="10"/>
  <c r="AC58" i="10"/>
  <c r="AC57" i="10"/>
  <c r="AC56" i="10"/>
  <c r="AC55" i="10"/>
  <c r="AC54" i="10"/>
  <c r="AC53" i="10"/>
  <c r="AC52" i="10"/>
  <c r="AC51" i="10"/>
  <c r="AC50" i="10"/>
  <c r="AC49" i="10"/>
  <c r="AC48" i="10"/>
  <c r="AC47" i="10"/>
  <c r="AC46" i="10"/>
  <c r="AC45" i="10"/>
  <c r="AC44" i="10"/>
  <c r="AC43" i="10"/>
  <c r="AC42" i="10"/>
  <c r="AC41" i="10"/>
  <c r="AC40" i="10"/>
  <c r="AC39" i="10"/>
  <c r="AC38" i="10"/>
  <c r="AC37" i="10"/>
  <c r="AC36" i="10"/>
  <c r="AC35" i="10"/>
  <c r="AC34" i="10"/>
  <c r="AC33" i="10"/>
  <c r="AC32" i="10"/>
  <c r="AC31" i="10"/>
  <c r="AC30" i="10"/>
  <c r="AC29" i="10"/>
  <c r="AC28" i="10"/>
  <c r="AC27" i="10"/>
  <c r="AC26" i="10"/>
  <c r="AC25" i="10"/>
  <c r="AC24" i="10"/>
  <c r="AC23" i="10"/>
  <c r="AC22" i="10"/>
  <c r="AC21" i="10"/>
  <c r="AC20" i="10"/>
  <c r="AC19" i="10"/>
  <c r="AC18" i="10"/>
  <c r="AC17" i="10"/>
  <c r="AC16" i="10"/>
  <c r="AC15" i="10"/>
  <c r="AC14" i="10"/>
  <c r="AC13" i="10"/>
  <c r="AC12" i="10"/>
  <c r="AC11" i="10"/>
  <c r="AC10" i="10"/>
  <c r="AC9" i="10"/>
  <c r="AC8" i="10"/>
  <c r="AC7" i="10"/>
  <c r="AC6" i="10"/>
  <c r="AC5" i="10"/>
  <c r="AC4" i="10"/>
  <c r="AC3" i="10"/>
  <c r="AC4" i="9" l="1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AC154" i="9"/>
  <c r="AC155" i="9"/>
  <c r="AC156" i="9"/>
  <c r="AC157" i="9"/>
  <c r="AC158" i="9"/>
  <c r="AC159" i="9"/>
  <c r="AC160" i="9"/>
  <c r="AC161" i="9"/>
  <c r="AC162" i="9"/>
  <c r="AC163" i="9"/>
  <c r="AC164" i="9"/>
  <c r="AC165" i="9"/>
  <c r="AC166" i="9"/>
  <c r="AC167" i="9"/>
  <c r="AC168" i="9"/>
  <c r="AC169" i="9"/>
  <c r="AC170" i="9"/>
  <c r="AC171" i="9"/>
  <c r="AC172" i="9"/>
  <c r="AC173" i="9"/>
  <c r="AC174" i="9"/>
  <c r="AC175" i="9"/>
  <c r="AC176" i="9"/>
  <c r="AC177" i="9"/>
  <c r="AC178" i="9"/>
  <c r="AC179" i="9"/>
  <c r="AC180" i="9"/>
  <c r="AC181" i="9"/>
  <c r="AC182" i="9"/>
  <c r="AC183" i="9"/>
  <c r="AC184" i="9"/>
  <c r="AC185" i="9"/>
  <c r="AC186" i="9"/>
  <c r="AC187" i="9"/>
  <c r="AC188" i="9"/>
  <c r="AC189" i="9"/>
  <c r="AC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C242" i="9"/>
  <c r="AC243" i="9"/>
  <c r="AC244" i="9"/>
  <c r="AC245" i="9"/>
  <c r="AC246" i="9"/>
  <c r="AC247" i="9"/>
  <c r="AC248" i="9"/>
  <c r="AC249" i="9"/>
  <c r="AC250" i="9"/>
  <c r="AC251" i="9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C298" i="9"/>
  <c r="AC299" i="9"/>
  <c r="AC300" i="9"/>
  <c r="AC301" i="9"/>
  <c r="AC302" i="9"/>
  <c r="AC303" i="9"/>
  <c r="AC304" i="9"/>
  <c r="AC305" i="9"/>
  <c r="AC306" i="9"/>
  <c r="AC307" i="9"/>
  <c r="AC308" i="9"/>
  <c r="AC309" i="9"/>
  <c r="AC310" i="9"/>
  <c r="AC311" i="9"/>
  <c r="AC312" i="9"/>
  <c r="AC313" i="9"/>
  <c r="AC314" i="9"/>
  <c r="AC315" i="9"/>
  <c r="AC316" i="9"/>
  <c r="AC317" i="9"/>
  <c r="AC318" i="9"/>
  <c r="AC319" i="9"/>
  <c r="AC320" i="9"/>
  <c r="AC321" i="9"/>
  <c r="AC322" i="9"/>
  <c r="AC323" i="9"/>
  <c r="AC324" i="9"/>
  <c r="AC325" i="9"/>
  <c r="AC326" i="9"/>
  <c r="AC327" i="9"/>
  <c r="AC328" i="9"/>
  <c r="AC329" i="9"/>
  <c r="AC330" i="9"/>
  <c r="AC331" i="9" l="1"/>
  <c r="AC332" i="9"/>
  <c r="AC333" i="9" l="1"/>
  <c r="AF6" i="9" l="1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F105" i="9"/>
  <c r="AF106" i="9"/>
  <c r="AF107" i="9"/>
  <c r="AF108" i="9"/>
  <c r="AF109" i="9"/>
  <c r="AF110" i="9"/>
  <c r="AF111" i="9"/>
  <c r="AF112" i="9"/>
  <c r="AF113" i="9"/>
  <c r="AF114" i="9"/>
  <c r="AF115" i="9"/>
  <c r="AF116" i="9"/>
  <c r="AF117" i="9"/>
  <c r="AF118" i="9"/>
  <c r="AF119" i="9"/>
  <c r="AF120" i="9"/>
  <c r="AF121" i="9"/>
  <c r="AF122" i="9"/>
  <c r="AF123" i="9"/>
  <c r="AF124" i="9"/>
  <c r="AF125" i="9"/>
  <c r="AF126" i="9"/>
  <c r="AF127" i="9"/>
  <c r="AF128" i="9"/>
  <c r="AF129" i="9"/>
  <c r="AF130" i="9"/>
  <c r="AF131" i="9"/>
  <c r="AF132" i="9"/>
  <c r="AF133" i="9"/>
  <c r="AF134" i="9"/>
  <c r="AF135" i="9"/>
  <c r="AF136" i="9"/>
  <c r="AF137" i="9"/>
  <c r="AF138" i="9"/>
  <c r="AF139" i="9"/>
  <c r="AF140" i="9"/>
  <c r="AF141" i="9"/>
  <c r="AF142" i="9"/>
  <c r="AF143" i="9"/>
  <c r="AF144" i="9"/>
  <c r="AF145" i="9"/>
  <c r="AF146" i="9"/>
  <c r="AF147" i="9"/>
  <c r="AF148" i="9"/>
  <c r="AF149" i="9"/>
  <c r="AF150" i="9"/>
  <c r="AF151" i="9"/>
  <c r="AF152" i="9"/>
  <c r="AF153" i="9"/>
  <c r="AF154" i="9"/>
  <c r="AF155" i="9"/>
  <c r="AF156" i="9"/>
  <c r="AF157" i="9"/>
  <c r="AF158" i="9"/>
  <c r="AF159" i="9"/>
  <c r="AF160" i="9"/>
  <c r="AF161" i="9"/>
  <c r="AF162" i="9"/>
  <c r="AF163" i="9"/>
  <c r="AF164" i="9"/>
  <c r="AF165" i="9"/>
  <c r="AF166" i="9"/>
  <c r="AF167" i="9"/>
  <c r="AF168" i="9"/>
  <c r="AF169" i="9"/>
  <c r="AF170" i="9"/>
  <c r="AF171" i="9"/>
  <c r="AF172" i="9"/>
  <c r="AF173" i="9"/>
  <c r="AF174" i="9"/>
  <c r="AF175" i="9"/>
  <c r="AF176" i="9"/>
  <c r="AF177" i="9"/>
  <c r="AF178" i="9"/>
  <c r="AF179" i="9"/>
  <c r="AF180" i="9"/>
  <c r="AF181" i="9"/>
  <c r="AF182" i="9"/>
  <c r="AF183" i="9"/>
  <c r="AF184" i="9"/>
  <c r="AF185" i="9"/>
  <c r="AF186" i="9"/>
  <c r="AF187" i="9"/>
  <c r="AF188" i="9"/>
  <c r="AF189" i="9"/>
  <c r="AF190" i="9"/>
  <c r="AF191" i="9"/>
  <c r="AF192" i="9"/>
  <c r="AF193" i="9"/>
  <c r="AF194" i="9"/>
  <c r="AF195" i="9"/>
  <c r="AF196" i="9"/>
  <c r="AF197" i="9"/>
  <c r="AF198" i="9"/>
  <c r="AF199" i="9"/>
  <c r="AF200" i="9"/>
  <c r="AF201" i="9"/>
  <c r="AF202" i="9"/>
  <c r="AF203" i="9"/>
  <c r="AF204" i="9"/>
  <c r="AF205" i="9"/>
  <c r="AF206" i="9"/>
  <c r="AF207" i="9"/>
  <c r="AF208" i="9"/>
  <c r="AF209" i="9"/>
  <c r="AF210" i="9"/>
  <c r="AF211" i="9"/>
  <c r="AF212" i="9"/>
  <c r="AF213" i="9"/>
  <c r="AF214" i="9"/>
  <c r="AF215" i="9"/>
  <c r="AF216" i="9"/>
  <c r="AF217" i="9"/>
  <c r="AF218" i="9"/>
  <c r="AF219" i="9"/>
  <c r="AF220" i="9"/>
  <c r="AF221" i="9"/>
  <c r="AF222" i="9"/>
  <c r="AF223" i="9"/>
  <c r="AF224" i="9"/>
  <c r="AF225" i="9"/>
  <c r="AF226" i="9"/>
  <c r="AF227" i="9"/>
  <c r="AF228" i="9"/>
  <c r="AF229" i="9"/>
  <c r="AF230" i="9"/>
  <c r="AF231" i="9"/>
  <c r="AF232" i="9"/>
  <c r="AF233" i="9"/>
  <c r="AF234" i="9"/>
  <c r="AF235" i="9"/>
  <c r="AF236" i="9"/>
  <c r="AF237" i="9"/>
  <c r="AF238" i="9"/>
  <c r="AF239" i="9"/>
  <c r="AF240" i="9"/>
  <c r="AF241" i="9"/>
  <c r="AF242" i="9"/>
  <c r="AF243" i="9"/>
  <c r="AF244" i="9"/>
  <c r="AF245" i="9"/>
  <c r="AF246" i="9"/>
  <c r="AF247" i="9"/>
  <c r="AF248" i="9"/>
  <c r="AF249" i="9"/>
  <c r="AF250" i="9"/>
  <c r="AF251" i="9"/>
  <c r="AF252" i="9"/>
  <c r="AF253" i="9"/>
  <c r="AF254" i="9"/>
  <c r="AF255" i="9"/>
  <c r="AF256" i="9"/>
  <c r="AF257" i="9"/>
  <c r="AF258" i="9"/>
  <c r="AF259" i="9"/>
  <c r="AF260" i="9"/>
  <c r="AF261" i="9"/>
  <c r="AF262" i="9"/>
  <c r="AF263" i="9"/>
  <c r="AF264" i="9"/>
  <c r="AF265" i="9"/>
  <c r="AF266" i="9"/>
  <c r="AF267" i="9"/>
  <c r="AF268" i="9"/>
  <c r="AF269" i="9"/>
  <c r="AF270" i="9"/>
  <c r="AF271" i="9"/>
  <c r="AF272" i="9"/>
  <c r="AF273" i="9"/>
  <c r="AF274" i="9"/>
  <c r="AF275" i="9"/>
  <c r="AF276" i="9"/>
  <c r="AF277" i="9"/>
  <c r="AF278" i="9"/>
  <c r="AF279" i="9"/>
  <c r="AF280" i="9"/>
  <c r="AF281" i="9"/>
  <c r="AF282" i="9"/>
  <c r="AF283" i="9"/>
  <c r="AF284" i="9"/>
  <c r="AF285" i="9"/>
  <c r="AF286" i="9"/>
  <c r="AF287" i="9"/>
  <c r="AF288" i="9"/>
  <c r="AF289" i="9"/>
  <c r="AF290" i="9"/>
  <c r="AF291" i="9"/>
  <c r="AF292" i="9"/>
  <c r="AF293" i="9"/>
  <c r="AF294" i="9"/>
  <c r="AF295" i="9"/>
  <c r="AF296" i="9"/>
  <c r="AF297" i="9"/>
  <c r="AF298" i="9"/>
  <c r="AF299" i="9"/>
  <c r="AF300" i="9"/>
  <c r="AF301" i="9"/>
  <c r="AF302" i="9"/>
  <c r="AF303" i="9"/>
  <c r="AF304" i="9"/>
  <c r="AF305" i="9"/>
  <c r="AF306" i="9"/>
  <c r="AF307" i="9"/>
  <c r="AF308" i="9"/>
  <c r="AF309" i="9"/>
  <c r="AF310" i="9"/>
  <c r="AF311" i="9"/>
  <c r="AF312" i="9"/>
  <c r="AF313" i="9"/>
  <c r="AF314" i="9"/>
  <c r="AF315" i="9"/>
  <c r="AF316" i="9"/>
  <c r="AF317" i="9"/>
  <c r="AF318" i="9"/>
  <c r="AF319" i="9"/>
  <c r="AF320" i="9"/>
  <c r="AF321" i="9"/>
  <c r="AF322" i="9"/>
  <c r="AF323" i="9"/>
  <c r="AF324" i="9"/>
  <c r="AF325" i="9"/>
  <c r="AF326" i="9"/>
  <c r="AF327" i="9"/>
  <c r="AF328" i="9"/>
  <c r="AF329" i="9"/>
  <c r="AF330" i="9"/>
  <c r="AF331" i="9"/>
  <c r="AF332" i="9"/>
  <c r="AF333" i="9"/>
  <c r="AF3" i="10" l="1"/>
  <c r="AF3" i="9"/>
  <c r="AF300" i="10"/>
  <c r="AF304" i="10"/>
  <c r="AF308" i="10"/>
  <c r="AF312" i="10"/>
  <c r="AF316" i="10"/>
  <c r="AF320" i="10"/>
  <c r="AF324" i="10"/>
  <c r="AF328" i="10"/>
  <c r="AF332" i="10"/>
  <c r="AF336" i="10"/>
  <c r="AF340" i="10"/>
  <c r="AF344" i="10"/>
  <c r="AF348" i="10"/>
  <c r="AF352" i="10"/>
  <c r="AF356" i="10"/>
  <c r="AF360" i="10"/>
  <c r="AF364" i="10"/>
  <c r="AF368" i="10"/>
  <c r="AF372" i="10"/>
  <c r="AF376" i="10"/>
  <c r="AF380" i="10"/>
  <c r="AF38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3" i="10"/>
  <c r="AF114" i="10"/>
  <c r="AF124" i="10"/>
  <c r="AF115" i="10"/>
  <c r="AF125" i="10"/>
  <c r="AF116" i="10"/>
  <c r="AF209" i="10"/>
  <c r="AF117" i="10"/>
  <c r="AF118" i="10"/>
  <c r="AF210" i="10"/>
  <c r="AF211" i="10"/>
  <c r="AF119" i="10"/>
  <c r="AF212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13" i="10"/>
  <c r="AF217" i="10"/>
  <c r="AF120" i="10"/>
  <c r="AF121" i="10"/>
  <c r="AF225" i="10"/>
  <c r="AF214" i="10"/>
  <c r="AF215" i="10"/>
  <c r="AF216" i="10"/>
  <c r="AF122" i="10"/>
  <c r="AF218" i="10"/>
  <c r="AF219" i="10"/>
  <c r="AF220" i="10"/>
  <c r="AF221" i="10"/>
  <c r="AF222" i="10"/>
  <c r="AF223" i="10"/>
  <c r="AF224" i="10"/>
  <c r="AF123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1" i="10"/>
  <c r="AF302" i="10"/>
  <c r="AF303" i="10"/>
  <c r="AF305" i="10"/>
  <c r="AF306" i="10"/>
  <c r="AF307" i="10"/>
  <c r="AF309" i="10"/>
  <c r="AF310" i="10"/>
  <c r="AF311" i="10"/>
  <c r="AF313" i="10"/>
  <c r="AF314" i="10"/>
  <c r="AF315" i="10"/>
  <c r="AF317" i="10"/>
  <c r="AF318" i="10"/>
  <c r="AF319" i="10"/>
  <c r="AF321" i="10"/>
  <c r="AF322" i="10"/>
  <c r="AF323" i="10"/>
  <c r="AF325" i="10"/>
  <c r="AF326" i="10"/>
  <c r="AF327" i="10"/>
  <c r="AF329" i="10"/>
  <c r="AF330" i="10"/>
  <c r="AF331" i="10"/>
  <c r="AF333" i="10"/>
  <c r="AF334" i="10"/>
  <c r="AF335" i="10"/>
  <c r="AF337" i="10"/>
  <c r="AF338" i="10"/>
  <c r="AF339" i="10"/>
  <c r="AF341" i="10"/>
  <c r="AF342" i="10"/>
  <c r="AF343" i="10"/>
  <c r="AF345" i="10"/>
  <c r="AF346" i="10"/>
  <c r="AF347" i="10"/>
  <c r="AF349" i="10"/>
  <c r="AF350" i="10"/>
  <c r="AF351" i="10"/>
  <c r="AF353" i="10"/>
  <c r="AF354" i="10"/>
  <c r="AF355" i="10"/>
  <c r="AF357" i="10"/>
  <c r="AF358" i="10"/>
  <c r="AF359" i="10"/>
  <c r="AF361" i="10"/>
  <c r="AF362" i="10"/>
  <c r="AF363" i="10"/>
  <c r="AF365" i="10"/>
  <c r="AF366" i="10"/>
  <c r="AF367" i="10"/>
  <c r="AF369" i="10"/>
  <c r="AF370" i="10"/>
  <c r="AF371" i="10"/>
  <c r="AF373" i="10"/>
  <c r="AF374" i="10"/>
  <c r="AF375" i="10"/>
  <c r="AF377" i="10"/>
  <c r="AF378" i="10"/>
  <c r="AF379" i="10"/>
  <c r="AF381" i="10"/>
  <c r="AF382" i="10"/>
  <c r="AF383" i="10"/>
  <c r="AF385" i="10"/>
  <c r="AF386" i="10"/>
  <c r="AF387" i="10"/>
  <c r="AF388" i="10"/>
  <c r="AF389" i="10"/>
  <c r="AF390" i="10"/>
  <c r="AH14" i="9"/>
  <c r="AI14" i="9" s="1"/>
  <c r="AH15" i="9"/>
  <c r="AI15" i="9" s="1"/>
  <c r="AH16" i="9"/>
  <c r="AI16" i="9" s="1"/>
  <c r="AH17" i="9"/>
  <c r="AI17" i="9" s="1"/>
  <c r="AH18" i="9"/>
  <c r="AI18" i="9" s="1"/>
  <c r="AH19" i="9"/>
  <c r="AI19" i="9" s="1"/>
  <c r="AH20" i="9"/>
  <c r="AI20" i="9" s="1"/>
  <c r="AH21" i="9"/>
  <c r="AI21" i="9" s="1"/>
  <c r="AH22" i="9"/>
  <c r="AI22" i="9" s="1"/>
  <c r="AH23" i="9"/>
  <c r="AH24" i="9"/>
  <c r="AI24" i="9" s="1"/>
  <c r="AH25" i="9"/>
  <c r="AI25" i="9" s="1"/>
  <c r="AH26" i="9"/>
  <c r="AI26" i="9" s="1"/>
  <c r="AH27" i="9"/>
  <c r="AI27" i="9" s="1"/>
  <c r="AH28" i="9"/>
  <c r="AI28" i="9" s="1"/>
  <c r="AH29" i="9"/>
  <c r="AH30" i="9"/>
  <c r="AI30" i="9" s="1"/>
  <c r="AH31" i="9"/>
  <c r="AI31" i="9" s="1"/>
  <c r="AH32" i="9"/>
  <c r="AH33" i="9"/>
  <c r="AI33" i="9" s="1"/>
  <c r="AH34" i="9"/>
  <c r="AI34" i="9" s="1"/>
  <c r="AH35" i="9"/>
  <c r="AH36" i="9"/>
  <c r="AH37" i="9"/>
  <c r="AI37" i="9" s="1"/>
  <c r="AH38" i="9"/>
  <c r="AI38" i="9" s="1"/>
  <c r="AH39" i="9"/>
  <c r="AI39" i="9" s="1"/>
  <c r="AH40" i="9"/>
  <c r="AI40" i="9" s="1"/>
  <c r="AH41" i="9"/>
  <c r="AH42" i="9"/>
  <c r="AI42" i="9" s="1"/>
  <c r="AH43" i="9"/>
  <c r="AI43" i="9" s="1"/>
  <c r="AH44" i="9"/>
  <c r="AI44" i="9" s="1"/>
  <c r="AH45" i="9"/>
  <c r="AH46" i="9"/>
  <c r="AI46" i="9" s="1"/>
  <c r="AH47" i="9"/>
  <c r="AI47" i="9" s="1"/>
  <c r="AH48" i="9"/>
  <c r="AI48" i="9" s="1"/>
  <c r="AH49" i="9"/>
  <c r="AI49" i="9" s="1"/>
  <c r="AH50" i="9"/>
  <c r="AI50" i="9" s="1"/>
  <c r="AH51" i="9"/>
  <c r="AI51" i="9" s="1"/>
  <c r="AH52" i="9"/>
  <c r="AI52" i="9" s="1"/>
  <c r="AH53" i="9"/>
  <c r="AI53" i="9" s="1"/>
  <c r="AH54" i="9"/>
  <c r="AI54" i="9" s="1"/>
  <c r="AH55" i="9"/>
  <c r="AI55" i="9" s="1"/>
  <c r="AH56" i="9"/>
  <c r="AH57" i="9"/>
  <c r="AI57" i="9" s="1"/>
  <c r="AH58" i="9"/>
  <c r="AI58" i="9" s="1"/>
  <c r="AH59" i="9"/>
  <c r="AI59" i="9" s="1"/>
  <c r="AH60" i="9"/>
  <c r="AI60" i="9" s="1"/>
  <c r="AH61" i="9"/>
  <c r="AH62" i="9"/>
  <c r="AI62" i="9" s="1"/>
  <c r="AH63" i="9"/>
  <c r="AI63" i="9" s="1"/>
  <c r="AH64" i="9"/>
  <c r="AI64" i="9" s="1"/>
  <c r="AH65" i="9"/>
  <c r="AI65" i="9" s="1"/>
  <c r="AH66" i="9"/>
  <c r="AI66" i="9" s="1"/>
  <c r="AH67" i="9"/>
  <c r="AI67" i="9" s="1"/>
  <c r="AH68" i="9"/>
  <c r="AH69" i="9"/>
  <c r="AI69" i="9" s="1"/>
  <c r="AH70" i="9"/>
  <c r="AI70" i="9" s="1"/>
  <c r="AH71" i="9"/>
  <c r="AI71" i="9" s="1"/>
  <c r="AH72" i="9"/>
  <c r="AI72" i="9" s="1"/>
  <c r="AH73" i="9"/>
  <c r="AH74" i="9"/>
  <c r="AI74" i="9" s="1"/>
  <c r="AH75" i="9"/>
  <c r="AI75" i="9" s="1"/>
  <c r="AH76" i="9"/>
  <c r="AI76" i="9" s="1"/>
  <c r="AH77" i="9"/>
  <c r="AH78" i="9"/>
  <c r="AJ78" i="9" s="1"/>
  <c r="AH79" i="9"/>
  <c r="AI79" i="9" s="1"/>
  <c r="AH80" i="9"/>
  <c r="AI80" i="9" s="1"/>
  <c r="AH81" i="9"/>
  <c r="AI81" i="9" s="1"/>
  <c r="AH82" i="9"/>
  <c r="AI82" i="9" s="1"/>
  <c r="AH83" i="9"/>
  <c r="AI83" i="9" s="1"/>
  <c r="AH84" i="9"/>
  <c r="AI84" i="9" s="1"/>
  <c r="AH85" i="9"/>
  <c r="AI85" i="9" s="1"/>
  <c r="AH86" i="9"/>
  <c r="AI86" i="9" s="1"/>
  <c r="AH87" i="9"/>
  <c r="AI87" i="9" s="1"/>
  <c r="AH88" i="9"/>
  <c r="AH89" i="9"/>
  <c r="AI89" i="9" s="1"/>
  <c r="AI90" i="9"/>
  <c r="AH91" i="9"/>
  <c r="AI91" i="9" s="1"/>
  <c r="AH92" i="9"/>
  <c r="AI92" i="9" s="1"/>
  <c r="AH93" i="9"/>
  <c r="AH94" i="9"/>
  <c r="AI94" i="9" s="1"/>
  <c r="AH95" i="9"/>
  <c r="AI95" i="9" s="1"/>
  <c r="AH96" i="9"/>
  <c r="AH97" i="9"/>
  <c r="AI97" i="9" s="1"/>
  <c r="AH98" i="9"/>
  <c r="AI98" i="9" s="1"/>
  <c r="AH99" i="9"/>
  <c r="AI99" i="9" s="1"/>
  <c r="AH100" i="9"/>
  <c r="AH101" i="9"/>
  <c r="AI101" i="9" s="1"/>
  <c r="AH102" i="9"/>
  <c r="AI102" i="9" s="1"/>
  <c r="AH103" i="9"/>
  <c r="AI103" i="9" s="1"/>
  <c r="AH104" i="9"/>
  <c r="AI104" i="9" s="1"/>
  <c r="AH105" i="9"/>
  <c r="AH106" i="9"/>
  <c r="AI106" i="9" s="1"/>
  <c r="AH107" i="9"/>
  <c r="AI107" i="9" s="1"/>
  <c r="AH108" i="9"/>
  <c r="AI108" i="9" s="1"/>
  <c r="AH109" i="9"/>
  <c r="AH110" i="9"/>
  <c r="AI110" i="9" s="1"/>
  <c r="AH111" i="9"/>
  <c r="AI111" i="9" s="1"/>
  <c r="AH112" i="9"/>
  <c r="AI112" i="9" s="1"/>
  <c r="AH113" i="9"/>
  <c r="AI113" i="9" s="1"/>
  <c r="AH114" i="9"/>
  <c r="AI114" i="9" s="1"/>
  <c r="AH115" i="9"/>
  <c r="AI115" i="9" s="1"/>
  <c r="AH116" i="9"/>
  <c r="AI116" i="9" s="1"/>
  <c r="AH117" i="9"/>
  <c r="AI117" i="9" s="1"/>
  <c r="AH118" i="9"/>
  <c r="AI118" i="9" s="1"/>
  <c r="AH119" i="9"/>
  <c r="AI119" i="9" s="1"/>
  <c r="AH120" i="9"/>
  <c r="AH121" i="9"/>
  <c r="AH122" i="9"/>
  <c r="AI122" i="9" s="1"/>
  <c r="AH123" i="9"/>
  <c r="AI123" i="9" s="1"/>
  <c r="AH124" i="9"/>
  <c r="AI124" i="9" s="1"/>
  <c r="AH125" i="9"/>
  <c r="AH126" i="9"/>
  <c r="AI126" i="9" s="1"/>
  <c r="AH127" i="9"/>
  <c r="AI127" i="9" s="1"/>
  <c r="AH128" i="9"/>
  <c r="AH129" i="9"/>
  <c r="AI129" i="9" s="1"/>
  <c r="AH130" i="9"/>
  <c r="AI130" i="9" s="1"/>
  <c r="AH131" i="9"/>
  <c r="AI131" i="9" s="1"/>
  <c r="AH132" i="9"/>
  <c r="AH133" i="9"/>
  <c r="AH134" i="9"/>
  <c r="AI134" i="9" s="1"/>
  <c r="AH135" i="9"/>
  <c r="AI135" i="9" s="1"/>
  <c r="AH136" i="9"/>
  <c r="AI136" i="9" s="1"/>
  <c r="AH137" i="9"/>
  <c r="AI137" i="9" s="1"/>
  <c r="AH138" i="9"/>
  <c r="AI138" i="9" s="1"/>
  <c r="AH139" i="9"/>
  <c r="AI139" i="9" s="1"/>
  <c r="AH140" i="9"/>
  <c r="AI140" i="9" s="1"/>
  <c r="AH141" i="9"/>
  <c r="AH142" i="9"/>
  <c r="AI142" i="9" s="1"/>
  <c r="AH143" i="9"/>
  <c r="AI143" i="9" s="1"/>
  <c r="AH144" i="9"/>
  <c r="AI144" i="9" s="1"/>
  <c r="AH145" i="9"/>
  <c r="AH146" i="9"/>
  <c r="AI146" i="9" s="1"/>
  <c r="AH147" i="9"/>
  <c r="AH148" i="9"/>
  <c r="AI148" i="9" s="1"/>
  <c r="AH149" i="9"/>
  <c r="AI149" i="9" s="1"/>
  <c r="AH150" i="9"/>
  <c r="AI150" i="9" s="1"/>
  <c r="AH151" i="9"/>
  <c r="AI151" i="9" s="1"/>
  <c r="AH152" i="9"/>
  <c r="AH153" i="9"/>
  <c r="AH154" i="9"/>
  <c r="AI154" i="9" s="1"/>
  <c r="AH155" i="9"/>
  <c r="AI155" i="9" s="1"/>
  <c r="AH156" i="9"/>
  <c r="AI156" i="9" s="1"/>
  <c r="AH157" i="9"/>
  <c r="AH158" i="9"/>
  <c r="AI158" i="9" s="1"/>
  <c r="AH159" i="9"/>
  <c r="AI159" i="9" s="1"/>
  <c r="AH160" i="9"/>
  <c r="AH161" i="9"/>
  <c r="AI161" i="9" s="1"/>
  <c r="AH162" i="9"/>
  <c r="AI162" i="9" s="1"/>
  <c r="AH163" i="9"/>
  <c r="AI163" i="9" s="1"/>
  <c r="AH164" i="9"/>
  <c r="AH165" i="9"/>
  <c r="AH166" i="9"/>
  <c r="AI166" i="9" s="1"/>
  <c r="AH167" i="9"/>
  <c r="AI167" i="9" s="1"/>
  <c r="AH168" i="9"/>
  <c r="AI168" i="9" s="1"/>
  <c r="AH169" i="9"/>
  <c r="AI169" i="9" s="1"/>
  <c r="AH170" i="9"/>
  <c r="AI170" i="9" s="1"/>
  <c r="AH171" i="9"/>
  <c r="AI171" i="9" s="1"/>
  <c r="AH172" i="9"/>
  <c r="AI172" i="9" s="1"/>
  <c r="AH173" i="9"/>
  <c r="AH174" i="9"/>
  <c r="AI174" i="9" s="1"/>
  <c r="AH175" i="9"/>
  <c r="AI175" i="9" s="1"/>
  <c r="AH176" i="9"/>
  <c r="AI176" i="9" s="1"/>
  <c r="AH177" i="9"/>
  <c r="AH178" i="9"/>
  <c r="AI178" i="9" s="1"/>
  <c r="AH179" i="9"/>
  <c r="AI179" i="9" s="1"/>
  <c r="AH180" i="9"/>
  <c r="AI180" i="9" s="1"/>
  <c r="AH181" i="9"/>
  <c r="AI181" i="9" s="1"/>
  <c r="AH182" i="9"/>
  <c r="AI182" i="9" s="1"/>
  <c r="AH183" i="9"/>
  <c r="AI183" i="9" s="1"/>
  <c r="AH184" i="9"/>
  <c r="AH185" i="9"/>
  <c r="AH186" i="9"/>
  <c r="AI186" i="9" s="1"/>
  <c r="AH187" i="9"/>
  <c r="AI187" i="9" s="1"/>
  <c r="AH188" i="9"/>
  <c r="AI188" i="9" s="1"/>
  <c r="AH189" i="9"/>
  <c r="AH190" i="9"/>
  <c r="AI190" i="9" s="1"/>
  <c r="AH191" i="9"/>
  <c r="AI191" i="9" s="1"/>
  <c r="AH192" i="9"/>
  <c r="AI192" i="9" s="1"/>
  <c r="AH193" i="9"/>
  <c r="AI193" i="9" s="1"/>
  <c r="AH194" i="9"/>
  <c r="AI194" i="9" s="1"/>
  <c r="AH195" i="9"/>
  <c r="AI195" i="9" s="1"/>
  <c r="AH196" i="9"/>
  <c r="AH197" i="9"/>
  <c r="AH198" i="9"/>
  <c r="AI198" i="9" s="1"/>
  <c r="AH199" i="9"/>
  <c r="AI199" i="9" s="1"/>
  <c r="AH200" i="9"/>
  <c r="AI200" i="9" s="1"/>
  <c r="AH201" i="9"/>
  <c r="AI201" i="9" s="1"/>
  <c r="AH202" i="9"/>
  <c r="AI202" i="9" s="1"/>
  <c r="AH203" i="9"/>
  <c r="AH204" i="9"/>
  <c r="AI204" i="9" s="1"/>
  <c r="AH205" i="9"/>
  <c r="AH206" i="9"/>
  <c r="AI206" i="9" s="1"/>
  <c r="AH207" i="9"/>
  <c r="AI207" i="9" s="1"/>
  <c r="AH208" i="9"/>
  <c r="AI208" i="9" s="1"/>
  <c r="AH209" i="9"/>
  <c r="AH210" i="9"/>
  <c r="AI210" i="9" s="1"/>
  <c r="AH211" i="9"/>
  <c r="AI211" i="9" s="1"/>
  <c r="AH212" i="9"/>
  <c r="AI212" i="9" s="1"/>
  <c r="AH213" i="9"/>
  <c r="AI213" i="9" s="1"/>
  <c r="AH214" i="9"/>
  <c r="AI214" i="9" s="1"/>
  <c r="AH215" i="9"/>
  <c r="AH216" i="9"/>
  <c r="AH217" i="9"/>
  <c r="AI217" i="9" s="1"/>
  <c r="AH218" i="9"/>
  <c r="AI218" i="9" s="1"/>
  <c r="AH219" i="9"/>
  <c r="AI219" i="9" s="1"/>
  <c r="AH220" i="9"/>
  <c r="AI220" i="9" s="1"/>
  <c r="AH221" i="9"/>
  <c r="AH222" i="9"/>
  <c r="AI222" i="9" s="1"/>
  <c r="AH223" i="9"/>
  <c r="AI223" i="9" s="1"/>
  <c r="AH224" i="9"/>
  <c r="AH225" i="9"/>
  <c r="AI225" i="9" s="1"/>
  <c r="AH226" i="9"/>
  <c r="AI226" i="9" s="1"/>
  <c r="AH227" i="9"/>
  <c r="AI227" i="9" s="1"/>
  <c r="AH228" i="9"/>
  <c r="AH229" i="9"/>
  <c r="AH230" i="9"/>
  <c r="AI230" i="9" s="1"/>
  <c r="AH231" i="9"/>
  <c r="AI231" i="9" s="1"/>
  <c r="AH232" i="9"/>
  <c r="AI232" i="9" s="1"/>
  <c r="AH233" i="9"/>
  <c r="AI233" i="9" s="1"/>
  <c r="AH234" i="9"/>
  <c r="AI234" i="9" s="1"/>
  <c r="AH235" i="9"/>
  <c r="AI235" i="9" s="1"/>
  <c r="AH236" i="9"/>
  <c r="AI236" i="9" s="1"/>
  <c r="AH237" i="9"/>
  <c r="AH238" i="9"/>
  <c r="AI238" i="9" s="1"/>
  <c r="AH239" i="9"/>
  <c r="AI239" i="9" s="1"/>
  <c r="AH240" i="9"/>
  <c r="AI240" i="9" s="1"/>
  <c r="AH241" i="9"/>
  <c r="AH242" i="9"/>
  <c r="AI242" i="9" s="1"/>
  <c r="AH243" i="9"/>
  <c r="AI243" i="9" s="1"/>
  <c r="AH244" i="9"/>
  <c r="AI244" i="9" s="1"/>
  <c r="AH245" i="9"/>
  <c r="AI245" i="9" s="1"/>
  <c r="AH246" i="9"/>
  <c r="AI246" i="9" s="1"/>
  <c r="AH247" i="9"/>
  <c r="AI247" i="9" s="1"/>
  <c r="AH248" i="9"/>
  <c r="AH249" i="9"/>
  <c r="AH250" i="9"/>
  <c r="AI250" i="9" s="1"/>
  <c r="AH251" i="9"/>
  <c r="AI251" i="9" s="1"/>
  <c r="AH252" i="9"/>
  <c r="AI252" i="9" s="1"/>
  <c r="AH253" i="9"/>
  <c r="AH254" i="9"/>
  <c r="AI254" i="9" s="1"/>
  <c r="AH255" i="9"/>
  <c r="AI255" i="9" s="1"/>
  <c r="AH256" i="9"/>
  <c r="AH257" i="9"/>
  <c r="AI257" i="9" s="1"/>
  <c r="AH258" i="9"/>
  <c r="AI258" i="9" s="1"/>
  <c r="AH259" i="9"/>
  <c r="AI259" i="9" s="1"/>
  <c r="AH260" i="9"/>
  <c r="AH261" i="9"/>
  <c r="AH262" i="9"/>
  <c r="AI262" i="9" s="1"/>
  <c r="AH263" i="9"/>
  <c r="AI263" i="9" s="1"/>
  <c r="AH264" i="9"/>
  <c r="AI264" i="9" s="1"/>
  <c r="AH265" i="9"/>
  <c r="AI265" i="9" s="1"/>
  <c r="AH266" i="9"/>
  <c r="AI266" i="9" s="1"/>
  <c r="AH267" i="9"/>
  <c r="AH268" i="9"/>
  <c r="AI268" i="9" s="1"/>
  <c r="AH269" i="9"/>
  <c r="AH270" i="9"/>
  <c r="AI270" i="9" s="1"/>
  <c r="AH271" i="9"/>
  <c r="AI271" i="9" s="1"/>
  <c r="AH272" i="9"/>
  <c r="AI272" i="9" s="1"/>
  <c r="AH273" i="9"/>
  <c r="AH274" i="9"/>
  <c r="AI274" i="9" s="1"/>
  <c r="AH275" i="9"/>
  <c r="AH276" i="9"/>
  <c r="AI276" i="9" s="1"/>
  <c r="AH277" i="9"/>
  <c r="AI277" i="9" s="1"/>
  <c r="AH278" i="9"/>
  <c r="AI278" i="9" s="1"/>
  <c r="AH279" i="9"/>
  <c r="AH280" i="9"/>
  <c r="AH281" i="9"/>
  <c r="AH282" i="9"/>
  <c r="AI282" i="9" s="1"/>
  <c r="AH283" i="9"/>
  <c r="AI283" i="9" s="1"/>
  <c r="AH284" i="9"/>
  <c r="AI284" i="9" s="1"/>
  <c r="AH285" i="9"/>
  <c r="AH286" i="9"/>
  <c r="AI286" i="9" s="1"/>
  <c r="AH287" i="9"/>
  <c r="AI287" i="9" s="1"/>
  <c r="AH288" i="9"/>
  <c r="AH289" i="9"/>
  <c r="AI289" i="9" s="1"/>
  <c r="AH290" i="9"/>
  <c r="AI290" i="9" s="1"/>
  <c r="AH291" i="9"/>
  <c r="AI291" i="9" s="1"/>
  <c r="AH292" i="9"/>
  <c r="AH293" i="9"/>
  <c r="AH294" i="9"/>
  <c r="AI294" i="9" s="1"/>
  <c r="AH295" i="9"/>
  <c r="AI295" i="9" s="1"/>
  <c r="AH296" i="9"/>
  <c r="AI296" i="9" s="1"/>
  <c r="AH297" i="9"/>
  <c r="AI297" i="9" s="1"/>
  <c r="AH298" i="9"/>
  <c r="AI298" i="9" s="1"/>
  <c r="AH299" i="9"/>
  <c r="AI299" i="9" s="1"/>
  <c r="AH300" i="9"/>
  <c r="AI300" i="9" s="1"/>
  <c r="AH301" i="9"/>
  <c r="AH302" i="9"/>
  <c r="AI302" i="9" s="1"/>
  <c r="AH303" i="9"/>
  <c r="AI303" i="9" s="1"/>
  <c r="AH304" i="9"/>
  <c r="AI304" i="9" s="1"/>
  <c r="AH305" i="9"/>
  <c r="AH306" i="9"/>
  <c r="AI306" i="9" s="1"/>
  <c r="AH307" i="9"/>
  <c r="AI307" i="9" s="1"/>
  <c r="AH308" i="9"/>
  <c r="AI308" i="9" s="1"/>
  <c r="AH309" i="9"/>
  <c r="AI309" i="9" s="1"/>
  <c r="AH310" i="9"/>
  <c r="AI310" i="9" s="1"/>
  <c r="AH311" i="9"/>
  <c r="AI311" i="9" s="1"/>
  <c r="AH312" i="9"/>
  <c r="AH313" i="9"/>
  <c r="AH314" i="9"/>
  <c r="AI314" i="9" s="1"/>
  <c r="AH315" i="9"/>
  <c r="AI315" i="9" s="1"/>
  <c r="AH316" i="9"/>
  <c r="AI316" i="9" s="1"/>
  <c r="AH317" i="9"/>
  <c r="AH318" i="9"/>
  <c r="AI318" i="9" s="1"/>
  <c r="AH319" i="9"/>
  <c r="AI319" i="9" s="1"/>
  <c r="AH320" i="9"/>
  <c r="AH321" i="9"/>
  <c r="AI321" i="9" s="1"/>
  <c r="AH322" i="9"/>
  <c r="AI322" i="9" s="1"/>
  <c r="AH323" i="9"/>
  <c r="AH324" i="9"/>
  <c r="AH325" i="9"/>
  <c r="AH326" i="9"/>
  <c r="AI326" i="9" s="1"/>
  <c r="AH327" i="9"/>
  <c r="AI327" i="9" s="1"/>
  <c r="AH328" i="9"/>
  <c r="AI328" i="9" s="1"/>
  <c r="AH329" i="9"/>
  <c r="AI329" i="9" s="1"/>
  <c r="AH330" i="9"/>
  <c r="AI330" i="9" s="1"/>
  <c r="AH331" i="9"/>
  <c r="AH332" i="9"/>
  <c r="AH333" i="9"/>
  <c r="AH5" i="10"/>
  <c r="AI5" i="10" s="1"/>
  <c r="AH6" i="10"/>
  <c r="AI6" i="10" s="1"/>
  <c r="AH7" i="10"/>
  <c r="AI7" i="10" s="1"/>
  <c r="AH8" i="10"/>
  <c r="AI8" i="10" s="1"/>
  <c r="AH9" i="10"/>
  <c r="AI9" i="10" s="1"/>
  <c r="AH10" i="10"/>
  <c r="AI10" i="10" s="1"/>
  <c r="AH11" i="10"/>
  <c r="AI11" i="10" s="1"/>
  <c r="AH12" i="10"/>
  <c r="AI12" i="10" s="1"/>
  <c r="AH13" i="10"/>
  <c r="AI13" i="10" s="1"/>
  <c r="AH14" i="10"/>
  <c r="AI14" i="10" s="1"/>
  <c r="AH15" i="10"/>
  <c r="AI15" i="10" s="1"/>
  <c r="AH16" i="10"/>
  <c r="AI16" i="10" s="1"/>
  <c r="AH17" i="10"/>
  <c r="AI17" i="10" s="1"/>
  <c r="AH18" i="10"/>
  <c r="AI18" i="10" s="1"/>
  <c r="AH19" i="10"/>
  <c r="AI19" i="10" s="1"/>
  <c r="AH20" i="10"/>
  <c r="AI20" i="10" s="1"/>
  <c r="AH21" i="10"/>
  <c r="AI21" i="10" s="1"/>
  <c r="AH22" i="10"/>
  <c r="AI22" i="10" s="1"/>
  <c r="AH23" i="10"/>
  <c r="AI23" i="10" s="1"/>
  <c r="AH24" i="10"/>
  <c r="AI24" i="10" s="1"/>
  <c r="AH25" i="10"/>
  <c r="AI25" i="10" s="1"/>
  <c r="AH26" i="10"/>
  <c r="AI26" i="10" s="1"/>
  <c r="AH27" i="10"/>
  <c r="AI27" i="10" s="1"/>
  <c r="AH28" i="10"/>
  <c r="AI28" i="10" s="1"/>
  <c r="AH29" i="10"/>
  <c r="AI29" i="10" s="1"/>
  <c r="AH30" i="10"/>
  <c r="AI30" i="10" s="1"/>
  <c r="AH31" i="10"/>
  <c r="AI31" i="10" s="1"/>
  <c r="AH32" i="10"/>
  <c r="AI32" i="10" s="1"/>
  <c r="AH33" i="10"/>
  <c r="AI33" i="10" s="1"/>
  <c r="AH34" i="10"/>
  <c r="AI34" i="10" s="1"/>
  <c r="AH35" i="10"/>
  <c r="AI35" i="10" s="1"/>
  <c r="AH36" i="10"/>
  <c r="AI36" i="10" s="1"/>
  <c r="AH37" i="10"/>
  <c r="AI37" i="10" s="1"/>
  <c r="AH38" i="10"/>
  <c r="AI38" i="10" s="1"/>
  <c r="AH39" i="10"/>
  <c r="AI39" i="10" s="1"/>
  <c r="AH40" i="10"/>
  <c r="AI40" i="10" s="1"/>
  <c r="AH41" i="10"/>
  <c r="AI41" i="10" s="1"/>
  <c r="AH42" i="10"/>
  <c r="AI42" i="10" s="1"/>
  <c r="AH43" i="10"/>
  <c r="AI43" i="10" s="1"/>
  <c r="AH44" i="10"/>
  <c r="AI44" i="10" s="1"/>
  <c r="AH45" i="10"/>
  <c r="AI45" i="10" s="1"/>
  <c r="AH46" i="10"/>
  <c r="AI46" i="10" s="1"/>
  <c r="AH47" i="10"/>
  <c r="AI47" i="10" s="1"/>
  <c r="AH48" i="10"/>
  <c r="AI48" i="10" s="1"/>
  <c r="AH49" i="10"/>
  <c r="AI49" i="10" s="1"/>
  <c r="AH50" i="10"/>
  <c r="AI50" i="10" s="1"/>
  <c r="AH51" i="10"/>
  <c r="AI51" i="10" s="1"/>
  <c r="AH52" i="10"/>
  <c r="AI52" i="10" s="1"/>
  <c r="AH53" i="10"/>
  <c r="AI53" i="10" s="1"/>
  <c r="AH54" i="10"/>
  <c r="AI54" i="10" s="1"/>
  <c r="AH55" i="10"/>
  <c r="AI55" i="10" s="1"/>
  <c r="AH56" i="10"/>
  <c r="AI56" i="10" s="1"/>
  <c r="AH57" i="10"/>
  <c r="AI57" i="10" s="1"/>
  <c r="AH58" i="10"/>
  <c r="AI58" i="10" s="1"/>
  <c r="AH59" i="10"/>
  <c r="AI59" i="10" s="1"/>
  <c r="AH60" i="10"/>
  <c r="AI60" i="10" s="1"/>
  <c r="AH61" i="10"/>
  <c r="AI61" i="10" s="1"/>
  <c r="AH62" i="10"/>
  <c r="AI62" i="10" s="1"/>
  <c r="AH63" i="10"/>
  <c r="AI63" i="10" s="1"/>
  <c r="AH64" i="10"/>
  <c r="AI64" i="10" s="1"/>
  <c r="AH65" i="10"/>
  <c r="AI65" i="10" s="1"/>
  <c r="AH66" i="10"/>
  <c r="AI66" i="10" s="1"/>
  <c r="AH67" i="10"/>
  <c r="AI67" i="10" s="1"/>
  <c r="AH68" i="10"/>
  <c r="AI68" i="10" s="1"/>
  <c r="AH69" i="10"/>
  <c r="AI69" i="10" s="1"/>
  <c r="AH70" i="10"/>
  <c r="AI70" i="10" s="1"/>
  <c r="AH71" i="10"/>
  <c r="AI71" i="10" s="1"/>
  <c r="AH72" i="10"/>
  <c r="AI72" i="10" s="1"/>
  <c r="AH73" i="10"/>
  <c r="AI73" i="10" s="1"/>
  <c r="AH74" i="10"/>
  <c r="AI74" i="10" s="1"/>
  <c r="AH75" i="10"/>
  <c r="AI75" i="10" s="1"/>
  <c r="AH76" i="10"/>
  <c r="AI76" i="10" s="1"/>
  <c r="AH77" i="10"/>
  <c r="AI77" i="10" s="1"/>
  <c r="AH78" i="10"/>
  <c r="AI78" i="10" s="1"/>
  <c r="AH79" i="10"/>
  <c r="AI79" i="10" s="1"/>
  <c r="AH80" i="10"/>
  <c r="AI80" i="10" s="1"/>
  <c r="AH81" i="10"/>
  <c r="AI81" i="10" s="1"/>
  <c r="AH82" i="10"/>
  <c r="AI82" i="10" s="1"/>
  <c r="AH83" i="10"/>
  <c r="AI83" i="10" s="1"/>
  <c r="AH84" i="10"/>
  <c r="AI84" i="10" s="1"/>
  <c r="AH85" i="10"/>
  <c r="AI85" i="10" s="1"/>
  <c r="AH86" i="10"/>
  <c r="AI86" i="10" s="1"/>
  <c r="AH87" i="10"/>
  <c r="AI87" i="10" s="1"/>
  <c r="AH88" i="10"/>
  <c r="AI88" i="10" s="1"/>
  <c r="AH89" i="10"/>
  <c r="AI89" i="10" s="1"/>
  <c r="AH90" i="10"/>
  <c r="AI90" i="10" s="1"/>
  <c r="AH91" i="10"/>
  <c r="AI91" i="10" s="1"/>
  <c r="AH92" i="10"/>
  <c r="AI92" i="10" s="1"/>
  <c r="AH93" i="10"/>
  <c r="AI93" i="10" s="1"/>
  <c r="AH94" i="10"/>
  <c r="AI94" i="10" s="1"/>
  <c r="AH95" i="10"/>
  <c r="AI95" i="10" s="1"/>
  <c r="AH96" i="10"/>
  <c r="AI96" i="10" s="1"/>
  <c r="AH97" i="10"/>
  <c r="AI97" i="10" s="1"/>
  <c r="AH98" i="10"/>
  <c r="AI98" i="10" s="1"/>
  <c r="AH99" i="10"/>
  <c r="AI99" i="10" s="1"/>
  <c r="AH100" i="10"/>
  <c r="AI100" i="10" s="1"/>
  <c r="AH101" i="10"/>
  <c r="AI101" i="10" s="1"/>
  <c r="AH102" i="10"/>
  <c r="AI102" i="10" s="1"/>
  <c r="AH103" i="10"/>
  <c r="AI103" i="10" s="1"/>
  <c r="AH104" i="10"/>
  <c r="AI104" i="10" s="1"/>
  <c r="AH105" i="10"/>
  <c r="AI105" i="10" s="1"/>
  <c r="AH106" i="10"/>
  <c r="AI106" i="10" s="1"/>
  <c r="AH107" i="10"/>
  <c r="AI107" i="10" s="1"/>
  <c r="AH108" i="10"/>
  <c r="AI108" i="10" s="1"/>
  <c r="AH109" i="10"/>
  <c r="AI109" i="10" s="1"/>
  <c r="AH110" i="10"/>
  <c r="AI110" i="10" s="1"/>
  <c r="AH111" i="10"/>
  <c r="AI111" i="10" s="1"/>
  <c r="AH113" i="10"/>
  <c r="AI113" i="10" s="1"/>
  <c r="AH114" i="10"/>
  <c r="AI114" i="10" s="1"/>
  <c r="AH124" i="10"/>
  <c r="AI124" i="10" s="1"/>
  <c r="AH115" i="10"/>
  <c r="AI115" i="10" s="1"/>
  <c r="AH125" i="10"/>
  <c r="AI125" i="10" s="1"/>
  <c r="AH116" i="10"/>
  <c r="AI116" i="10" s="1"/>
  <c r="AH209" i="10"/>
  <c r="AI209" i="10" s="1"/>
  <c r="AH117" i="10"/>
  <c r="AI117" i="10" s="1"/>
  <c r="AH118" i="10"/>
  <c r="AI118" i="10" s="1"/>
  <c r="AH210" i="10"/>
  <c r="AI210" i="10" s="1"/>
  <c r="AH211" i="10"/>
  <c r="AI211" i="10" s="1"/>
  <c r="AH119" i="10"/>
  <c r="AI119" i="10" s="1"/>
  <c r="AH212" i="10"/>
  <c r="AI212" i="10" s="1"/>
  <c r="AH126" i="10"/>
  <c r="AI126" i="10" s="1"/>
  <c r="AH127" i="10"/>
  <c r="AI127" i="10" s="1"/>
  <c r="AH128" i="10"/>
  <c r="AI128" i="10" s="1"/>
  <c r="AH129" i="10"/>
  <c r="AI129" i="10" s="1"/>
  <c r="AH130" i="10"/>
  <c r="AI130" i="10" s="1"/>
  <c r="AH131" i="10"/>
  <c r="AI131" i="10" s="1"/>
  <c r="AH132" i="10"/>
  <c r="AI132" i="10" s="1"/>
  <c r="AH133" i="10"/>
  <c r="AI133" i="10" s="1"/>
  <c r="AH134" i="10"/>
  <c r="AI134" i="10" s="1"/>
  <c r="AH135" i="10"/>
  <c r="AI135" i="10" s="1"/>
  <c r="AH136" i="10"/>
  <c r="AI136" i="10" s="1"/>
  <c r="AH137" i="10"/>
  <c r="AI137" i="10" s="1"/>
  <c r="AH138" i="10"/>
  <c r="AI138" i="10" s="1"/>
  <c r="AH139" i="10"/>
  <c r="AI139" i="10" s="1"/>
  <c r="AH140" i="10"/>
  <c r="AI140" i="10" s="1"/>
  <c r="AH141" i="10"/>
  <c r="AI141" i="10" s="1"/>
  <c r="AH142" i="10"/>
  <c r="AI142" i="10" s="1"/>
  <c r="AH143" i="10"/>
  <c r="AI143" i="10" s="1"/>
  <c r="AH144" i="10"/>
  <c r="AI144" i="10" s="1"/>
  <c r="AH145" i="10"/>
  <c r="AI145" i="10" s="1"/>
  <c r="AH146" i="10"/>
  <c r="AI146" i="10" s="1"/>
  <c r="AH147" i="10"/>
  <c r="AI147" i="10" s="1"/>
  <c r="AH148" i="10"/>
  <c r="AI148" i="10" s="1"/>
  <c r="AH149" i="10"/>
  <c r="AI149" i="10" s="1"/>
  <c r="AH150" i="10"/>
  <c r="AI150" i="10" s="1"/>
  <c r="AH151" i="10"/>
  <c r="AI151" i="10" s="1"/>
  <c r="AH152" i="10"/>
  <c r="AI152" i="10" s="1"/>
  <c r="AH153" i="10"/>
  <c r="AI153" i="10" s="1"/>
  <c r="AH154" i="10"/>
  <c r="AI154" i="10" s="1"/>
  <c r="AH155" i="10"/>
  <c r="AI155" i="10" s="1"/>
  <c r="AH156" i="10"/>
  <c r="AI156" i="10" s="1"/>
  <c r="AH157" i="10"/>
  <c r="AI157" i="10" s="1"/>
  <c r="AH158" i="10"/>
  <c r="AI158" i="10" s="1"/>
  <c r="AH159" i="10"/>
  <c r="AI159" i="10" s="1"/>
  <c r="AH160" i="10"/>
  <c r="AI160" i="10" s="1"/>
  <c r="AH161" i="10"/>
  <c r="AI161" i="10" s="1"/>
  <c r="AH162" i="10"/>
  <c r="AI162" i="10" s="1"/>
  <c r="AH163" i="10"/>
  <c r="AI163" i="10" s="1"/>
  <c r="AH164" i="10"/>
  <c r="AI164" i="10" s="1"/>
  <c r="AH165" i="10"/>
  <c r="AI165" i="10" s="1"/>
  <c r="AH166" i="10"/>
  <c r="AI166" i="10" s="1"/>
  <c r="AH167" i="10"/>
  <c r="AI167" i="10" s="1"/>
  <c r="AH168" i="10"/>
  <c r="AI168" i="10" s="1"/>
  <c r="AH169" i="10"/>
  <c r="AI169" i="10" s="1"/>
  <c r="AH170" i="10"/>
  <c r="AI170" i="10" s="1"/>
  <c r="AH171" i="10"/>
  <c r="AI171" i="10" s="1"/>
  <c r="AH172" i="10"/>
  <c r="AI172" i="10" s="1"/>
  <c r="AH173" i="10"/>
  <c r="AI173" i="10" s="1"/>
  <c r="AH174" i="10"/>
  <c r="AI174" i="10" s="1"/>
  <c r="AH175" i="10"/>
  <c r="AI175" i="10" s="1"/>
  <c r="AH176" i="10"/>
  <c r="AI176" i="10" s="1"/>
  <c r="AH177" i="10"/>
  <c r="AI177" i="10" s="1"/>
  <c r="AH178" i="10"/>
  <c r="AI178" i="10" s="1"/>
  <c r="AH179" i="10"/>
  <c r="AI179" i="10" s="1"/>
  <c r="AH180" i="10"/>
  <c r="AI180" i="10" s="1"/>
  <c r="AH181" i="10"/>
  <c r="AI181" i="10" s="1"/>
  <c r="AH182" i="10"/>
  <c r="AI182" i="10" s="1"/>
  <c r="AH183" i="10"/>
  <c r="AI183" i="10" s="1"/>
  <c r="AH184" i="10"/>
  <c r="AI184" i="10" s="1"/>
  <c r="AH185" i="10"/>
  <c r="AI185" i="10" s="1"/>
  <c r="AH186" i="10"/>
  <c r="AI186" i="10" s="1"/>
  <c r="AH187" i="10"/>
  <c r="AI187" i="10" s="1"/>
  <c r="AH188" i="10"/>
  <c r="AI188" i="10" s="1"/>
  <c r="AH189" i="10"/>
  <c r="AI189" i="10" s="1"/>
  <c r="AH190" i="10"/>
  <c r="AI190" i="10" s="1"/>
  <c r="AH191" i="10"/>
  <c r="AI191" i="10" s="1"/>
  <c r="AH192" i="10"/>
  <c r="AI192" i="10" s="1"/>
  <c r="AH193" i="10"/>
  <c r="AI193" i="10" s="1"/>
  <c r="AH194" i="10"/>
  <c r="AI194" i="10" s="1"/>
  <c r="AH195" i="10"/>
  <c r="AI195" i="10" s="1"/>
  <c r="AH196" i="10"/>
  <c r="AI196" i="10" s="1"/>
  <c r="AH197" i="10"/>
  <c r="AI197" i="10" s="1"/>
  <c r="AH198" i="10"/>
  <c r="AI198" i="10" s="1"/>
  <c r="AH199" i="10"/>
  <c r="AI199" i="10" s="1"/>
  <c r="AH200" i="10"/>
  <c r="AI200" i="10" s="1"/>
  <c r="AH201" i="10"/>
  <c r="AI201" i="10" s="1"/>
  <c r="AH202" i="10"/>
  <c r="AI202" i="10" s="1"/>
  <c r="AH203" i="10"/>
  <c r="AI203" i="10" s="1"/>
  <c r="AH204" i="10"/>
  <c r="AI204" i="10" s="1"/>
  <c r="AH205" i="10"/>
  <c r="AI205" i="10" s="1"/>
  <c r="AH206" i="10"/>
  <c r="AI206" i="10" s="1"/>
  <c r="AH207" i="10"/>
  <c r="AI207" i="10" s="1"/>
  <c r="AH208" i="10"/>
  <c r="AI208" i="10" s="1"/>
  <c r="AH213" i="10"/>
  <c r="AI213" i="10" s="1"/>
  <c r="AH217" i="10"/>
  <c r="AI217" i="10" s="1"/>
  <c r="AH120" i="10"/>
  <c r="AI120" i="10" s="1"/>
  <c r="AH121" i="10"/>
  <c r="AI121" i="10" s="1"/>
  <c r="AH225" i="10"/>
  <c r="AI225" i="10" s="1"/>
  <c r="AH214" i="10"/>
  <c r="AI214" i="10" s="1"/>
  <c r="AH215" i="10"/>
  <c r="AI215" i="10" s="1"/>
  <c r="AH216" i="10"/>
  <c r="AI216" i="10" s="1"/>
  <c r="AH122" i="10"/>
  <c r="AI122" i="10" s="1"/>
  <c r="AH218" i="10"/>
  <c r="AI218" i="10" s="1"/>
  <c r="AH219" i="10"/>
  <c r="AI219" i="10" s="1"/>
  <c r="AH220" i="10"/>
  <c r="AI220" i="10" s="1"/>
  <c r="AH221" i="10"/>
  <c r="AI221" i="10" s="1"/>
  <c r="AH222" i="10"/>
  <c r="AI222" i="10" s="1"/>
  <c r="AH223" i="10"/>
  <c r="AI223" i="10" s="1"/>
  <c r="AH224" i="10"/>
  <c r="AI224" i="10" s="1"/>
  <c r="AH123" i="10"/>
  <c r="AI123" i="10" s="1"/>
  <c r="AH226" i="10"/>
  <c r="AI226" i="10" s="1"/>
  <c r="AH227" i="10"/>
  <c r="AI227" i="10" s="1"/>
  <c r="AH228" i="10"/>
  <c r="AI228" i="10" s="1"/>
  <c r="AH229" i="10"/>
  <c r="AI229" i="10" s="1"/>
  <c r="AH230" i="10"/>
  <c r="AI230" i="10" s="1"/>
  <c r="AH231" i="10"/>
  <c r="AI231" i="10" s="1"/>
  <c r="AH232" i="10"/>
  <c r="AI232" i="10" s="1"/>
  <c r="AH233" i="10"/>
  <c r="AI233" i="10" s="1"/>
  <c r="AH234" i="10"/>
  <c r="AI234" i="10" s="1"/>
  <c r="AH235" i="10"/>
  <c r="AI235" i="10" s="1"/>
  <c r="AH236" i="10"/>
  <c r="AI236" i="10" s="1"/>
  <c r="AH237" i="10"/>
  <c r="AI237" i="10" s="1"/>
  <c r="AH238" i="10"/>
  <c r="AI238" i="10" s="1"/>
  <c r="AH239" i="10"/>
  <c r="AI239" i="10" s="1"/>
  <c r="AH240" i="10"/>
  <c r="AI240" i="10" s="1"/>
  <c r="AH241" i="10"/>
  <c r="AI241" i="10" s="1"/>
  <c r="AH242" i="10"/>
  <c r="AI242" i="10" s="1"/>
  <c r="AH243" i="10"/>
  <c r="AI243" i="10" s="1"/>
  <c r="AH244" i="10"/>
  <c r="AI244" i="10" s="1"/>
  <c r="AH245" i="10"/>
  <c r="AI245" i="10" s="1"/>
  <c r="AH246" i="10"/>
  <c r="AI246" i="10" s="1"/>
  <c r="AH247" i="10"/>
  <c r="AI247" i="10" s="1"/>
  <c r="AH248" i="10"/>
  <c r="AI248" i="10" s="1"/>
  <c r="AH249" i="10"/>
  <c r="AI249" i="10" s="1"/>
  <c r="AH250" i="10"/>
  <c r="AI250" i="10" s="1"/>
  <c r="AH251" i="10"/>
  <c r="AI251" i="10" s="1"/>
  <c r="AH252" i="10"/>
  <c r="AI252" i="10" s="1"/>
  <c r="AH253" i="10"/>
  <c r="AI253" i="10" s="1"/>
  <c r="AH254" i="10"/>
  <c r="AI254" i="10" s="1"/>
  <c r="AH255" i="10"/>
  <c r="AI255" i="10" s="1"/>
  <c r="AH256" i="10"/>
  <c r="AI256" i="10" s="1"/>
  <c r="AH257" i="10"/>
  <c r="AI257" i="10" s="1"/>
  <c r="AH258" i="10"/>
  <c r="AI258" i="10" s="1"/>
  <c r="AH259" i="10"/>
  <c r="AI259" i="10" s="1"/>
  <c r="AH260" i="10"/>
  <c r="AI260" i="10" s="1"/>
  <c r="AH261" i="10"/>
  <c r="AI261" i="10" s="1"/>
  <c r="AH262" i="10"/>
  <c r="AI262" i="10" s="1"/>
  <c r="AH263" i="10"/>
  <c r="AI263" i="10" s="1"/>
  <c r="AH264" i="10"/>
  <c r="AI264" i="10" s="1"/>
  <c r="AH265" i="10"/>
  <c r="AI265" i="10" s="1"/>
  <c r="AH266" i="10"/>
  <c r="AI266" i="10" s="1"/>
  <c r="AH267" i="10"/>
  <c r="AI267" i="10" s="1"/>
  <c r="AH268" i="10"/>
  <c r="AI268" i="10" s="1"/>
  <c r="AH269" i="10"/>
  <c r="AI269" i="10" s="1"/>
  <c r="AH270" i="10"/>
  <c r="AI270" i="10" s="1"/>
  <c r="AH271" i="10"/>
  <c r="AI271" i="10" s="1"/>
  <c r="AH272" i="10"/>
  <c r="AI272" i="10" s="1"/>
  <c r="AH273" i="10"/>
  <c r="AI273" i="10" s="1"/>
  <c r="AH274" i="10"/>
  <c r="AI274" i="10" s="1"/>
  <c r="AH275" i="10"/>
  <c r="AI275" i="10" s="1"/>
  <c r="AH276" i="10"/>
  <c r="AI276" i="10" s="1"/>
  <c r="AH277" i="10"/>
  <c r="AI277" i="10" s="1"/>
  <c r="AH278" i="10"/>
  <c r="AI278" i="10" s="1"/>
  <c r="AH279" i="10"/>
  <c r="AI279" i="10" s="1"/>
  <c r="AH280" i="10"/>
  <c r="AI280" i="10" s="1"/>
  <c r="AH281" i="10"/>
  <c r="AI281" i="10" s="1"/>
  <c r="AH282" i="10"/>
  <c r="AI282" i="10" s="1"/>
  <c r="AH283" i="10"/>
  <c r="AI283" i="10" s="1"/>
  <c r="AH284" i="10"/>
  <c r="AI284" i="10" s="1"/>
  <c r="AH285" i="10"/>
  <c r="AI285" i="10" s="1"/>
  <c r="AH286" i="10"/>
  <c r="AI286" i="10" s="1"/>
  <c r="AH287" i="10"/>
  <c r="AI287" i="10" s="1"/>
  <c r="AH288" i="10"/>
  <c r="AI288" i="10" s="1"/>
  <c r="AH289" i="10"/>
  <c r="AI289" i="10" s="1"/>
  <c r="AH290" i="10"/>
  <c r="AI290" i="10" s="1"/>
  <c r="AH291" i="10"/>
  <c r="AI291" i="10" s="1"/>
  <c r="AH292" i="10"/>
  <c r="AI292" i="10" s="1"/>
  <c r="AH293" i="10"/>
  <c r="AI293" i="10" s="1"/>
  <c r="AH294" i="10"/>
  <c r="AI294" i="10" s="1"/>
  <c r="AH295" i="10"/>
  <c r="AI295" i="10" s="1"/>
  <c r="AH296" i="10"/>
  <c r="AI296" i="10" s="1"/>
  <c r="AH297" i="10"/>
  <c r="AI297" i="10" s="1"/>
  <c r="AH298" i="10"/>
  <c r="AI298" i="10" s="1"/>
  <c r="AH299" i="10"/>
  <c r="AI299" i="10" s="1"/>
  <c r="AH300" i="10"/>
  <c r="AI300" i="10" s="1"/>
  <c r="AH301" i="10"/>
  <c r="AI301" i="10" s="1"/>
  <c r="AH302" i="10"/>
  <c r="AI302" i="10" s="1"/>
  <c r="AH303" i="10"/>
  <c r="AI303" i="10" s="1"/>
  <c r="AH304" i="10"/>
  <c r="AI304" i="10" s="1"/>
  <c r="AH305" i="10"/>
  <c r="AI305" i="10" s="1"/>
  <c r="AH306" i="10"/>
  <c r="AI306" i="10" s="1"/>
  <c r="AH307" i="10"/>
  <c r="AI307" i="10" s="1"/>
  <c r="AH308" i="10"/>
  <c r="AI308" i="10" s="1"/>
  <c r="AH309" i="10"/>
  <c r="AI309" i="10" s="1"/>
  <c r="AH310" i="10"/>
  <c r="AI310" i="10" s="1"/>
  <c r="AH311" i="10"/>
  <c r="AI311" i="10" s="1"/>
  <c r="AH312" i="10"/>
  <c r="AI312" i="10" s="1"/>
  <c r="AH313" i="10"/>
  <c r="AI313" i="10" s="1"/>
  <c r="AH314" i="10"/>
  <c r="AI314" i="10" s="1"/>
  <c r="AH315" i="10"/>
  <c r="AI315" i="10" s="1"/>
  <c r="AH316" i="10"/>
  <c r="AI316" i="10" s="1"/>
  <c r="AH317" i="10"/>
  <c r="AI317" i="10" s="1"/>
  <c r="AH318" i="10"/>
  <c r="AI318" i="10" s="1"/>
  <c r="AH319" i="10"/>
  <c r="AI319" i="10" s="1"/>
  <c r="AH320" i="10"/>
  <c r="AI320" i="10" s="1"/>
  <c r="AH321" i="10"/>
  <c r="AI321" i="10" s="1"/>
  <c r="AH322" i="10"/>
  <c r="AI322" i="10" s="1"/>
  <c r="AH323" i="10"/>
  <c r="AI323" i="10" s="1"/>
  <c r="AH324" i="10"/>
  <c r="AI324" i="10" s="1"/>
  <c r="AH325" i="10"/>
  <c r="AI325" i="10" s="1"/>
  <c r="AH326" i="10"/>
  <c r="AI326" i="10" s="1"/>
  <c r="AH327" i="10"/>
  <c r="AI327" i="10" s="1"/>
  <c r="AH328" i="10"/>
  <c r="AI328" i="10" s="1"/>
  <c r="AH329" i="10"/>
  <c r="AI329" i="10" s="1"/>
  <c r="AH330" i="10"/>
  <c r="AI330" i="10" s="1"/>
  <c r="AH331" i="10"/>
  <c r="AI331" i="10" s="1"/>
  <c r="AH332" i="10"/>
  <c r="AI332" i="10" s="1"/>
  <c r="AH333" i="10"/>
  <c r="AI333" i="10" s="1"/>
  <c r="AH334" i="10"/>
  <c r="AI334" i="10" s="1"/>
  <c r="AH335" i="10"/>
  <c r="AI335" i="10" s="1"/>
  <c r="AH336" i="10"/>
  <c r="AI336" i="10" s="1"/>
  <c r="AH337" i="10"/>
  <c r="AI337" i="10" s="1"/>
  <c r="AH338" i="10"/>
  <c r="AI338" i="10" s="1"/>
  <c r="AH339" i="10"/>
  <c r="AI339" i="10" s="1"/>
  <c r="AH340" i="10"/>
  <c r="AI340" i="10" s="1"/>
  <c r="AH341" i="10"/>
  <c r="AI341" i="10" s="1"/>
  <c r="AH342" i="10"/>
  <c r="AI342" i="10" s="1"/>
  <c r="AH343" i="10"/>
  <c r="AI343" i="10" s="1"/>
  <c r="AH344" i="10"/>
  <c r="AI344" i="10" s="1"/>
  <c r="AH345" i="10"/>
  <c r="AI345" i="10" s="1"/>
  <c r="AH346" i="10"/>
  <c r="AI346" i="10" s="1"/>
  <c r="AH347" i="10"/>
  <c r="AI347" i="10" s="1"/>
  <c r="AH348" i="10"/>
  <c r="AI348" i="10" s="1"/>
  <c r="AH349" i="10"/>
  <c r="AI349" i="10" s="1"/>
  <c r="AH350" i="10"/>
  <c r="AI350" i="10" s="1"/>
  <c r="AH351" i="10"/>
  <c r="AI351" i="10" s="1"/>
  <c r="AH352" i="10"/>
  <c r="AI352" i="10" s="1"/>
  <c r="AH353" i="10"/>
  <c r="AI353" i="10" s="1"/>
  <c r="AH354" i="10"/>
  <c r="AI354" i="10" s="1"/>
  <c r="AH355" i="10"/>
  <c r="AI355" i="10" s="1"/>
  <c r="AH356" i="10"/>
  <c r="AI356" i="10" s="1"/>
  <c r="AH357" i="10"/>
  <c r="AI357" i="10" s="1"/>
  <c r="AH358" i="10"/>
  <c r="AI358" i="10" s="1"/>
  <c r="AH359" i="10"/>
  <c r="AI359" i="10" s="1"/>
  <c r="AH360" i="10"/>
  <c r="AI360" i="10" s="1"/>
  <c r="AH361" i="10"/>
  <c r="AI361" i="10" s="1"/>
  <c r="AH362" i="10"/>
  <c r="AI362" i="10" s="1"/>
  <c r="AH363" i="10"/>
  <c r="AI363" i="10" s="1"/>
  <c r="AH364" i="10"/>
  <c r="AI364" i="10" s="1"/>
  <c r="AH365" i="10"/>
  <c r="AI365" i="10" s="1"/>
  <c r="AH366" i="10"/>
  <c r="AI366" i="10" s="1"/>
  <c r="AH367" i="10"/>
  <c r="AI367" i="10" s="1"/>
  <c r="AH368" i="10"/>
  <c r="AI368" i="10" s="1"/>
  <c r="AH369" i="10"/>
  <c r="AI369" i="10" s="1"/>
  <c r="AH370" i="10"/>
  <c r="AI370" i="10" s="1"/>
  <c r="AH371" i="10"/>
  <c r="AI371" i="10" s="1"/>
  <c r="AH372" i="10"/>
  <c r="AI372" i="10" s="1"/>
  <c r="AH373" i="10"/>
  <c r="AI373" i="10" s="1"/>
  <c r="AH374" i="10"/>
  <c r="AI374" i="10" s="1"/>
  <c r="AH375" i="10"/>
  <c r="AI375" i="10" s="1"/>
  <c r="AH376" i="10"/>
  <c r="AI376" i="10" s="1"/>
  <c r="AH377" i="10"/>
  <c r="AI377" i="10" s="1"/>
  <c r="AH378" i="10"/>
  <c r="AI378" i="10" s="1"/>
  <c r="AH379" i="10"/>
  <c r="AI379" i="10" s="1"/>
  <c r="AH380" i="10"/>
  <c r="AI380" i="10" s="1"/>
  <c r="AH381" i="10"/>
  <c r="AI381" i="10" s="1"/>
  <c r="AH382" i="10"/>
  <c r="AI382" i="10" s="1"/>
  <c r="AH383" i="10"/>
  <c r="AI383" i="10" s="1"/>
  <c r="AH384" i="10"/>
  <c r="AI384" i="10" s="1"/>
  <c r="AH385" i="10"/>
  <c r="AI385" i="10" s="1"/>
  <c r="AH386" i="10"/>
  <c r="AI386" i="10" s="1"/>
  <c r="AH387" i="10"/>
  <c r="AI387" i="10" s="1"/>
  <c r="AH388" i="10"/>
  <c r="AI388" i="10" s="1"/>
  <c r="AH389" i="10"/>
  <c r="AI389" i="10" s="1"/>
  <c r="AH390" i="10"/>
  <c r="AI390" i="10" s="1"/>
  <c r="G31" i="10"/>
  <c r="AH4" i="10"/>
  <c r="AF4" i="10"/>
  <c r="AH3" i="10"/>
  <c r="AH3" i="9"/>
  <c r="AI3" i="9" s="1"/>
  <c r="AH9" i="9"/>
  <c r="AF4" i="9"/>
  <c r="AF5" i="9"/>
  <c r="AH4" i="9"/>
  <c r="AI4" i="9" s="1"/>
  <c r="AH5" i="9"/>
  <c r="AI5" i="9" s="1"/>
  <c r="AH6" i="9"/>
  <c r="AI6" i="9" s="1"/>
  <c r="AH7" i="9"/>
  <c r="AI7" i="9" s="1"/>
  <c r="AH8" i="9"/>
  <c r="AI8" i="9" s="1"/>
  <c r="AH10" i="9"/>
  <c r="AH11" i="9"/>
  <c r="AH12" i="9"/>
  <c r="AI12" i="9" s="1"/>
  <c r="AH13" i="9"/>
  <c r="G31" i="9"/>
  <c r="AJ92" i="9" l="1"/>
  <c r="AJ28" i="9"/>
  <c r="AJ156" i="9"/>
  <c r="AJ14" i="9"/>
  <c r="AJ119" i="9"/>
  <c r="AI78" i="9"/>
  <c r="AJ198" i="9"/>
  <c r="AJ81" i="9"/>
  <c r="AJ284" i="9"/>
  <c r="AJ83" i="9"/>
  <c r="AJ134" i="9"/>
  <c r="AJ46" i="9"/>
  <c r="AJ22" i="9"/>
  <c r="AJ54" i="9"/>
  <c r="AJ86" i="9"/>
  <c r="AJ270" i="9"/>
  <c r="AJ142" i="9"/>
  <c r="AJ206" i="9"/>
  <c r="AJ286" i="9"/>
  <c r="AJ30" i="9"/>
  <c r="AJ62" i="9"/>
  <c r="AJ94" i="9"/>
  <c r="AJ102" i="9"/>
  <c r="AJ158" i="9"/>
  <c r="AJ222" i="9"/>
  <c r="AJ38" i="9"/>
  <c r="AJ70" i="9"/>
  <c r="AJ166" i="9"/>
  <c r="AJ230" i="9"/>
  <c r="AI333" i="9"/>
  <c r="AJ333" i="9"/>
  <c r="AI332" i="9"/>
  <c r="AJ332" i="9"/>
  <c r="AJ16" i="9"/>
  <c r="AJ48" i="9"/>
  <c r="AJ240" i="9"/>
  <c r="AJ304" i="9"/>
  <c r="AJ118" i="9"/>
  <c r="AJ182" i="9"/>
  <c r="AJ246" i="9"/>
  <c r="AJ310" i="9"/>
  <c r="AJ294" i="9"/>
  <c r="AJ126" i="9"/>
  <c r="AJ190" i="9"/>
  <c r="AJ254" i="9"/>
  <c r="AJ318" i="9"/>
  <c r="AJ150" i="9"/>
  <c r="AJ214" i="9"/>
  <c r="AJ278" i="9"/>
  <c r="AJ110" i="9"/>
  <c r="AJ174" i="9"/>
  <c r="AJ238" i="9"/>
  <c r="AJ302" i="9"/>
  <c r="AJ262" i="9"/>
  <c r="AJ326" i="9"/>
  <c r="AJ9" i="9"/>
  <c r="AJ13" i="9"/>
  <c r="AJ376" i="10"/>
  <c r="AJ79" i="10"/>
  <c r="AJ204" i="10"/>
  <c r="AJ364" i="10"/>
  <c r="AJ339" i="10"/>
  <c r="AJ319" i="10"/>
  <c r="AJ271" i="10"/>
  <c r="AJ258" i="10"/>
  <c r="AJ236" i="10"/>
  <c r="AJ215" i="10"/>
  <c r="AJ194" i="10"/>
  <c r="AJ178" i="10"/>
  <c r="AJ209" i="10"/>
  <c r="AJ102" i="10"/>
  <c r="AJ66" i="10"/>
  <c r="AJ38" i="10"/>
  <c r="AJ15" i="10"/>
  <c r="AJ119" i="10"/>
  <c r="AJ375" i="10"/>
  <c r="AJ350" i="10"/>
  <c r="AJ324" i="10"/>
  <c r="AJ280" i="10"/>
  <c r="AJ262" i="10"/>
  <c r="AJ246" i="10"/>
  <c r="AJ227" i="10"/>
  <c r="AJ200" i="10"/>
  <c r="AJ183" i="10"/>
  <c r="AJ152" i="10"/>
  <c r="AJ132" i="10"/>
  <c r="AJ109" i="10"/>
  <c r="AJ89" i="10"/>
  <c r="AJ71" i="10"/>
  <c r="AJ50" i="10"/>
  <c r="AJ26" i="10"/>
  <c r="AJ43" i="10"/>
  <c r="AJ181" i="9"/>
  <c r="AJ245" i="9"/>
  <c r="AJ309" i="9"/>
  <c r="AJ17" i="9"/>
  <c r="AJ137" i="9"/>
  <c r="AJ201" i="9"/>
  <c r="AJ265" i="9"/>
  <c r="AJ329" i="9"/>
  <c r="AJ113" i="9"/>
  <c r="AI13" i="9"/>
  <c r="AJ18" i="9"/>
  <c r="AJ26" i="9"/>
  <c r="AJ34" i="9"/>
  <c r="AJ42" i="9"/>
  <c r="AJ50" i="9"/>
  <c r="AJ58" i="9"/>
  <c r="AJ66" i="9"/>
  <c r="AJ74" i="9"/>
  <c r="AJ82" i="9"/>
  <c r="AJ90" i="9"/>
  <c r="AJ98" i="9"/>
  <c r="AJ106" i="9"/>
  <c r="AJ114" i="9"/>
  <c r="AJ122" i="9"/>
  <c r="AJ130" i="9"/>
  <c r="AJ138" i="9"/>
  <c r="AJ146" i="9"/>
  <c r="AJ154" i="9"/>
  <c r="AJ162" i="9"/>
  <c r="AJ170" i="9"/>
  <c r="AJ178" i="9"/>
  <c r="AJ186" i="9"/>
  <c r="AJ194" i="9"/>
  <c r="AJ202" i="9"/>
  <c r="AJ210" i="9"/>
  <c r="AJ218" i="9"/>
  <c r="AJ226" i="9"/>
  <c r="AJ234" i="9"/>
  <c r="AJ242" i="9"/>
  <c r="AJ250" i="9"/>
  <c r="AJ258" i="9"/>
  <c r="AJ266" i="9"/>
  <c r="AJ274" i="9"/>
  <c r="AJ282" i="9"/>
  <c r="AJ290" i="9"/>
  <c r="AJ298" i="9"/>
  <c r="AJ306" i="9"/>
  <c r="AJ314" i="9"/>
  <c r="AJ322" i="9"/>
  <c r="AJ330" i="9"/>
  <c r="AJ31" i="9"/>
  <c r="AJ107" i="9"/>
  <c r="AJ19" i="9"/>
  <c r="AJ95" i="9"/>
  <c r="AJ199" i="9"/>
  <c r="AJ291" i="9"/>
  <c r="AJ11" i="9"/>
  <c r="AJ331" i="9"/>
  <c r="AJ23" i="9"/>
  <c r="AJ267" i="9"/>
  <c r="AJ328" i="10"/>
  <c r="AJ164" i="10"/>
  <c r="AJ63" i="10"/>
  <c r="AJ368" i="10"/>
  <c r="AJ384" i="10"/>
  <c r="AJ373" i="10"/>
  <c r="AJ355" i="10"/>
  <c r="AJ347" i="10"/>
  <c r="AJ332" i="10"/>
  <c r="AJ323" i="10"/>
  <c r="AJ316" i="10"/>
  <c r="AJ307" i="10"/>
  <c r="AJ300" i="10"/>
  <c r="AJ276" i="10"/>
  <c r="AJ268" i="10"/>
  <c r="AJ261" i="10"/>
  <c r="AJ252" i="10"/>
  <c r="AJ243" i="10"/>
  <c r="AJ234" i="10"/>
  <c r="AJ221" i="10"/>
  <c r="AJ120" i="10"/>
  <c r="AJ198" i="10"/>
  <c r="AJ192" i="10"/>
  <c r="AJ181" i="10"/>
  <c r="AJ176" i="10"/>
  <c r="AJ166" i="10"/>
  <c r="AJ160" i="10"/>
  <c r="AJ151" i="10"/>
  <c r="AJ140" i="10"/>
  <c r="AJ128" i="10"/>
  <c r="AJ116" i="10"/>
  <c r="AJ108" i="10"/>
  <c r="AJ99" i="10"/>
  <c r="AJ88" i="10"/>
  <c r="AJ77" i="10"/>
  <c r="AJ70" i="10"/>
  <c r="AJ61" i="10"/>
  <c r="AJ46" i="10"/>
  <c r="AJ35" i="10"/>
  <c r="AJ23" i="10"/>
  <c r="AJ9" i="10"/>
  <c r="AJ288" i="10"/>
  <c r="AJ383" i="10"/>
  <c r="AJ372" i="10"/>
  <c r="AJ354" i="10"/>
  <c r="AJ344" i="10"/>
  <c r="AJ331" i="10"/>
  <c r="AJ322" i="10"/>
  <c r="AJ315" i="10"/>
  <c r="AJ304" i="10"/>
  <c r="AJ296" i="10"/>
  <c r="AJ275" i="10"/>
  <c r="AJ267" i="10"/>
  <c r="AJ260" i="10"/>
  <c r="AJ251" i="10"/>
  <c r="AJ242" i="10"/>
  <c r="AJ233" i="10"/>
  <c r="AJ220" i="10"/>
  <c r="AJ213" i="10"/>
  <c r="AJ196" i="10"/>
  <c r="AJ190" i="10"/>
  <c r="AJ180" i="10"/>
  <c r="AJ175" i="10"/>
  <c r="AJ165" i="10"/>
  <c r="AJ158" i="10"/>
  <c r="AJ150" i="10"/>
  <c r="AJ134" i="10"/>
  <c r="AJ212" i="10"/>
  <c r="AJ113" i="10"/>
  <c r="AJ107" i="10"/>
  <c r="AJ95" i="10"/>
  <c r="AJ86" i="10"/>
  <c r="AJ75" i="10"/>
  <c r="AJ69" i="10"/>
  <c r="AJ58" i="10"/>
  <c r="AJ42" i="10"/>
  <c r="AJ31" i="10"/>
  <c r="AJ21" i="10"/>
  <c r="AJ6" i="10"/>
  <c r="AJ309" i="10"/>
  <c r="AJ301" i="10"/>
  <c r="AJ169" i="10"/>
  <c r="AJ161" i="10"/>
  <c r="AJ141" i="10"/>
  <c r="AJ84" i="10"/>
  <c r="AJ8" i="10"/>
  <c r="AJ244" i="10"/>
  <c r="AJ103" i="10"/>
  <c r="AJ19" i="10"/>
  <c r="AJ390" i="10"/>
  <c r="AJ379" i="10"/>
  <c r="AJ366" i="10"/>
  <c r="AJ352" i="10"/>
  <c r="AJ340" i="10"/>
  <c r="AJ326" i="10"/>
  <c r="AJ320" i="10"/>
  <c r="AJ311" i="10"/>
  <c r="AJ303" i="10"/>
  <c r="AJ284" i="10"/>
  <c r="AJ273" i="10"/>
  <c r="AJ266" i="10"/>
  <c r="AJ259" i="10"/>
  <c r="AJ250" i="10"/>
  <c r="AJ239" i="10"/>
  <c r="AJ232" i="10"/>
  <c r="AJ216" i="10"/>
  <c r="AJ208" i="10"/>
  <c r="AJ195" i="10"/>
  <c r="AJ185" i="10"/>
  <c r="AJ179" i="10"/>
  <c r="AJ171" i="10"/>
  <c r="AJ163" i="10"/>
  <c r="AJ153" i="10"/>
  <c r="AJ143" i="10"/>
  <c r="AJ133" i="10"/>
  <c r="AJ210" i="10"/>
  <c r="AJ111" i="10"/>
  <c r="AJ105" i="10"/>
  <c r="AJ91" i="10"/>
  <c r="AJ85" i="10"/>
  <c r="AJ74" i="10"/>
  <c r="AJ67" i="10"/>
  <c r="AJ54" i="10"/>
  <c r="AJ39" i="10"/>
  <c r="AJ30" i="10"/>
  <c r="AJ18" i="10"/>
  <c r="AJ356" i="10"/>
  <c r="AJ312" i="10"/>
  <c r="AJ272" i="10"/>
  <c r="AJ228" i="10"/>
  <c r="AJ188" i="10"/>
  <c r="AJ148" i="10"/>
  <c r="AJ27" i="10"/>
  <c r="AJ308" i="10"/>
  <c r="AJ264" i="10"/>
  <c r="AJ224" i="10"/>
  <c r="AJ184" i="10"/>
  <c r="AJ144" i="10"/>
  <c r="AJ7" i="10"/>
  <c r="AJ380" i="10"/>
  <c r="AJ336" i="10"/>
  <c r="AJ292" i="10"/>
  <c r="AJ248" i="10"/>
  <c r="AJ121" i="10"/>
  <c r="AJ168" i="10"/>
  <c r="AJ87" i="10"/>
  <c r="AJ47" i="10"/>
  <c r="AJ348" i="10"/>
  <c r="AJ115" i="10"/>
  <c r="AJ83" i="10"/>
  <c r="AJ55" i="10"/>
  <c r="AJ240" i="10"/>
  <c r="AJ156" i="10"/>
  <c r="AJ117" i="10"/>
  <c r="AJ76" i="10"/>
  <c r="AJ59" i="10"/>
  <c r="AJ360" i="10"/>
  <c r="AJ256" i="10"/>
  <c r="AJ225" i="10"/>
  <c r="AJ172" i="10"/>
  <c r="AJ136" i="10"/>
  <c r="AJ51" i="10"/>
  <c r="AJ11" i="10"/>
  <c r="AJ281" i="10"/>
  <c r="AJ145" i="10"/>
  <c r="AJ118" i="10"/>
  <c r="AJ275" i="9"/>
  <c r="AJ5" i="9"/>
  <c r="AJ112" i="9"/>
  <c r="AJ176" i="9"/>
  <c r="AJ220" i="9"/>
  <c r="AJ49" i="9"/>
  <c r="AJ129" i="9"/>
  <c r="AJ55" i="9"/>
  <c r="AJ75" i="9"/>
  <c r="AJ87" i="9"/>
  <c r="AJ99" i="9"/>
  <c r="AJ131" i="9"/>
  <c r="AJ311" i="9"/>
  <c r="AI11" i="9"/>
  <c r="AI23" i="9"/>
  <c r="AJ135" i="9"/>
  <c r="AJ171" i="9"/>
  <c r="AJ183" i="9"/>
  <c r="AJ243" i="9"/>
  <c r="AI267" i="9"/>
  <c r="AJ283" i="9"/>
  <c r="AJ327" i="9"/>
  <c r="AJ27" i="9"/>
  <c r="AJ39" i="9"/>
  <c r="AJ139" i="9"/>
  <c r="AJ151" i="9"/>
  <c r="AJ163" i="9"/>
  <c r="AJ195" i="9"/>
  <c r="AJ235" i="9"/>
  <c r="AJ10" i="9"/>
  <c r="AJ324" i="9"/>
  <c r="AJ288" i="9"/>
  <c r="AJ280" i="9"/>
  <c r="AJ260" i="9"/>
  <c r="AJ224" i="9"/>
  <c r="AJ216" i="9"/>
  <c r="AJ196" i="9"/>
  <c r="AJ160" i="9"/>
  <c r="AJ152" i="9"/>
  <c r="AJ132" i="9"/>
  <c r="AJ96" i="9"/>
  <c r="AJ88" i="9"/>
  <c r="AJ68" i="9"/>
  <c r="AJ32" i="9"/>
  <c r="AJ3" i="9"/>
  <c r="AJ323" i="9"/>
  <c r="AJ259" i="9"/>
  <c r="AJ203" i="9"/>
  <c r="AJ147" i="9"/>
  <c r="AJ71" i="9"/>
  <c r="AJ59" i="9"/>
  <c r="AJ35" i="9"/>
  <c r="AJ292" i="9"/>
  <c r="AJ256" i="9"/>
  <c r="AJ248" i="9"/>
  <c r="AJ228" i="9"/>
  <c r="AJ164" i="9"/>
  <c r="AI279" i="9"/>
  <c r="AJ279" i="9"/>
  <c r="AJ211" i="9"/>
  <c r="AJ67" i="9"/>
  <c r="AJ320" i="9"/>
  <c r="AJ312" i="9"/>
  <c r="AJ192" i="9"/>
  <c r="AJ184" i="9"/>
  <c r="AJ128" i="9"/>
  <c r="AJ120" i="9"/>
  <c r="AJ100" i="9"/>
  <c r="AJ64" i="9"/>
  <c r="AJ56" i="9"/>
  <c r="AJ36" i="9"/>
  <c r="AJ40" i="9"/>
  <c r="AI56" i="9"/>
  <c r="AJ104" i="9"/>
  <c r="AI120" i="9"/>
  <c r="AI128" i="9"/>
  <c r="AJ168" i="9"/>
  <c r="AI184" i="9"/>
  <c r="AJ232" i="9"/>
  <c r="AI248" i="9"/>
  <c r="AI256" i="9"/>
  <c r="AJ296" i="9"/>
  <c r="AI312" i="9"/>
  <c r="AI320" i="9"/>
  <c r="AJ7" i="9"/>
  <c r="AI215" i="9"/>
  <c r="AJ215" i="9"/>
  <c r="AJ12" i="9"/>
  <c r="AI9" i="9"/>
  <c r="AJ60" i="9"/>
  <c r="AJ80" i="9"/>
  <c r="AJ124" i="9"/>
  <c r="AJ144" i="9"/>
  <c r="AJ188" i="9"/>
  <c r="AJ208" i="9"/>
  <c r="AJ252" i="9"/>
  <c r="AJ272" i="9"/>
  <c r="AJ316" i="9"/>
  <c r="AJ63" i="9"/>
  <c r="AJ91" i="9"/>
  <c r="AJ115" i="9"/>
  <c r="AJ123" i="9"/>
  <c r="AJ155" i="9"/>
  <c r="AJ179" i="9"/>
  <c r="AJ187" i="9"/>
  <c r="AI203" i="9"/>
  <c r="AJ227" i="9"/>
  <c r="AJ263" i="9"/>
  <c r="AI331" i="9"/>
  <c r="AJ8" i="9"/>
  <c r="AJ4" i="9"/>
  <c r="AI32" i="9"/>
  <c r="AJ72" i="9"/>
  <c r="AI88" i="9"/>
  <c r="AI96" i="9"/>
  <c r="AJ136" i="9"/>
  <c r="AI152" i="9"/>
  <c r="AI160" i="9"/>
  <c r="AJ200" i="9"/>
  <c r="AI216" i="9"/>
  <c r="AI224" i="9"/>
  <c r="AJ264" i="9"/>
  <c r="AI280" i="9"/>
  <c r="AI288" i="9"/>
  <c r="AJ328" i="9"/>
  <c r="AJ15" i="9"/>
  <c r="AI35" i="9"/>
  <c r="AJ43" i="9"/>
  <c r="AJ51" i="9"/>
  <c r="AJ79" i="9"/>
  <c r="AI147" i="9"/>
  <c r="AJ219" i="9"/>
  <c r="AJ247" i="9"/>
  <c r="AI275" i="9"/>
  <c r="AJ299" i="9"/>
  <c r="AJ307" i="9"/>
  <c r="AI323" i="9"/>
  <c r="AJ24" i="9"/>
  <c r="AJ251" i="9"/>
  <c r="AJ315" i="9"/>
  <c r="AJ6" i="9"/>
  <c r="AJ47" i="9"/>
  <c r="AJ103" i="9"/>
  <c r="AJ167" i="9"/>
  <c r="AJ231" i="9"/>
  <c r="AJ295" i="9"/>
  <c r="AJ313" i="9"/>
  <c r="AJ305" i="9"/>
  <c r="AJ273" i="9"/>
  <c r="AJ269" i="9"/>
  <c r="AJ249" i="9"/>
  <c r="AJ241" i="9"/>
  <c r="AJ209" i="9"/>
  <c r="AJ205" i="9"/>
  <c r="AJ185" i="9"/>
  <c r="AJ177" i="9"/>
  <c r="AJ145" i="9"/>
  <c r="AJ141" i="9"/>
  <c r="AJ121" i="9"/>
  <c r="AJ109" i="9"/>
  <c r="AJ105" i="9"/>
  <c r="AJ97" i="9"/>
  <c r="AJ77" i="9"/>
  <c r="AJ73" i="9"/>
  <c r="AJ65" i="9"/>
  <c r="AJ45" i="9"/>
  <c r="AJ41" i="9"/>
  <c r="AJ33" i="9"/>
  <c r="AJ191" i="10"/>
  <c r="AJ359" i="10"/>
  <c r="AJ255" i="10"/>
  <c r="AJ159" i="10"/>
  <c r="AJ90" i="10"/>
  <c r="AJ231" i="10"/>
  <c r="AJ279" i="10"/>
  <c r="AJ124" i="10"/>
  <c r="AI325" i="9"/>
  <c r="AJ325" i="9"/>
  <c r="AI293" i="9"/>
  <c r="AJ293" i="9"/>
  <c r="AJ281" i="9"/>
  <c r="AJ253" i="9"/>
  <c r="AI253" i="9"/>
  <c r="AI229" i="9"/>
  <c r="AJ229" i="9"/>
  <c r="AJ221" i="9"/>
  <c r="AI221" i="9"/>
  <c r="AJ189" i="9"/>
  <c r="AI189" i="9"/>
  <c r="AJ173" i="9"/>
  <c r="AI165" i="9"/>
  <c r="AJ165" i="9"/>
  <c r="AJ153" i="9"/>
  <c r="AJ61" i="9"/>
  <c r="AJ37" i="9"/>
  <c r="AI61" i="9"/>
  <c r="AI73" i="9"/>
  <c r="AJ89" i="9"/>
  <c r="AJ101" i="9"/>
  <c r="AI153" i="9"/>
  <c r="AI173" i="9"/>
  <c r="AJ193" i="9"/>
  <c r="AJ257" i="9"/>
  <c r="AJ321" i="9"/>
  <c r="AJ276" i="9"/>
  <c r="AJ212" i="9"/>
  <c r="AJ180" i="9"/>
  <c r="AJ116" i="9"/>
  <c r="AJ84" i="9"/>
  <c r="AJ52" i="9"/>
  <c r="AJ20" i="9"/>
  <c r="AJ317" i="9"/>
  <c r="AI317" i="9"/>
  <c r="AJ301" i="9"/>
  <c r="AJ285" i="9"/>
  <c r="AI285" i="9"/>
  <c r="AI261" i="9"/>
  <c r="AJ261" i="9"/>
  <c r="AJ237" i="9"/>
  <c r="AJ217" i="9"/>
  <c r="AI197" i="9"/>
  <c r="AJ197" i="9"/>
  <c r="AJ157" i="9"/>
  <c r="AI157" i="9"/>
  <c r="AI133" i="9"/>
  <c r="AJ133" i="9"/>
  <c r="AJ125" i="9"/>
  <c r="AI125" i="9"/>
  <c r="AJ93" i="9"/>
  <c r="AJ29" i="9"/>
  <c r="AJ25" i="9"/>
  <c r="AI29" i="9"/>
  <c r="AI41" i="9"/>
  <c r="AJ57" i="9"/>
  <c r="AJ69" i="9"/>
  <c r="AI93" i="9"/>
  <c r="AI105" i="9"/>
  <c r="AI145" i="9"/>
  <c r="AI209" i="9"/>
  <c r="AI237" i="9"/>
  <c r="AI273" i="9"/>
  <c r="AI281" i="9"/>
  <c r="AI301" i="9"/>
  <c r="AJ308" i="9"/>
  <c r="AJ244" i="9"/>
  <c r="AJ148" i="9"/>
  <c r="AI121" i="9"/>
  <c r="AJ149" i="9"/>
  <c r="AJ169" i="9"/>
  <c r="AJ213" i="9"/>
  <c r="AJ233" i="9"/>
  <c r="AJ277" i="9"/>
  <c r="AJ297" i="9"/>
  <c r="AI10" i="9"/>
  <c r="AI36" i="9"/>
  <c r="AJ44" i="9"/>
  <c r="AI68" i="9"/>
  <c r="AJ76" i="9"/>
  <c r="AI100" i="9"/>
  <c r="AJ108" i="9"/>
  <c r="AI132" i="9"/>
  <c r="AJ140" i="9"/>
  <c r="AI164" i="9"/>
  <c r="AJ172" i="9"/>
  <c r="AI196" i="9"/>
  <c r="AJ204" i="9"/>
  <c r="AI228" i="9"/>
  <c r="AJ236" i="9"/>
  <c r="AI260" i="9"/>
  <c r="AJ268" i="9"/>
  <c r="AI292" i="9"/>
  <c r="AJ300" i="9"/>
  <c r="AI324" i="9"/>
  <c r="AJ21" i="9"/>
  <c r="AI45" i="9"/>
  <c r="AJ53" i="9"/>
  <c r="AI77" i="9"/>
  <c r="AJ85" i="9"/>
  <c r="AI109" i="9"/>
  <c r="AJ117" i="9"/>
  <c r="AI141" i="9"/>
  <c r="AJ161" i="9"/>
  <c r="AI177" i="9"/>
  <c r="AI185" i="9"/>
  <c r="AI205" i="9"/>
  <c r="AJ225" i="9"/>
  <c r="AI241" i="9"/>
  <c r="AI249" i="9"/>
  <c r="AI269" i="9"/>
  <c r="AJ289" i="9"/>
  <c r="AI305" i="9"/>
  <c r="AI313" i="9"/>
  <c r="AJ319" i="9"/>
  <c r="AJ303" i="9"/>
  <c r="AJ287" i="9"/>
  <c r="AJ271" i="9"/>
  <c r="AJ255" i="9"/>
  <c r="AJ239" i="9"/>
  <c r="AJ223" i="9"/>
  <c r="AJ207" i="9"/>
  <c r="AJ191" i="9"/>
  <c r="AJ175" i="9"/>
  <c r="AJ159" i="9"/>
  <c r="AJ143" i="9"/>
  <c r="AJ127" i="9"/>
  <c r="AJ111" i="9"/>
  <c r="AJ135" i="10"/>
  <c r="AJ110" i="10"/>
  <c r="AJ387" i="10"/>
  <c r="AJ371" i="10"/>
  <c r="AJ287" i="10"/>
  <c r="AJ199" i="10"/>
  <c r="AJ62" i="10"/>
  <c r="AJ22" i="10"/>
  <c r="AJ367" i="10"/>
  <c r="AJ363" i="10"/>
  <c r="AJ335" i="10"/>
  <c r="AJ299" i="10"/>
  <c r="AJ291" i="10"/>
  <c r="AJ283" i="10"/>
  <c r="AJ235" i="10"/>
  <c r="AJ219" i="10"/>
  <c r="AJ203" i="10"/>
  <c r="AJ187" i="10"/>
  <c r="AJ155" i="10"/>
  <c r="AJ147" i="10"/>
  <c r="AJ139" i="10"/>
  <c r="AJ127" i="10"/>
  <c r="AJ106" i="10"/>
  <c r="AJ94" i="10"/>
  <c r="AJ78" i="10"/>
  <c r="AJ343" i="10"/>
  <c r="AJ295" i="10"/>
  <c r="AJ207" i="10"/>
  <c r="AJ131" i="10"/>
  <c r="AJ263" i="10"/>
  <c r="AJ167" i="10"/>
  <c r="AJ211" i="10"/>
  <c r="AJ98" i="10"/>
  <c r="AJ14" i="10"/>
  <c r="AJ351" i="10"/>
  <c r="AJ327" i="10"/>
  <c r="AJ247" i="10"/>
  <c r="AJ223" i="10"/>
  <c r="AJ82" i="10"/>
  <c r="AJ34" i="10"/>
  <c r="AJ10" i="10"/>
  <c r="AJ321" i="10"/>
  <c r="AJ52" i="10"/>
  <c r="AJ36" i="10"/>
  <c r="AJ381" i="10"/>
  <c r="AJ369" i="10"/>
  <c r="AJ357" i="10"/>
  <c r="AJ341" i="10"/>
  <c r="AJ329" i="10"/>
  <c r="AJ313" i="10"/>
  <c r="AJ305" i="10"/>
  <c r="AJ289" i="10"/>
  <c r="AJ285" i="10"/>
  <c r="AJ277" i="10"/>
  <c r="AJ269" i="10"/>
  <c r="AJ201" i="10"/>
  <c r="AJ245" i="10"/>
  <c r="AJ44" i="10"/>
  <c r="AJ388" i="10"/>
  <c r="AJ365" i="10"/>
  <c r="AJ353" i="10"/>
  <c r="AJ337" i="10"/>
  <c r="AJ317" i="10"/>
  <c r="AJ333" i="10"/>
  <c r="AJ64" i="10"/>
  <c r="AJ385" i="10"/>
  <c r="AJ361" i="10"/>
  <c r="AJ349" i="10"/>
  <c r="AJ293" i="10"/>
  <c r="AJ265" i="10"/>
  <c r="AJ257" i="10"/>
  <c r="AJ253" i="10"/>
  <c r="AJ249" i="10"/>
  <c r="AJ241" i="10"/>
  <c r="AJ237" i="10"/>
  <c r="AJ229" i="10"/>
  <c r="AJ205" i="10"/>
  <c r="AJ197" i="10"/>
  <c r="AJ193" i="10"/>
  <c r="AJ189" i="10"/>
  <c r="AJ177" i="10"/>
  <c r="AJ173" i="10"/>
  <c r="AJ149" i="10"/>
  <c r="AJ137" i="10"/>
  <c r="AJ129" i="10"/>
  <c r="AJ125" i="10"/>
  <c r="AJ104" i="10"/>
  <c r="AJ100" i="10"/>
  <c r="AJ96" i="10"/>
  <c r="AJ92" i="10"/>
  <c r="AJ80" i="10"/>
  <c r="AJ72" i="10"/>
  <c r="AJ68" i="10"/>
  <c r="AJ60" i="10"/>
  <c r="AJ56" i="10"/>
  <c r="AJ48" i="10"/>
  <c r="AJ40" i="10"/>
  <c r="AJ32" i="10"/>
  <c r="AJ28" i="10"/>
  <c r="AJ24" i="10"/>
  <c r="AJ20" i="10"/>
  <c r="AJ16" i="10"/>
  <c r="AJ12" i="10"/>
  <c r="AJ4" i="10"/>
  <c r="AI4" i="10"/>
  <c r="AJ3" i="10"/>
  <c r="AI3" i="10"/>
  <c r="AJ377" i="10"/>
  <c r="AJ345" i="10"/>
  <c r="AJ325" i="10"/>
  <c r="AJ297" i="10"/>
  <c r="AJ122" i="10"/>
  <c r="AJ123" i="10"/>
  <c r="AJ157" i="10"/>
  <c r="AJ374" i="10"/>
  <c r="AJ386" i="10"/>
  <c r="AJ378" i="10"/>
  <c r="AJ5" i="10"/>
  <c r="AJ362" i="10"/>
  <c r="AJ346" i="10"/>
  <c r="AJ338" i="10"/>
  <c r="AJ330" i="10"/>
  <c r="AJ314" i="10"/>
  <c r="AJ306" i="10"/>
  <c r="AJ294" i="10"/>
  <c r="AJ286" i="10"/>
  <c r="AJ278" i="10"/>
  <c r="AJ270" i="10"/>
  <c r="AJ254" i="10"/>
  <c r="AJ226" i="10"/>
  <c r="AJ218" i="10"/>
  <c r="AJ217" i="10"/>
  <c r="AJ186" i="10"/>
  <c r="AJ174" i="10"/>
  <c r="AJ162" i="10"/>
  <c r="AJ154" i="10"/>
  <c r="AJ146" i="10"/>
  <c r="AJ138" i="10"/>
  <c r="AJ130" i="10"/>
  <c r="AJ114" i="10"/>
  <c r="AJ97" i="10"/>
  <c r="AJ65" i="10"/>
  <c r="AJ53" i="10"/>
  <c r="AJ45" i="10"/>
  <c r="AJ37" i="10"/>
  <c r="AJ29" i="10"/>
  <c r="AJ13" i="10"/>
  <c r="AJ389" i="10"/>
  <c r="AJ382" i="10"/>
  <c r="AJ370" i="10"/>
  <c r="AJ358" i="10"/>
  <c r="AJ342" i="10"/>
  <c r="AJ334" i="10"/>
  <c r="AJ318" i="10"/>
  <c r="AJ310" i="10"/>
  <c r="AJ302" i="10"/>
  <c r="AJ298" i="10"/>
  <c r="AJ290" i="10"/>
  <c r="AJ282" i="10"/>
  <c r="AJ274" i="10"/>
  <c r="AJ238" i="10"/>
  <c r="AJ230" i="10"/>
  <c r="AJ222" i="10"/>
  <c r="AJ214" i="10"/>
  <c r="AJ206" i="10"/>
  <c r="AJ202" i="10"/>
  <c r="AJ182" i="10"/>
  <c r="AJ170" i="10"/>
  <c r="AJ142" i="10"/>
  <c r="AJ126" i="10"/>
  <c r="AJ101" i="10"/>
  <c r="AJ93" i="10"/>
  <c r="AJ81" i="10"/>
  <c r="AJ73" i="10"/>
  <c r="AJ57" i="10"/>
  <c r="AJ49" i="10"/>
  <c r="AJ41" i="10"/>
  <c r="AJ33" i="10"/>
  <c r="AJ25" i="10"/>
  <c r="AJ17" i="10"/>
  <c r="AF5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Njaka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Sandra Njaka:</t>
        </r>
        <r>
          <rPr>
            <sz val="9"/>
            <color indexed="81"/>
            <rFont val="Tahoma"/>
            <family val="2"/>
          </rPr>
          <t xml:space="preserve">
Use average case price for Premium brands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Njaka</author>
  </authors>
  <commentList>
    <comment ref="A1" authorId="0" shapeId="0" xr:uid="{481E5F1F-C78A-45CE-BEA1-DCC1F087F42F}">
      <text>
        <r>
          <rPr>
            <b/>
            <sz val="9"/>
            <color indexed="81"/>
            <rFont val="Tahoma"/>
            <family val="2"/>
          </rPr>
          <t>Sandra Njaka:</t>
        </r>
        <r>
          <rPr>
            <sz val="9"/>
            <color indexed="81"/>
            <rFont val="Tahoma"/>
            <family val="2"/>
          </rPr>
          <t xml:space="preserve">
Use average case price for Premium brands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Njaka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Sandra Njaka:</t>
        </r>
        <r>
          <rPr>
            <sz val="9"/>
            <color indexed="81"/>
            <rFont val="Tahoma"/>
            <family val="2"/>
          </rPr>
          <t xml:space="preserve">
Use average case price for Premium brands
</t>
        </r>
      </text>
    </comment>
  </commentList>
</comments>
</file>

<file path=xl/sharedStrings.xml><?xml version="1.0" encoding="utf-8"?>
<sst xmlns="http://schemas.openxmlformats.org/spreadsheetml/2006/main" count="4589" uniqueCount="1511">
  <si>
    <t>AREA</t>
  </si>
  <si>
    <t>GBNL URN</t>
  </si>
  <si>
    <t>Name</t>
  </si>
  <si>
    <t>S/N</t>
  </si>
  <si>
    <t>Extra Credit Request (₦)</t>
  </si>
  <si>
    <t>Justification</t>
  </si>
  <si>
    <t xml:space="preserve">Current Target </t>
  </si>
  <si>
    <t>% Credit Exposure vs Initial Target</t>
  </si>
  <si>
    <t xml:space="preserve">% Credit Exposure vs New expected volume </t>
  </si>
  <si>
    <t>Customer</t>
  </si>
  <si>
    <t>Area</t>
  </si>
  <si>
    <t>Initial Credit Value</t>
  </si>
  <si>
    <t>To be Utilized</t>
  </si>
  <si>
    <t>Balance</t>
  </si>
  <si>
    <t>New Credit Value</t>
  </si>
  <si>
    <t>CREDIT REALLOCATION</t>
  </si>
  <si>
    <t>LEAVE</t>
  </si>
  <si>
    <t xml:space="preserve"> BD Check</t>
  </si>
  <si>
    <t>MENSU BOSS</t>
  </si>
  <si>
    <t>WCPA000104</t>
  </si>
  <si>
    <t>Onitsha</t>
  </si>
  <si>
    <t>Alh. Idiat Olatunji - 2</t>
  </si>
  <si>
    <t>Iya Tosin</t>
  </si>
  <si>
    <t>Iya Mohammed</t>
  </si>
  <si>
    <t>IYABO</t>
  </si>
  <si>
    <t>NDIGWE SAMUEL TOCHUKWU</t>
  </si>
  <si>
    <t>UGWU JONAS EMEKA</t>
  </si>
  <si>
    <t>BABA SODIQ</t>
  </si>
  <si>
    <t>ADEJOKE TIJANI</t>
  </si>
  <si>
    <t>MAMMAH ROSEMARY</t>
  </si>
  <si>
    <t>WONUJUWONLO VENTURE</t>
  </si>
  <si>
    <t>Iya Faidat Trading Stores</t>
  </si>
  <si>
    <t>Esther Jimoh</t>
  </si>
  <si>
    <t>KEMI SOLOLA</t>
  </si>
  <si>
    <t>Solid Ventures</t>
  </si>
  <si>
    <t>Holy water Universal</t>
  </si>
  <si>
    <t>Modester Ube</t>
  </si>
  <si>
    <t>Okafor Iloke</t>
  </si>
  <si>
    <t>Oba Ndi Igbo Nig. Ltd.</t>
  </si>
  <si>
    <t>St.Judes Stores</t>
  </si>
  <si>
    <t>Mc Igwe</t>
  </si>
  <si>
    <t>Kelechi Store</t>
  </si>
  <si>
    <t>Alhaja Lateef Ayisat</t>
  </si>
  <si>
    <t>Adeyinka Ayo</t>
  </si>
  <si>
    <t>Samuel Ube</t>
  </si>
  <si>
    <t>Selfas Merchandise Ent.</t>
  </si>
  <si>
    <t>IYA KOKORO</t>
  </si>
  <si>
    <t>T.H. NIG. Enterprises</t>
  </si>
  <si>
    <t>CHUKWU EMERIE Stores Limited</t>
  </si>
  <si>
    <t>FLORENCE AGBOOLA</t>
  </si>
  <si>
    <t>Ibrahim Yahaya</t>
  </si>
  <si>
    <t>MOHAMED ALI</t>
  </si>
  <si>
    <t>IYA AHMED FALY</t>
  </si>
  <si>
    <t>GEOMAN OKUMA (GM)</t>
  </si>
  <si>
    <t>EDWIN ONWUAMAIZU</t>
  </si>
  <si>
    <t>IYA PETER (MRS AFOLABI)</t>
  </si>
  <si>
    <t>IYA LATEFATH OLAITAN</t>
  </si>
  <si>
    <t>King Joe Incorporation</t>
  </si>
  <si>
    <t>RASHIDAT OLAJIDE (Fauzat)</t>
  </si>
  <si>
    <t>NIKE OLADIPO</t>
  </si>
  <si>
    <t>WASIU SILIFAT</t>
  </si>
  <si>
    <t>OYEDIJO MIKAILA</t>
  </si>
  <si>
    <t>GBOSHE OLATUNJI</t>
  </si>
  <si>
    <t>Alhaja Mosadoluwa</t>
  </si>
  <si>
    <t>Funmi Idowu</t>
  </si>
  <si>
    <t>Gbotie Makinde</t>
  </si>
  <si>
    <t>Mavellous Store</t>
  </si>
  <si>
    <t>Olaide Oguniyi</t>
  </si>
  <si>
    <t>Agaga Olayinka</t>
  </si>
  <si>
    <t>Hammed Idowu</t>
  </si>
  <si>
    <t>Mutiyat Olawuwo</t>
  </si>
  <si>
    <t>Eskay Tajudeen</t>
  </si>
  <si>
    <t>Tawakali Olisa</t>
  </si>
  <si>
    <t>Titi Alausa</t>
  </si>
  <si>
    <t>Mrs. Ayinke Adebayo</t>
  </si>
  <si>
    <t>Mujidat Adepegba</t>
  </si>
  <si>
    <t>Tale Morufat (Iya)</t>
  </si>
  <si>
    <t>Saidat Omotayo(Iya)</t>
  </si>
  <si>
    <t>Omolara Alamu</t>
  </si>
  <si>
    <t>Fausat Adetunji</t>
  </si>
  <si>
    <t>Mama Kemi Oluwalana</t>
  </si>
  <si>
    <t>Abdul Ramon Mujidat</t>
  </si>
  <si>
    <t>Latifat Ajiboye</t>
  </si>
  <si>
    <t>Sadiq Sile (iya)</t>
  </si>
  <si>
    <t>Iya Ramon Isiaka</t>
  </si>
  <si>
    <t>Anifat Ibikunle</t>
  </si>
  <si>
    <t>Funmi Alira(Mrs)</t>
  </si>
  <si>
    <t>Twins Sister</t>
  </si>
  <si>
    <t>Mrs Dada Kolapo</t>
  </si>
  <si>
    <t>Tajudeen Opeyemi (Iya Nofi)</t>
  </si>
  <si>
    <t>Fausat Najeem</t>
  </si>
  <si>
    <t>Zino Stores</t>
  </si>
  <si>
    <t>Mrs Balikis Oseni (Iya Malik)</t>
  </si>
  <si>
    <t>Alh Hamsat Sabitiyu</t>
  </si>
  <si>
    <t>Iya Sadiat</t>
  </si>
  <si>
    <t>Rukayat Folorunsho</t>
  </si>
  <si>
    <t>Kikelomo Iman</t>
  </si>
  <si>
    <t>Salimat Elejo</t>
  </si>
  <si>
    <t>Mumini Onikepe</t>
  </si>
  <si>
    <t>Musili Sanni Ramota</t>
  </si>
  <si>
    <t>Alfa Yahaya</t>
  </si>
  <si>
    <t>Alhaja Oniwiridi</t>
  </si>
  <si>
    <t>Three Zeroes</t>
  </si>
  <si>
    <t>Yahya Mutairu Rasheedat</t>
  </si>
  <si>
    <t>DAMTOY NIG LTD</t>
  </si>
  <si>
    <t>Marthy B</t>
  </si>
  <si>
    <t>Blessed Kanayo</t>
  </si>
  <si>
    <t>Mumuni Ibrahim</t>
  </si>
  <si>
    <t>MR. SEGUN ADEMOLA</t>
  </si>
  <si>
    <t>MRS SEMO &amp; CO</t>
  </si>
  <si>
    <t>MR R A IBRAHIM</t>
  </si>
  <si>
    <t>ALHAJA MOGBONJUBOLA OLANREWAJU</t>
  </si>
  <si>
    <t>MR MADINAT YUSUF</t>
  </si>
  <si>
    <t>ALH LUKMAN BELLO</t>
  </si>
  <si>
    <t>MR EDATOMOLA KAZEEM</t>
  </si>
  <si>
    <t>BOLTIKAY NIG LIMITED</t>
  </si>
  <si>
    <t>AROWOLO TAIBAT</t>
  </si>
  <si>
    <t>MR AJAYI AYINKE</t>
  </si>
  <si>
    <t>Iya Zainab</t>
  </si>
  <si>
    <t>MRS BELLO</t>
  </si>
  <si>
    <t>SIKIRAT AGBOOLA</t>
  </si>
  <si>
    <t>KOFO THOMAS</t>
  </si>
  <si>
    <t>JUNIOR (IYA)</t>
  </si>
  <si>
    <t>MUINAT (IYA)</t>
  </si>
  <si>
    <t>SEGUN FUNMILAYO BABALOLA</t>
  </si>
  <si>
    <t>NURUDEEN (IYA)</t>
  </si>
  <si>
    <t>TAIWO BASANYA</t>
  </si>
  <si>
    <t>Mrs. Alade Tawakalitu</t>
  </si>
  <si>
    <t>Sunday Adama (Ojota)</t>
  </si>
  <si>
    <t>Ameh Amos Ifeanyichukwu</t>
  </si>
  <si>
    <t>Mrs Eze Ann</t>
  </si>
  <si>
    <t>FUNMILAYO SHITTU</t>
  </si>
  <si>
    <t>ALI GADO GARUBA</t>
  </si>
  <si>
    <t>CHIJIOKE ONU</t>
  </si>
  <si>
    <t>LAWAL MOHAMMED</t>
  </si>
  <si>
    <t>Maurice Chibueze</t>
  </si>
  <si>
    <t>Ariwoayo Safiat</t>
  </si>
  <si>
    <t>David Store</t>
  </si>
  <si>
    <t>Odofin Adekunle Global Limited</t>
  </si>
  <si>
    <t>Clement Igbafa Afekhena</t>
  </si>
  <si>
    <t>Grace Oboh</t>
  </si>
  <si>
    <t>Florence Mofe</t>
  </si>
  <si>
    <t>Clara Ohwaga</t>
  </si>
  <si>
    <t>Victoria Agbajo</t>
  </si>
  <si>
    <t>Stella Omoshowafa</t>
  </si>
  <si>
    <t>Roseline Afor</t>
  </si>
  <si>
    <t>Maria Ogbe</t>
  </si>
  <si>
    <t>Maria Asakpa(Warri)</t>
  </si>
  <si>
    <t>Lydia Omanze</t>
  </si>
  <si>
    <t>Felicia Oji</t>
  </si>
  <si>
    <t>Igere Richard</t>
  </si>
  <si>
    <t>Igwe Stores</t>
  </si>
  <si>
    <t>James Okochi</t>
  </si>
  <si>
    <t>Damian Eziekwu</t>
  </si>
  <si>
    <t>Ufuanyaegbunam Okechukwu</t>
  </si>
  <si>
    <t>Ugochukwu Ezeja</t>
  </si>
  <si>
    <t>Elizabeth Egbeomah</t>
  </si>
  <si>
    <t>FRIDAY BASSEY</t>
  </si>
  <si>
    <t>ISIDORE NKANTA</t>
  </si>
  <si>
    <t>IME B. EKPO</t>
  </si>
  <si>
    <t>IME ELIJAH</t>
  </si>
  <si>
    <t>Aniekan Napoleon</t>
  </si>
  <si>
    <t>Jacob Ekpo</t>
  </si>
  <si>
    <t>CHUKWUDI ASIEGBU</t>
  </si>
  <si>
    <t>JOSEPH EZEH</t>
  </si>
  <si>
    <t>OKEY EZUNAGU</t>
  </si>
  <si>
    <t>IGNATUS OKAFOR</t>
  </si>
  <si>
    <t>JUDE ANYANWU</t>
  </si>
  <si>
    <t>NZE C.N. OKONKWO</t>
  </si>
  <si>
    <t>JONAS DIKE</t>
  </si>
  <si>
    <t>INNOCENT &amp; SON</t>
  </si>
  <si>
    <t>ABUBAKAR &amp; SON</t>
  </si>
  <si>
    <t>EMEKA UDEMBA</t>
  </si>
  <si>
    <t>Anthony Ikeagwu</t>
  </si>
  <si>
    <t>Too Good</t>
  </si>
  <si>
    <t>Dickson Maduekwe</t>
  </si>
  <si>
    <t>Alaeze Godwin</t>
  </si>
  <si>
    <t>Obi Eze &amp; Company Nig Limited</t>
  </si>
  <si>
    <t>PHILIP NWEKE</t>
  </si>
  <si>
    <t>CHIDI EKE</t>
  </si>
  <si>
    <t>O C C</t>
  </si>
  <si>
    <t>Francis Nwani</t>
  </si>
  <si>
    <t>FIDELIS ONAH</t>
  </si>
  <si>
    <t>DENNIS EYA</t>
  </si>
  <si>
    <t>ODO MARTIN</t>
  </si>
  <si>
    <t>SAMUEL IWEKA</t>
  </si>
  <si>
    <t>JOHN ANIEGBOKA</t>
  </si>
  <si>
    <t>MONICA NNABUCHI</t>
  </si>
  <si>
    <t>Vincent Chikwendu</t>
  </si>
  <si>
    <t>Paul Ejikeme</t>
  </si>
  <si>
    <t>PATRICK NNEJI</t>
  </si>
  <si>
    <t>AMAECHI ENEH</t>
  </si>
  <si>
    <t>Christian Mba</t>
  </si>
  <si>
    <t>Reference Super Stores</t>
  </si>
  <si>
    <t>Onyekwere Eze Enterprise</t>
  </si>
  <si>
    <t>Alhaji Umoru Danbauchi</t>
  </si>
  <si>
    <t>George Ezema</t>
  </si>
  <si>
    <t>STEPHEN AMAMA</t>
  </si>
  <si>
    <t>Obinna Obi</t>
  </si>
  <si>
    <t>Charles Duru</t>
  </si>
  <si>
    <t>Paul Abuchi</t>
  </si>
  <si>
    <t>ALH HASSAN YAKUBU</t>
  </si>
  <si>
    <t>EMEKA EZE</t>
  </si>
  <si>
    <t>Mr. Romanus Ujah</t>
  </si>
  <si>
    <t>Alh Isah Musa</t>
  </si>
  <si>
    <t>Alh Dahiru Baba</t>
  </si>
  <si>
    <t>Umar Bobo</t>
  </si>
  <si>
    <t>Bashir Aliyu</t>
  </si>
  <si>
    <t>Alhaji Ahmadu Adamu Abdulahi</t>
  </si>
  <si>
    <t>Ojuiyiowi Eze</t>
  </si>
  <si>
    <t>CHIEF SIMON EMERE</t>
  </si>
  <si>
    <t>NDUBUISI ARIRIAHU</t>
  </si>
  <si>
    <t>EZEKWE OJIOFOR</t>
  </si>
  <si>
    <t>Donald Odimegwu</t>
  </si>
  <si>
    <t>ADAMU YAKUBU</t>
  </si>
  <si>
    <t>ADAMU ADO</t>
  </si>
  <si>
    <t>IBRAHIM ABDULAHI EDI</t>
  </si>
  <si>
    <t>Alhaji Dauda Abdulsalam</t>
  </si>
  <si>
    <t>Elijah James Udoh</t>
  </si>
  <si>
    <t>Uche Duru</t>
  </si>
  <si>
    <t>Yahaya Mikiaru</t>
  </si>
  <si>
    <t>A U Supreme Ventures</t>
  </si>
  <si>
    <t>Cosmos Anyougu</t>
  </si>
  <si>
    <t>Sunday Umeh</t>
  </si>
  <si>
    <t>Saidu Isiaku</t>
  </si>
  <si>
    <t>Moses Everistos mokwa</t>
  </si>
  <si>
    <t>Bafashi Galadima</t>
  </si>
  <si>
    <t>Lawan Danfari</t>
  </si>
  <si>
    <t>Abubakar Chairman</t>
  </si>
  <si>
    <t>Zakaria SO</t>
  </si>
  <si>
    <t>Danyaya Mohd</t>
  </si>
  <si>
    <t>EMMANUEL ANI</t>
  </si>
  <si>
    <t>JohnChido Ogbuabor</t>
  </si>
  <si>
    <t>Ramatu Fatamoye</t>
  </si>
  <si>
    <t>Simon Ossai</t>
  </si>
  <si>
    <t>Eze Onyebuchi</t>
  </si>
  <si>
    <t>Sunny Holdings Nig</t>
  </si>
  <si>
    <t>Mohammed Sule</t>
  </si>
  <si>
    <t>Madueke Nnaji</t>
  </si>
  <si>
    <t>Sunday Edeh</t>
  </si>
  <si>
    <t>Amechi Ogbu</t>
  </si>
  <si>
    <t>Oliver Eze</t>
  </si>
  <si>
    <t>Mike Ogbonna</t>
  </si>
  <si>
    <t>Haliru Hassan</t>
  </si>
  <si>
    <t>Zila Daura</t>
  </si>
  <si>
    <t>Fabian Ecomog</t>
  </si>
  <si>
    <t>Chukudi Ogbo</t>
  </si>
  <si>
    <t>Abdulmumini Usman</t>
  </si>
  <si>
    <t>Haruna Mohammed</t>
  </si>
  <si>
    <t>Hussaini Baba</t>
  </si>
  <si>
    <t>De - Blessed Investment</t>
  </si>
  <si>
    <t>Rufai Haliru</t>
  </si>
  <si>
    <t>Daniel I. Chukwuemeka</t>
  </si>
  <si>
    <t>Tanimu Alfa</t>
  </si>
  <si>
    <t>Majester Obendel</t>
  </si>
  <si>
    <t>Hauwa Usman</t>
  </si>
  <si>
    <t>Mama Nana</t>
  </si>
  <si>
    <t>Mama Habibu</t>
  </si>
  <si>
    <t>Adamu Julde</t>
  </si>
  <si>
    <t>Ahmed Shuaibu</t>
  </si>
  <si>
    <t>Kadio Atser</t>
  </si>
  <si>
    <t>Peter Yohanna</t>
  </si>
  <si>
    <t>Abubakar Mohammed</t>
  </si>
  <si>
    <t>Danjauro Manu</t>
  </si>
  <si>
    <t>Alhaji Ubale Ibi</t>
  </si>
  <si>
    <t>Ibrahim Hassan</t>
  </si>
  <si>
    <t>Abdullahi Adamu</t>
  </si>
  <si>
    <t>Maina Odubo</t>
  </si>
  <si>
    <t>Ahmed Musa</t>
  </si>
  <si>
    <t>Marison Cornelus</t>
  </si>
  <si>
    <t>Sale Naplato</t>
  </si>
  <si>
    <t>Sallau Abdullahi</t>
  </si>
  <si>
    <t>Darazo Usman</t>
  </si>
  <si>
    <t>Nuhu Usman</t>
  </si>
  <si>
    <t>Chidube Hygenus</t>
  </si>
  <si>
    <t>Abdu Abdullahi</t>
  </si>
  <si>
    <t>Nasiru Mahmood</t>
  </si>
  <si>
    <t>Titus Onyeka</t>
  </si>
  <si>
    <t>ALh.Haruna Umar</t>
  </si>
  <si>
    <t>MS Muhammad</t>
  </si>
  <si>
    <t>Aminu Saeed</t>
  </si>
  <si>
    <t>Ezedinbu Sam-Isamaco Ltd</t>
  </si>
  <si>
    <t>Idris Ibrahim</t>
  </si>
  <si>
    <t>Waliyu Musa</t>
  </si>
  <si>
    <t>Sambo Abdullahi</t>
  </si>
  <si>
    <t>Abdullahi Sani</t>
  </si>
  <si>
    <t>Danasabe Abubakar</t>
  </si>
  <si>
    <t>Abubakar DanHalima</t>
  </si>
  <si>
    <t>Nadabo Musa</t>
  </si>
  <si>
    <t>MUSA YUSUF</t>
  </si>
  <si>
    <t>Audu Vwa</t>
  </si>
  <si>
    <t>Lawan K waba</t>
  </si>
  <si>
    <t>Aishat Aliyu</t>
  </si>
  <si>
    <t>Abubakar Yahuza</t>
  </si>
  <si>
    <t>Nasiru Sarki</t>
  </si>
  <si>
    <t>Usman Sale</t>
  </si>
  <si>
    <t>Barau AbdulFrahaman</t>
  </si>
  <si>
    <t>Salisu Adamu</t>
  </si>
  <si>
    <t>Sheu S Jos</t>
  </si>
  <si>
    <t>Nafiu Musa</t>
  </si>
  <si>
    <t>Salisu Maikanti</t>
  </si>
  <si>
    <t>Alh. Zubairu Daura</t>
  </si>
  <si>
    <t>Alh. Lawan Danrabe</t>
  </si>
  <si>
    <t>BUHARI MANIR</t>
  </si>
  <si>
    <t>SHAMSUDEEN USMAN</t>
  </si>
  <si>
    <t>AMINU USMAN</t>
  </si>
  <si>
    <t>Usman Garba</t>
  </si>
  <si>
    <t>Manu Mohammed</t>
  </si>
  <si>
    <t>Barkindo ba</t>
  </si>
  <si>
    <t>Alh Abdul Mohammed</t>
  </si>
  <si>
    <t>Varuwa Tizhe</t>
  </si>
  <si>
    <t>GARBA 50/50</t>
  </si>
  <si>
    <t>Jidda Goni</t>
  </si>
  <si>
    <t>John Goji</t>
  </si>
  <si>
    <t>Maikudi Isa</t>
  </si>
  <si>
    <t>Tijani Terry</t>
  </si>
  <si>
    <t>HADI ALI</t>
  </si>
  <si>
    <t>MOHD VANDI</t>
  </si>
  <si>
    <t>MUKTARI YASHAU</t>
  </si>
  <si>
    <t>Hussaini Umar Bassingbourn</t>
  </si>
  <si>
    <t>Ali Audu</t>
  </si>
  <si>
    <t>Adamu Usman</t>
  </si>
  <si>
    <t>Aminu Buba Baffa</t>
  </si>
  <si>
    <t>Gurza Enterprise</t>
  </si>
  <si>
    <t>Saidu Bello</t>
  </si>
  <si>
    <t>Alh Dahiru Alto</t>
  </si>
  <si>
    <t>Alh Musa Jega</t>
  </si>
  <si>
    <t>Alh Namadina</t>
  </si>
  <si>
    <t>Alh Musa Kange</t>
  </si>
  <si>
    <t>Alh Malami Wurno</t>
  </si>
  <si>
    <t>Alh Dahiru Bello</t>
  </si>
  <si>
    <t>Alh Aminu Fara</t>
  </si>
  <si>
    <t>NAZIRU DAHIRU</t>
  </si>
  <si>
    <t>ALH. Sahabi Dahiru</t>
  </si>
  <si>
    <t>Alh Muntaka M.T.K</t>
  </si>
  <si>
    <t>Ibrahim Mohammed Gani</t>
  </si>
  <si>
    <t>Alh Suleinam Bagudo</t>
  </si>
  <si>
    <t>LAC3712</t>
  </si>
  <si>
    <t>LAC2292</t>
  </si>
  <si>
    <t>LAC0666</t>
  </si>
  <si>
    <t>CTAK0007</t>
  </si>
  <si>
    <t>LAC2393</t>
  </si>
  <si>
    <t>LAC2392</t>
  </si>
  <si>
    <t>LAC0073</t>
  </si>
  <si>
    <t>CTAJ0007</t>
  </si>
  <si>
    <t>CTAJ0003</t>
  </si>
  <si>
    <t>LAC2298</t>
  </si>
  <si>
    <t>LAC1605</t>
  </si>
  <si>
    <t>LAC0281</t>
  </si>
  <si>
    <t>CTAH0003</t>
  </si>
  <si>
    <t>LAC3860</t>
  </si>
  <si>
    <t>LAC3675</t>
  </si>
  <si>
    <t>SWC2850</t>
  </si>
  <si>
    <t>SWC2335</t>
  </si>
  <si>
    <t>WCFA000223</t>
  </si>
  <si>
    <t>WCFA000220</t>
  </si>
  <si>
    <t>WCFA000218</t>
  </si>
  <si>
    <t>WCFA000208</t>
  </si>
  <si>
    <t>WCFA000177</t>
  </si>
  <si>
    <t>SWC1390</t>
  </si>
  <si>
    <t>LAC3572</t>
  </si>
  <si>
    <t>LAC3519</t>
  </si>
  <si>
    <t>LAC3531</t>
  </si>
  <si>
    <t>LAC3368</t>
  </si>
  <si>
    <t>LAC2268</t>
  </si>
  <si>
    <t>LAC2259</t>
  </si>
  <si>
    <t>LAC2258</t>
  </si>
  <si>
    <t>LAC2254</t>
  </si>
  <si>
    <t>LAC2253</t>
  </si>
  <si>
    <t>LAC2143</t>
  </si>
  <si>
    <t>LAC2255</t>
  </si>
  <si>
    <t>LAC1472</t>
  </si>
  <si>
    <t>CTAN0012</t>
  </si>
  <si>
    <t>CTAN0011</t>
  </si>
  <si>
    <t>CTAN0008</t>
  </si>
  <si>
    <t>CTAN0007</t>
  </si>
  <si>
    <t>CTAN0004</t>
  </si>
  <si>
    <t>SWC1102</t>
  </si>
  <si>
    <t>WCFA000054</t>
  </si>
  <si>
    <t>WCFA000047</t>
  </si>
  <si>
    <t>SWC2006</t>
  </si>
  <si>
    <t>WCFA000004</t>
  </si>
  <si>
    <t>WCFA000080</t>
  </si>
  <si>
    <t>WCFA000075</t>
  </si>
  <si>
    <t>WCFA000073</t>
  </si>
  <si>
    <t>WCFA000071</t>
  </si>
  <si>
    <t>WCFA000057</t>
  </si>
  <si>
    <t>WCFA000055</t>
  </si>
  <si>
    <t>SWC1269</t>
  </si>
  <si>
    <t>WCFA000052</t>
  </si>
  <si>
    <t>WCFA000046</t>
  </si>
  <si>
    <t>WCFA000045</t>
  </si>
  <si>
    <t>WCFA000042</t>
  </si>
  <si>
    <t>WCFA000039</t>
  </si>
  <si>
    <t>WCFA000034</t>
  </si>
  <si>
    <t>WCFA000027</t>
  </si>
  <si>
    <t>WCFA000026</t>
  </si>
  <si>
    <t>WCFA000023</t>
  </si>
  <si>
    <t>WCFA000021</t>
  </si>
  <si>
    <t>WCFA000018</t>
  </si>
  <si>
    <t>WCFA000008</t>
  </si>
  <si>
    <t>WCFA000003</t>
  </si>
  <si>
    <t>SWC0914</t>
  </si>
  <si>
    <t>WCFA000672</t>
  </si>
  <si>
    <t>WCFA000116</t>
  </si>
  <si>
    <t>SWC1886</t>
  </si>
  <si>
    <t>SWC0934</t>
  </si>
  <si>
    <t>WCFA000113</t>
  </si>
  <si>
    <t>WCFA000102</t>
  </si>
  <si>
    <t>WCFA000098</t>
  </si>
  <si>
    <t>WCFA000097</t>
  </si>
  <si>
    <t>WCFA000096</t>
  </si>
  <si>
    <t>WCFA000091</t>
  </si>
  <si>
    <t>WCFA000090</t>
  </si>
  <si>
    <t>WCFA000088</t>
  </si>
  <si>
    <t>SWC1039</t>
  </si>
  <si>
    <t>LAC1419</t>
  </si>
  <si>
    <t>LAC3987</t>
  </si>
  <si>
    <t>LAC0429</t>
  </si>
  <si>
    <t>LAC3995</t>
  </si>
  <si>
    <t>LAC0161</t>
  </si>
  <si>
    <t>LAC0160</t>
  </si>
  <si>
    <t>CTAE0047</t>
  </si>
  <si>
    <t>CTAE0045</t>
  </si>
  <si>
    <t>CTAE0042</t>
  </si>
  <si>
    <t>CTAE0033</t>
  </si>
  <si>
    <t>CTAE0032</t>
  </si>
  <si>
    <t>CTAE0031</t>
  </si>
  <si>
    <t>LAC3996</t>
  </si>
  <si>
    <t>CTAE0017</t>
  </si>
  <si>
    <t>CTAE0013</t>
  </si>
  <si>
    <t>CTAE0006</t>
  </si>
  <si>
    <t>LAC3508</t>
  </si>
  <si>
    <t>CTAZ0049</t>
  </si>
  <si>
    <t>CTAZ0045</t>
  </si>
  <si>
    <t>CTAZ0044</t>
  </si>
  <si>
    <t>CTAZ0043</t>
  </si>
  <si>
    <t>CTAZ0023</t>
  </si>
  <si>
    <t>CTAZ0008</t>
  </si>
  <si>
    <t>CTAZ0005</t>
  </si>
  <si>
    <t>CTAZ0001</t>
  </si>
  <si>
    <t>LAC0212</t>
  </si>
  <si>
    <t>LAC0088</t>
  </si>
  <si>
    <t>LAC0087</t>
  </si>
  <si>
    <t>LAC0085</t>
  </si>
  <si>
    <t>CTAW0006</t>
  </si>
  <si>
    <t>CTAW0004</t>
  </si>
  <si>
    <t>CTAW0002</t>
  </si>
  <si>
    <t>CTAW0001</t>
  </si>
  <si>
    <t>LAC4043</t>
  </si>
  <si>
    <t>LAC4068</t>
  </si>
  <si>
    <t>LAC4090</t>
  </si>
  <si>
    <t>SWC3226</t>
  </si>
  <si>
    <t>SWC2391</t>
  </si>
  <si>
    <t>WCFA000205</t>
  </si>
  <si>
    <t>WCFA000204</t>
  </si>
  <si>
    <t>WCFA000203</t>
  </si>
  <si>
    <t>WCFA000200</t>
  </si>
  <si>
    <t>WCFA000198</t>
  </si>
  <si>
    <t>WCFA000197</t>
  </si>
  <si>
    <t>WCFA000195</t>
  </si>
  <si>
    <t>WCFA000194</t>
  </si>
  <si>
    <t>WCFA000193</t>
  </si>
  <si>
    <t>WCFA000190</t>
  </si>
  <si>
    <t>SWC1275</t>
  </si>
  <si>
    <t>SWC1388</t>
  </si>
  <si>
    <t>WCFA000143</t>
  </si>
  <si>
    <t>WCFA000139</t>
  </si>
  <si>
    <t>SWC1989</t>
  </si>
  <si>
    <t>SWC1252</t>
  </si>
  <si>
    <t>SWC3000</t>
  </si>
  <si>
    <t>WCPA000144</t>
  </si>
  <si>
    <t>WCPA000143</t>
  </si>
  <si>
    <t>WCPA000139</t>
  </si>
  <si>
    <t>SEC001390</t>
  </si>
  <si>
    <t>SEC001235</t>
  </si>
  <si>
    <t>PWCPP000306</t>
  </si>
  <si>
    <t>WCPA000152</t>
  </si>
  <si>
    <t>WCPA000148</t>
  </si>
  <si>
    <t>WCPA000042</t>
  </si>
  <si>
    <t>WCPA000028</t>
  </si>
  <si>
    <t>WCPA000026</t>
  </si>
  <si>
    <t>WCPA000025</t>
  </si>
  <si>
    <t>WCPA000024</t>
  </si>
  <si>
    <t>WCPA000156</t>
  </si>
  <si>
    <t>WCPA000155</t>
  </si>
  <si>
    <t>SEC001788</t>
  </si>
  <si>
    <t>PWCPP000526</t>
  </si>
  <si>
    <t>PWCPP000460</t>
  </si>
  <si>
    <t>SEC003627</t>
  </si>
  <si>
    <t>SEC003370</t>
  </si>
  <si>
    <t>WCPA000123</t>
  </si>
  <si>
    <t>WCPA000111</t>
  </si>
  <si>
    <t>WCPA000101</t>
  </si>
  <si>
    <t>PWCPP000344</t>
  </si>
  <si>
    <t>SEC003690</t>
  </si>
  <si>
    <t>WCPA000087</t>
  </si>
  <si>
    <t>WCPA000085</t>
  </si>
  <si>
    <t>SEC001112</t>
  </si>
  <si>
    <t>PWCPP000304</t>
  </si>
  <si>
    <t>WCPA000091</t>
  </si>
  <si>
    <t>WCPA000090</t>
  </si>
  <si>
    <t>PWCPP000343</t>
  </si>
  <si>
    <t>PWCPP000341</t>
  </si>
  <si>
    <t>WCPA000078</t>
  </si>
  <si>
    <t>WCPA000068</t>
  </si>
  <si>
    <t>SEC001903</t>
  </si>
  <si>
    <t>SEC003703</t>
  </si>
  <si>
    <t>SEC003374</t>
  </si>
  <si>
    <t>SEC002767</t>
  </si>
  <si>
    <t>SEC002725</t>
  </si>
  <si>
    <t>WCPA000181</t>
  </si>
  <si>
    <t>WCPA000171</t>
  </si>
  <si>
    <t>WCPA000169</t>
  </si>
  <si>
    <t>WCPA000167</t>
  </si>
  <si>
    <t>SEC002092</t>
  </si>
  <si>
    <t>SEC002091</t>
  </si>
  <si>
    <t>WCPA000163</t>
  </si>
  <si>
    <t>WCPA000161</t>
  </si>
  <si>
    <t>WCPA000159</t>
  </si>
  <si>
    <t>WCPA000172</t>
  </si>
  <si>
    <t>SEC002830</t>
  </si>
  <si>
    <t>WCPA000002</t>
  </si>
  <si>
    <t>PWCPP000511</t>
  </si>
  <si>
    <t>WCPA000063</t>
  </si>
  <si>
    <t>WCPA000061</t>
  </si>
  <si>
    <t>WCPA000057</t>
  </si>
  <si>
    <t>WCPA000019</t>
  </si>
  <si>
    <t>WCPA000006</t>
  </si>
  <si>
    <t>WCPA000004</t>
  </si>
  <si>
    <t>WCPA000001</t>
  </si>
  <si>
    <t>SEC001205</t>
  </si>
  <si>
    <t>SEC003981</t>
  </si>
  <si>
    <t>SEC003795</t>
  </si>
  <si>
    <t>SEC003930</t>
  </si>
  <si>
    <t>MBC003337</t>
  </si>
  <si>
    <t>WCJA000035</t>
  </si>
  <si>
    <t>WCJA000032</t>
  </si>
  <si>
    <t>WCJA000048</t>
  </si>
  <si>
    <t>MBC001329</t>
  </si>
  <si>
    <t>WCJA000026</t>
  </si>
  <si>
    <t>WCJA000025</t>
  </si>
  <si>
    <t>WCJA000019</t>
  </si>
  <si>
    <t>WCJA000018</t>
  </si>
  <si>
    <t>MBC001360</t>
  </si>
  <si>
    <t>WCJA000332</t>
  </si>
  <si>
    <t>MBC003336</t>
  </si>
  <si>
    <t>WCJA000031</t>
  </si>
  <si>
    <t>WCJA000334</t>
  </si>
  <si>
    <t>MBC002177</t>
  </si>
  <si>
    <t>MBC001921</t>
  </si>
  <si>
    <t>WCJA000106</t>
  </si>
  <si>
    <t>WCJA000104</t>
  </si>
  <si>
    <t>WCJA000103</t>
  </si>
  <si>
    <t>WCJA000379</t>
  </si>
  <si>
    <t>WCJA000017</t>
  </si>
  <si>
    <t>WCJA000012</t>
  </si>
  <si>
    <t>WCJA000011</t>
  </si>
  <si>
    <t>WCJA000008</t>
  </si>
  <si>
    <t>WCJA000007</t>
  </si>
  <si>
    <t>WCJA000005</t>
  </si>
  <si>
    <t>WCJA000002</t>
  </si>
  <si>
    <t>WCJA000001</t>
  </si>
  <si>
    <t>MBC002873</t>
  </si>
  <si>
    <t>MBC001930</t>
  </si>
  <si>
    <t>MBC001526</t>
  </si>
  <si>
    <t>MBC003538</t>
  </si>
  <si>
    <t>WCFA000229</t>
  </si>
  <si>
    <t>WCFA000183</t>
  </si>
  <si>
    <t>WCFA000181</t>
  </si>
  <si>
    <t>WCFA000180</t>
  </si>
  <si>
    <t>WCFA000179</t>
  </si>
  <si>
    <t>WCJA000112</t>
  </si>
  <si>
    <t>MBC002896</t>
  </si>
  <si>
    <t>MBC002829</t>
  </si>
  <si>
    <t>WCJA000300</t>
  </si>
  <si>
    <t>WCJA000131</t>
  </si>
  <si>
    <t>WCJA000130</t>
  </si>
  <si>
    <t>MBC002945</t>
  </si>
  <si>
    <t>MBC002944</t>
  </si>
  <si>
    <t>WCJA000117</t>
  </si>
  <si>
    <t>WCJA000116</t>
  </si>
  <si>
    <t>WCJA000114</t>
  </si>
  <si>
    <t>MBC002876</t>
  </si>
  <si>
    <t>WCJA000121</t>
  </si>
  <si>
    <t>WCJA000120</t>
  </si>
  <si>
    <t>WCJA000119</t>
  </si>
  <si>
    <t>MBC002085</t>
  </si>
  <si>
    <t>WCJA000149</t>
  </si>
  <si>
    <t>WCJA000102</t>
  </si>
  <si>
    <t>WCJA000096</t>
  </si>
  <si>
    <t>WCJA000095</t>
  </si>
  <si>
    <t>MBC002875</t>
  </si>
  <si>
    <t>MBC002084</t>
  </si>
  <si>
    <t>MBC001327</t>
  </si>
  <si>
    <t>MBC003587</t>
  </si>
  <si>
    <t>MBC003463</t>
  </si>
  <si>
    <t>WCJA000088</t>
  </si>
  <si>
    <t>MBC001620</t>
  </si>
  <si>
    <t>WCJA000082</t>
  </si>
  <si>
    <t>WCJA000077</t>
  </si>
  <si>
    <t>WCJA000072</t>
  </si>
  <si>
    <t>WCJA000188</t>
  </si>
  <si>
    <t>WCJA000151</t>
  </si>
  <si>
    <t>WCJA000066</t>
  </si>
  <si>
    <t>WCJA000065</t>
  </si>
  <si>
    <t>SWC3120</t>
  </si>
  <si>
    <t>NTC1981</t>
  </si>
  <si>
    <t>NTC1928</t>
  </si>
  <si>
    <t>WCDA000025</t>
  </si>
  <si>
    <t>WCDA000016</t>
  </si>
  <si>
    <t>WCDA000013</t>
  </si>
  <si>
    <t>WCDA000011</t>
  </si>
  <si>
    <t>WCDA000006</t>
  </si>
  <si>
    <t>WCDA000005</t>
  </si>
  <si>
    <t>NTC1725</t>
  </si>
  <si>
    <t>WCDA000026</t>
  </si>
  <si>
    <t>WCDA000043</t>
  </si>
  <si>
    <t>NTC0031</t>
  </si>
  <si>
    <t>NTC2306</t>
  </si>
  <si>
    <t>NTC2307</t>
  </si>
  <si>
    <t>WCJA000124</t>
  </si>
  <si>
    <t>WCDA000071</t>
  </si>
  <si>
    <t>WCDA000069</t>
  </si>
  <si>
    <t>WCDA000068</t>
  </si>
  <si>
    <t>NTC1262</t>
  </si>
  <si>
    <t>WCDA000134</t>
  </si>
  <si>
    <t>WCDA000057</t>
  </si>
  <si>
    <t>NTC1851</t>
  </si>
  <si>
    <t>NTC1192</t>
  </si>
  <si>
    <t>NTC1127</t>
  </si>
  <si>
    <t>NTC0063</t>
  </si>
  <si>
    <t>WCJA000312</t>
  </si>
  <si>
    <t>MBC002973</t>
  </si>
  <si>
    <t>MBC002893</t>
  </si>
  <si>
    <t>MBC003485</t>
  </si>
  <si>
    <t>MBC003573</t>
  </si>
  <si>
    <t>NTC2395</t>
  </si>
  <si>
    <t>NTC1964</t>
  </si>
  <si>
    <t>WCDA000180</t>
  </si>
  <si>
    <t>WCDA000111</t>
  </si>
  <si>
    <t>WCDA000103</t>
  </si>
  <si>
    <t>WCDA000089</t>
  </si>
  <si>
    <t>WCDA000088</t>
  </si>
  <si>
    <t>WCDA000087</t>
  </si>
  <si>
    <t>WCDA000079</t>
  </si>
  <si>
    <t>WCDA000077</t>
  </si>
  <si>
    <t>NTC1659</t>
  </si>
  <si>
    <t>NTC1578</t>
  </si>
  <si>
    <t>NTC1289</t>
  </si>
  <si>
    <t>NTC1162</t>
  </si>
  <si>
    <t>NTC2351</t>
  </si>
  <si>
    <t>Agege</t>
  </si>
  <si>
    <t>Akure</t>
  </si>
  <si>
    <t>Festac</t>
  </si>
  <si>
    <t>Ibadan</t>
  </si>
  <si>
    <t>Ilorin</t>
  </si>
  <si>
    <t>Marina</t>
  </si>
  <si>
    <t>Mushin</t>
  </si>
  <si>
    <t>FESTAC</t>
  </si>
  <si>
    <t>Benin</t>
  </si>
  <si>
    <t>Calabar</t>
  </si>
  <si>
    <t>Enugu</t>
  </si>
  <si>
    <t>Makurdi</t>
  </si>
  <si>
    <t>PH</t>
  </si>
  <si>
    <t>Abuja</t>
  </si>
  <si>
    <t>Abuja 2</t>
  </si>
  <si>
    <t>Jos</t>
  </si>
  <si>
    <t>Kaduna</t>
  </si>
  <si>
    <t>Kano</t>
  </si>
  <si>
    <t>Katsina</t>
  </si>
  <si>
    <t>Maiduguri</t>
  </si>
  <si>
    <t>Sokoto</t>
  </si>
  <si>
    <t>EMMANUEL AGRO</t>
  </si>
  <si>
    <t>Benzoro Store</t>
  </si>
  <si>
    <t>Paul Ovieba</t>
  </si>
  <si>
    <t>Ejike Nnamani (Stockiest)</t>
  </si>
  <si>
    <t>Amos Abu</t>
  </si>
  <si>
    <t>Otega Super Store</t>
  </si>
  <si>
    <t>Madam Isaac Chukwudike (RME)</t>
  </si>
  <si>
    <t>Madam Rosemary</t>
  </si>
  <si>
    <t>Mr Pauluns Store (RME)</t>
  </si>
  <si>
    <t>Larry Happy</t>
  </si>
  <si>
    <t>Lady Jane Integrated</t>
  </si>
  <si>
    <t>S.K Awe</t>
  </si>
  <si>
    <t>Sunday Oloyede</t>
  </si>
  <si>
    <t>Mr Friday Itikun</t>
  </si>
  <si>
    <t>Madam Evelyn</t>
  </si>
  <si>
    <t>Mrs Blessing Edosomwan</t>
  </si>
  <si>
    <t>Austin Odo</t>
  </si>
  <si>
    <t>Pillar Bliss Enterprise</t>
  </si>
  <si>
    <t>Madam Gloria</t>
  </si>
  <si>
    <t>Folake Seweje (RME)</t>
  </si>
  <si>
    <t>Friday Store</t>
  </si>
  <si>
    <t>CY Stores</t>
  </si>
  <si>
    <t>Ndukwe Ozoemelam</t>
  </si>
  <si>
    <t>LOVETH George Etukudo</t>
  </si>
  <si>
    <t>Monday Nweka</t>
  </si>
  <si>
    <t>Mfon Ndarake Udo (RME)</t>
  </si>
  <si>
    <t>EMMANUEL(Stockist)</t>
  </si>
  <si>
    <t>Edobong Godwin</t>
  </si>
  <si>
    <t>Innocent Okeke (RME)</t>
  </si>
  <si>
    <t>Madam Kate (RME)</t>
  </si>
  <si>
    <t>Ecowas (Stockist)</t>
  </si>
  <si>
    <t>EL &amp; EL Wine Shop</t>
  </si>
  <si>
    <t>Ikechi Nwabubani</t>
  </si>
  <si>
    <t>Madam Gladys Ahara</t>
  </si>
  <si>
    <t>Sunday Akwu(Stockist)</t>
  </si>
  <si>
    <t>Madam OZ (RME)</t>
  </si>
  <si>
    <t>Ebis Obasi</t>
  </si>
  <si>
    <t>Elias Uzonu</t>
  </si>
  <si>
    <t>Titus Chibuoke (RME)</t>
  </si>
  <si>
    <t>Mallam Gamu (Stockiest)</t>
  </si>
  <si>
    <t>Money Finish (Levinus Nwachi)</t>
  </si>
  <si>
    <t>Maureen Chukwu (RME)</t>
  </si>
  <si>
    <t>CHIDI ASOGWA</t>
  </si>
  <si>
    <t>Ogbu Emma (RME)</t>
  </si>
  <si>
    <t>Okafor Nweke Store</t>
  </si>
  <si>
    <t>Ignatius Ani</t>
  </si>
  <si>
    <t>MADAM IK</t>
  </si>
  <si>
    <t>Christopher Okpe</t>
  </si>
  <si>
    <t>Ejike Eze (RME)</t>
  </si>
  <si>
    <t>SUNNY VENTURES</t>
  </si>
  <si>
    <t>Blessing Odoemenam</t>
  </si>
  <si>
    <t>Simon Kamah</t>
  </si>
  <si>
    <t>OBIORA OGBONNA</t>
  </si>
  <si>
    <t>Sunny Best</t>
  </si>
  <si>
    <t>OZ (RME)</t>
  </si>
  <si>
    <t>Robinson Agibo (RME)</t>
  </si>
  <si>
    <t>ISAIAH ONAH(Stockist)</t>
  </si>
  <si>
    <t>MADAM MANAGER STORE</t>
  </si>
  <si>
    <t>C I O Investment</t>
  </si>
  <si>
    <t>ECO INVESTMENT (RME)</t>
  </si>
  <si>
    <t>James Guma</t>
  </si>
  <si>
    <t>Ahmed Sumaila (RME)</t>
  </si>
  <si>
    <t>OSITA EZE</t>
  </si>
  <si>
    <t>Blessed GOD</t>
  </si>
  <si>
    <t>Promise Ezema</t>
  </si>
  <si>
    <t>Ikechukwu Enterprise</t>
  </si>
  <si>
    <t>Chukwuma Peter (RME)</t>
  </si>
  <si>
    <t>Maria Okoye</t>
  </si>
  <si>
    <t>LINUS NWACHUKWU (RME)</t>
  </si>
  <si>
    <t>BARIBOR</t>
  </si>
  <si>
    <t>Juda (Stockist)</t>
  </si>
  <si>
    <t>Mike Olisa</t>
  </si>
  <si>
    <t>FIDELIS EZE (RME)</t>
  </si>
  <si>
    <t>USMAN SOKOTO</t>
  </si>
  <si>
    <t>Alelochi Success Hope</t>
  </si>
  <si>
    <t>Menwe Ajie (RME)</t>
  </si>
  <si>
    <t>Ogbonna Azza</t>
  </si>
  <si>
    <t>Green Bazar</t>
  </si>
  <si>
    <t>F.C.T.</t>
  </si>
  <si>
    <t>Jinco Cosmestics</t>
  </si>
  <si>
    <t>OZ (CHIGOZIE UBADINMA) (RME)</t>
  </si>
  <si>
    <t>Babaginda Shehu</t>
  </si>
  <si>
    <t>Deede Y.A. Ventures</t>
  </si>
  <si>
    <t>Chibuike Soronnadi</t>
  </si>
  <si>
    <t>Emmanuel Obeifuna</t>
  </si>
  <si>
    <t>Christopher Stores</t>
  </si>
  <si>
    <t>Madam Ogechi Chukwu</t>
  </si>
  <si>
    <t>Great Bobo Interbiz</t>
  </si>
  <si>
    <t>Mbe Stores</t>
  </si>
  <si>
    <t xml:space="preserve">Onovo Osadebe </t>
  </si>
  <si>
    <t>Emeka Asema</t>
  </si>
  <si>
    <t>M.K Stores</t>
  </si>
  <si>
    <t>Alhaji Abubakar- RME</t>
  </si>
  <si>
    <t>Mallam Awal - RME</t>
  </si>
  <si>
    <t>Mallam Mahiru Garuba (RME)</t>
  </si>
  <si>
    <t>LEE Bross (Stockist)</t>
  </si>
  <si>
    <t>Alh Mohammed</t>
  </si>
  <si>
    <t>Ngene Ifeancho stanley</t>
  </si>
  <si>
    <t>Dan Jos (RME)</t>
  </si>
  <si>
    <t>Stanley Eze (RME)</t>
  </si>
  <si>
    <t>Alh Isah</t>
  </si>
  <si>
    <t>Alhaji Sahabi</t>
  </si>
  <si>
    <t>CHINEDU MONDAY (RME)</t>
  </si>
  <si>
    <t>Eyitayo Ventures - RME</t>
  </si>
  <si>
    <t>Portable Heritage</t>
  </si>
  <si>
    <t>ENDURANCE VENTURE</t>
  </si>
  <si>
    <t>Felix Onu</t>
  </si>
  <si>
    <t>Rita Egbuonu</t>
  </si>
  <si>
    <t>Adegboye Ola</t>
  </si>
  <si>
    <t>Shasiyat Oyibo</t>
  </si>
  <si>
    <t>Hauwa Ishak (RME)</t>
  </si>
  <si>
    <t>Mrs Kulu (RME)</t>
  </si>
  <si>
    <t>Alihaji Zakari (RME)</t>
  </si>
  <si>
    <t>Tobico Super Market (RME)</t>
  </si>
  <si>
    <t>Orinami Wisdom</t>
  </si>
  <si>
    <t>ALH. SABITU ABDULLAHI</t>
  </si>
  <si>
    <t>Bitrus Ugwoke Chigozie</t>
  </si>
  <si>
    <t>Ibuchi Magnus (RME)</t>
  </si>
  <si>
    <t>MCO</t>
  </si>
  <si>
    <t>De vitson (RME)</t>
  </si>
  <si>
    <t>NURA YAU</t>
  </si>
  <si>
    <t>SALISU GARBA</t>
  </si>
  <si>
    <t>Peter Dauda</t>
  </si>
  <si>
    <t>Austin Nyare (RME)</t>
  </si>
  <si>
    <t>Alhaji Musa</t>
  </si>
  <si>
    <t>Mr. Emenike (RME)</t>
  </si>
  <si>
    <t>Sunday Akrika</t>
  </si>
  <si>
    <t>Sabiu Abubakar</t>
  </si>
  <si>
    <t>MR. IK</t>
  </si>
  <si>
    <t>ZICO INVESTMENT CO. NIG (RME)</t>
  </si>
  <si>
    <t>Modi Magagia (RME)</t>
  </si>
  <si>
    <t>Sunday Nnewi</t>
  </si>
  <si>
    <t>Mr Francis Eze (RME)</t>
  </si>
  <si>
    <t>ALHAJI DANKANI (RME)</t>
  </si>
  <si>
    <t>Bala Ribah (Stockist)</t>
  </si>
  <si>
    <t>Alh Babangida RME</t>
  </si>
  <si>
    <t>Alh Aminu Umar RME</t>
  </si>
  <si>
    <t>Emmanuel Uche</t>
  </si>
  <si>
    <t>Umaru sani RME</t>
  </si>
  <si>
    <t>Alhaji Saadu Salka</t>
  </si>
  <si>
    <t>Eugine Ogbonna (Stockiest)</t>
  </si>
  <si>
    <t>Lawali Shehu Riba (RME)</t>
  </si>
  <si>
    <t>Faruk Sani RME</t>
  </si>
  <si>
    <t>Alh Arab Samaila - RME</t>
  </si>
  <si>
    <t>Success Ventures -RME</t>
  </si>
  <si>
    <t>SAADU HASSAN</t>
  </si>
  <si>
    <t>MR. ANDREW</t>
  </si>
  <si>
    <t>MR VICENT</t>
  </si>
  <si>
    <t>Uche best investment</t>
  </si>
  <si>
    <t>Aminu Bitchi (Stockist)</t>
  </si>
  <si>
    <t>Alhaji Danlami Abdullahi</t>
  </si>
  <si>
    <t>Madam Eze (Stockiest)</t>
  </si>
  <si>
    <t>NURA BASHIR</t>
  </si>
  <si>
    <t>Danladi Gaiya</t>
  </si>
  <si>
    <t>Rabiu Buba</t>
  </si>
  <si>
    <t>Alh Uba</t>
  </si>
  <si>
    <t>ALH BABANGIDA ALIYU MUSA</t>
  </si>
  <si>
    <t>Shehu Giwa</t>
  </si>
  <si>
    <t>Abubakar Adam</t>
  </si>
  <si>
    <t>ALH. KABIRU ABUBAKAR (RME)</t>
  </si>
  <si>
    <t>Alh. Sanusi Abubakar</t>
  </si>
  <si>
    <t>Ibrahim Adamu (RME)</t>
  </si>
  <si>
    <t>Alh Kabiru Gurbin (RME)</t>
  </si>
  <si>
    <t>Samson Smart Okwor</t>
  </si>
  <si>
    <t>Oliver Ogwu (RME)</t>
  </si>
  <si>
    <t>Alh. Nasiru Rice</t>
  </si>
  <si>
    <t>Maulud Guyuk - RME</t>
  </si>
  <si>
    <t>Danbaba Gombi - RME</t>
  </si>
  <si>
    <t>Daniel Sini Song - RME</t>
  </si>
  <si>
    <t>Kefas Marghi Uba - RME</t>
  </si>
  <si>
    <t>Braima chigari(RME)</t>
  </si>
  <si>
    <t>Mallam Nafiu</t>
  </si>
  <si>
    <t>ALH BABAGIDA GAYE</t>
  </si>
  <si>
    <t>Jimbo Chibok (RME)</t>
  </si>
  <si>
    <t>Adamu Mohd. -Michika</t>
  </si>
  <si>
    <t>Istafanu Paulka</t>
  </si>
  <si>
    <t>Hajiya Umara</t>
  </si>
  <si>
    <t>Musa Aliyu (RME)</t>
  </si>
  <si>
    <t>Lawali Kangiwa</t>
  </si>
  <si>
    <t>Aliyu Kamba</t>
  </si>
  <si>
    <t>Alh Nura Abubakar (RME)</t>
  </si>
  <si>
    <t>Alh Aliyu Kangiwa (RME)</t>
  </si>
  <si>
    <t>ALH. ZAKI KAMBA</t>
  </si>
  <si>
    <t>ZAKI TAMBUWAL</t>
  </si>
  <si>
    <t>Alh Nura Bello (RME)</t>
  </si>
  <si>
    <t>Alhaji Boyi Tambual</t>
  </si>
  <si>
    <t>ALH. UMAR MAILAHIYA</t>
  </si>
  <si>
    <t>ALH. MUSA LAMBIS</t>
  </si>
  <si>
    <t>Alh. Umar Bagudo</t>
  </si>
  <si>
    <t>Shivarest vnture Ltd</t>
  </si>
  <si>
    <t>Issa Lukmon Taiwo</t>
  </si>
  <si>
    <t>Over to God Stores (RME)</t>
  </si>
  <si>
    <t>Oreofe Store (RME)</t>
  </si>
  <si>
    <t>Iya Keji (RME)</t>
  </si>
  <si>
    <t>Suwanik Store (RME)</t>
  </si>
  <si>
    <t>Amah Store (RME)</t>
  </si>
  <si>
    <t>maman moji</t>
  </si>
  <si>
    <t>Iya Itunu Store</t>
  </si>
  <si>
    <t>Orelope Venture Owode</t>
  </si>
  <si>
    <t>Jay Investment</t>
  </si>
  <si>
    <t>URCH AND CHUKSENTERPRISES</t>
  </si>
  <si>
    <t>Akingbade Folukemi</t>
  </si>
  <si>
    <t>Chinedu Store</t>
  </si>
  <si>
    <t>Kumuyi Sore</t>
  </si>
  <si>
    <t>Godwin Provision Store Venture</t>
  </si>
  <si>
    <t>Hycent Chukwu (stockist)</t>
  </si>
  <si>
    <t>Desmond Ubeh</t>
  </si>
  <si>
    <t>Donas Stores</t>
  </si>
  <si>
    <t>Samtex Supermart</t>
  </si>
  <si>
    <t>Pioneer Stores (stockist)</t>
  </si>
  <si>
    <t>Famous Onome (stockist)</t>
  </si>
  <si>
    <t>Stephen Supermart</t>
  </si>
  <si>
    <t>Muritala Store</t>
  </si>
  <si>
    <t>Chris Chilly Variety Shop</t>
  </si>
  <si>
    <t>Zubair Sunday Inimisi</t>
  </si>
  <si>
    <t>Alhaji Yaya</t>
  </si>
  <si>
    <t>MRS OMURHIE</t>
  </si>
  <si>
    <t>Njoku Darlington (RME)</t>
  </si>
  <si>
    <t>Daniel Akuru</t>
  </si>
  <si>
    <t>TEE JAY Store</t>
  </si>
  <si>
    <t>Bright Star Venture</t>
  </si>
  <si>
    <t>Blessed Royal DOM</t>
  </si>
  <si>
    <t>Ugwuanyi Chukwudi</t>
  </si>
  <si>
    <t>MUMMY NAFISAT - RME</t>
  </si>
  <si>
    <t>Olaosebikan Stores - RME</t>
  </si>
  <si>
    <t>Olorunwa Stores</t>
  </si>
  <si>
    <t>Iya Bose</t>
  </si>
  <si>
    <t>Iya Dada (RME)</t>
  </si>
  <si>
    <t>Iya Faruq (RME)</t>
  </si>
  <si>
    <t>MRS PAUL</t>
  </si>
  <si>
    <t>Iya Alimot</t>
  </si>
  <si>
    <t>Alhaja Adija Kubura</t>
  </si>
  <si>
    <t>BABA ISA</t>
  </si>
  <si>
    <t>Iya Ibeji (Stockiest)</t>
  </si>
  <si>
    <t>TEE &amp; KAY</t>
  </si>
  <si>
    <t>IYA DAMMY</t>
  </si>
  <si>
    <t>IYA FOLLY</t>
  </si>
  <si>
    <t>IYA NIYI</t>
  </si>
  <si>
    <t>Alhaja Alaranse (Stockiest)</t>
  </si>
  <si>
    <t>MRS ALAYO (RME)</t>
  </si>
  <si>
    <t>MADAM GOODLUCK</t>
  </si>
  <si>
    <t>Iya Aminat</t>
  </si>
  <si>
    <t>AWOBAJO STORE</t>
  </si>
  <si>
    <t>Mummy Pius</t>
  </si>
  <si>
    <t>Morufat Ayoola</t>
  </si>
  <si>
    <t>Iya Blessing</t>
  </si>
  <si>
    <t>Iya Fathia</t>
  </si>
  <si>
    <t>L&amp;B Stores</t>
  </si>
  <si>
    <t>Omo Eko</t>
  </si>
  <si>
    <t>Iya Abedeen</t>
  </si>
  <si>
    <t>Mr John (stockist)</t>
  </si>
  <si>
    <t>Iya Fayisa (stockist)</t>
  </si>
  <si>
    <t>ALH. LIMOTA BASIRI</t>
  </si>
  <si>
    <t>IYA LAYI</t>
  </si>
  <si>
    <t>IYA SUNDAY</t>
  </si>
  <si>
    <t>Mama Jemila</t>
  </si>
  <si>
    <t>Iya Toheeb</t>
  </si>
  <si>
    <t>Iya sofiat (Stockist)</t>
  </si>
  <si>
    <t>Boss Internationl Ventures</t>
  </si>
  <si>
    <t>Alhaja Alapadi</t>
  </si>
  <si>
    <t>OGB Ventures</t>
  </si>
  <si>
    <t>Dendark Concept</t>
  </si>
  <si>
    <t>IYA ISIAKA</t>
  </si>
  <si>
    <t>Mr. Keneth (Stockist)</t>
  </si>
  <si>
    <t>Iya Dauda</t>
  </si>
  <si>
    <t>Orelope Ventures</t>
  </si>
  <si>
    <t>Iya Funke - RME</t>
  </si>
  <si>
    <t>Iya Fatia</t>
  </si>
  <si>
    <t>Iya Jamiu- RME</t>
  </si>
  <si>
    <t>MR EMEKA</t>
  </si>
  <si>
    <t>IYA AMIDA</t>
  </si>
  <si>
    <t>Mama Uche Store</t>
  </si>
  <si>
    <t>Obosi Store</t>
  </si>
  <si>
    <t>Faruku Hassan (RME)</t>
  </si>
  <si>
    <t>Ojuolape Trading Stores Ltd</t>
  </si>
  <si>
    <t>Angela Ugwu</t>
  </si>
  <si>
    <t>Ucheson Progressive Store</t>
  </si>
  <si>
    <t>Emmakemoo Ventures</t>
  </si>
  <si>
    <t>Crown Mother Ventures (RME)</t>
  </si>
  <si>
    <t>Akinyode Idowu</t>
  </si>
  <si>
    <t>Almarufat Ventures</t>
  </si>
  <si>
    <t>Seabis continental</t>
  </si>
  <si>
    <t>Bumi Shittu</t>
  </si>
  <si>
    <t>Daudu Titilayo</t>
  </si>
  <si>
    <t>Oluwadamilare Unique Venture</t>
  </si>
  <si>
    <t>Samuel Bankole</t>
  </si>
  <si>
    <t>Noble Store(Adewunmi Idowu)</t>
  </si>
  <si>
    <t>Idris Adetoun</t>
  </si>
  <si>
    <t>OmojowogbeOluwaseun Christianah (Iya Favour)</t>
  </si>
  <si>
    <t>Madam 33 store</t>
  </si>
  <si>
    <t>Omotola Olatunji Store</t>
  </si>
  <si>
    <t>SWC2876</t>
  </si>
  <si>
    <t>SWC2755</t>
  </si>
  <si>
    <t>WCFA000159</t>
  </si>
  <si>
    <t>SWC0888</t>
  </si>
  <si>
    <t>SWC2356</t>
  </si>
  <si>
    <t>SWC2203</t>
  </si>
  <si>
    <t>SWC1818</t>
  </si>
  <si>
    <t>SWC0033</t>
  </si>
  <si>
    <t>SWC1823</t>
  </si>
  <si>
    <t>SWC2271</t>
  </si>
  <si>
    <t>SWC2174</t>
  </si>
  <si>
    <t>WCFA000156</t>
  </si>
  <si>
    <t>SWC2217</t>
  </si>
  <si>
    <t>SWC2202</t>
  </si>
  <si>
    <t>SWC2200</t>
  </si>
  <si>
    <t>SWC2194</t>
  </si>
  <si>
    <t>SWC2190</t>
  </si>
  <si>
    <t>SWC2137</t>
  </si>
  <si>
    <t>SWC2136</t>
  </si>
  <si>
    <t>SWC2040</t>
  </si>
  <si>
    <t>SWC1879</t>
  </si>
  <si>
    <t>SWC0040</t>
  </si>
  <si>
    <t>SEC003550</t>
  </si>
  <si>
    <t>SEC003369</t>
  </si>
  <si>
    <t>SEC001103</t>
  </si>
  <si>
    <t>SEC003647</t>
  </si>
  <si>
    <t>SEC000064</t>
  </si>
  <si>
    <t>SEC002532</t>
  </si>
  <si>
    <t>SEC002515</t>
  </si>
  <si>
    <t>SEC001627</t>
  </si>
  <si>
    <t>SEC000028</t>
  </si>
  <si>
    <t>SEC003659</t>
  </si>
  <si>
    <t>SEC003658</t>
  </si>
  <si>
    <t>SEC003325</t>
  </si>
  <si>
    <t>SEC000129</t>
  </si>
  <si>
    <t>SEC002499</t>
  </si>
  <si>
    <t>SEC002562</t>
  </si>
  <si>
    <t>SEC002524</t>
  </si>
  <si>
    <t>SEC002511</t>
  </si>
  <si>
    <t>SEC001120</t>
  </si>
  <si>
    <t>SEC003563</t>
  </si>
  <si>
    <t>SEC003259</t>
  </si>
  <si>
    <t>SEC003247</t>
  </si>
  <si>
    <t>SEC002698</t>
  </si>
  <si>
    <t>SEC001834</t>
  </si>
  <si>
    <t>SEC001337</t>
  </si>
  <si>
    <t>SEC001612</t>
  </si>
  <si>
    <t>SEC001335</t>
  </si>
  <si>
    <t>SEC001166</t>
  </si>
  <si>
    <t>SEC001128</t>
  </si>
  <si>
    <t>SEC002044</t>
  </si>
  <si>
    <t>SEC001336</t>
  </si>
  <si>
    <t>SEC001121</t>
  </si>
  <si>
    <t>SEC001092</t>
  </si>
  <si>
    <t>SEC002256</t>
  </si>
  <si>
    <t>SEC001162</t>
  </si>
  <si>
    <t>SEC000034</t>
  </si>
  <si>
    <t>SEC002564</t>
  </si>
  <si>
    <t>SEC002113</t>
  </si>
  <si>
    <t>SEC001041</t>
  </si>
  <si>
    <t>SEC002641</t>
  </si>
  <si>
    <t>SEC002598</t>
  </si>
  <si>
    <t>SEC001125</t>
  </si>
  <si>
    <t>SEC003560</t>
  </si>
  <si>
    <t>SEC003685</t>
  </si>
  <si>
    <t>SEC003702</t>
  </si>
  <si>
    <t>SEC001189</t>
  </si>
  <si>
    <t>SEC002488</t>
  </si>
  <si>
    <t>SEC002105</t>
  </si>
  <si>
    <t>SEC002352</t>
  </si>
  <si>
    <t>SEC002324</t>
  </si>
  <si>
    <t>SEC002349</t>
  </si>
  <si>
    <t>SEC002355</t>
  </si>
  <si>
    <t>SEC002341</t>
  </si>
  <si>
    <t>SEC002378</t>
  </si>
  <si>
    <t>SEC002321</t>
  </si>
  <si>
    <t>SEC002218</t>
  </si>
  <si>
    <t>SEC001229</t>
  </si>
  <si>
    <t>SEC002024</t>
  </si>
  <si>
    <t>SEC001231</t>
  </si>
  <si>
    <t>SEC001183</t>
  </si>
  <si>
    <t>SEC002367</t>
  </si>
  <si>
    <t>SEC002323</t>
  </si>
  <si>
    <t>SEC003665</t>
  </si>
  <si>
    <t>SEC003666</t>
  </si>
  <si>
    <t>SEC002669</t>
  </si>
  <si>
    <t>SEC003731</t>
  </si>
  <si>
    <t>SEC003721</t>
  </si>
  <si>
    <t>SEC003789</t>
  </si>
  <si>
    <t>SEC003896</t>
  </si>
  <si>
    <t>SEC004062</t>
  </si>
  <si>
    <t>SEC003774</t>
  </si>
  <si>
    <t>SEC003782</t>
  </si>
  <si>
    <t>SEC003768</t>
  </si>
  <si>
    <t>SEC007383</t>
  </si>
  <si>
    <t>SEC003808</t>
  </si>
  <si>
    <t>SEC003922</t>
  </si>
  <si>
    <t>SWC3316</t>
  </si>
  <si>
    <t>MBC003474</t>
  </si>
  <si>
    <t>MBC003467</t>
  </si>
  <si>
    <t>MBC003427</t>
  </si>
  <si>
    <t>MBC003426</t>
  </si>
  <si>
    <t>MBC003368</t>
  </si>
  <si>
    <t>MBC003366</t>
  </si>
  <si>
    <t>MBC003380</t>
  </si>
  <si>
    <t>MBC003363</t>
  </si>
  <si>
    <t>MBC003347</t>
  </si>
  <si>
    <t>MBC003285</t>
  </si>
  <si>
    <t>MBC003281</t>
  </si>
  <si>
    <t>MBC003276</t>
  </si>
  <si>
    <t>MBC003271</t>
  </si>
  <si>
    <t>MBC001564</t>
  </si>
  <si>
    <t>MBC001387</t>
  </si>
  <si>
    <t>MBC001068</t>
  </si>
  <si>
    <t>MBC002746</t>
  </si>
  <si>
    <t>MBC003476</t>
  </si>
  <si>
    <t>MBC003478</t>
  </si>
  <si>
    <t>MBC003484</t>
  </si>
  <si>
    <t>MBC003504</t>
  </si>
  <si>
    <t>MBC003514</t>
  </si>
  <si>
    <t>MBC003498</t>
  </si>
  <si>
    <t>MBC003506</t>
  </si>
  <si>
    <t>MBC003581</t>
  </si>
  <si>
    <t>SWC2801</t>
  </si>
  <si>
    <t>SWC2638</t>
  </si>
  <si>
    <t>SWC1032</t>
  </si>
  <si>
    <t>SWC2031</t>
  </si>
  <si>
    <t>SWC2207</t>
  </si>
  <si>
    <t>SWC1832</t>
  </si>
  <si>
    <t>SWC1834</t>
  </si>
  <si>
    <t>SWC1236</t>
  </si>
  <si>
    <t>SWC1235</t>
  </si>
  <si>
    <t>SWC1231</t>
  </si>
  <si>
    <t>SWC0926</t>
  </si>
  <si>
    <t>SWC2020</t>
  </si>
  <si>
    <t>SWC2019</t>
  </si>
  <si>
    <t>SWC2018</t>
  </si>
  <si>
    <t>SWC2017</t>
  </si>
  <si>
    <t>SWC2912</t>
  </si>
  <si>
    <t>MBC003410</t>
  </si>
  <si>
    <t>MBC003398</t>
  </si>
  <si>
    <t>MBC003022</t>
  </si>
  <si>
    <t>MBC001026</t>
  </si>
  <si>
    <t>MBC002764</t>
  </si>
  <si>
    <t>MBC001414</t>
  </si>
  <si>
    <t>MBC001413</t>
  </si>
  <si>
    <t>MBC000091</t>
  </si>
  <si>
    <t>MBC002675</t>
  </si>
  <si>
    <t>MBC001417</t>
  </si>
  <si>
    <t>MBC001290</t>
  </si>
  <si>
    <t>MBC002949</t>
  </si>
  <si>
    <t>MBC001674</t>
  </si>
  <si>
    <t>MBC000480</t>
  </si>
  <si>
    <t>MBC003348</t>
  </si>
  <si>
    <t>MBC003027</t>
  </si>
  <si>
    <t>MBC001566</t>
  </si>
  <si>
    <t>MBC001660</t>
  </si>
  <si>
    <t>WCJA000412</t>
  </si>
  <si>
    <t>RCJA000420</t>
  </si>
  <si>
    <t>MBC002723</t>
  </si>
  <si>
    <t>MBC002722</t>
  </si>
  <si>
    <t>MBC002086</t>
  </si>
  <si>
    <t>MBC001626</t>
  </si>
  <si>
    <t>MBC000022</t>
  </si>
  <si>
    <t>MBC002322</t>
  </si>
  <si>
    <t>MBC002890</t>
  </si>
  <si>
    <t>MBC002802</t>
  </si>
  <si>
    <t>MBC003486</t>
  </si>
  <si>
    <t>MBC003487</t>
  </si>
  <si>
    <t>MBC003497</t>
  </si>
  <si>
    <t>MBC003489</t>
  </si>
  <si>
    <t>MBC003508</t>
  </si>
  <si>
    <t>MBC003600</t>
  </si>
  <si>
    <t>MBC003605</t>
  </si>
  <si>
    <t>MBC003634</t>
  </si>
  <si>
    <t>MBC003635</t>
  </si>
  <si>
    <t>MBC003608</t>
  </si>
  <si>
    <t>MBC003611</t>
  </si>
  <si>
    <t>MBC003651</t>
  </si>
  <si>
    <t>MBC003652</t>
  </si>
  <si>
    <t>MBC003653</t>
  </si>
  <si>
    <t>MBC003654</t>
  </si>
  <si>
    <t>NTC2316</t>
  </si>
  <si>
    <t>NTC2275</t>
  </si>
  <si>
    <t>NTC2254</t>
  </si>
  <si>
    <t>NTC2239</t>
  </si>
  <si>
    <t>NTC1054</t>
  </si>
  <si>
    <t>NTC0295</t>
  </si>
  <si>
    <t>NTC0255</t>
  </si>
  <si>
    <t>WCDA004831</t>
  </si>
  <si>
    <t>WCDA000809</t>
  </si>
  <si>
    <t>NTC1252</t>
  </si>
  <si>
    <t>NTC0758</t>
  </si>
  <si>
    <t>NTC0048</t>
  </si>
  <si>
    <t>NTC1902</t>
  </si>
  <si>
    <t>NTC0047</t>
  </si>
  <si>
    <t>NTC2342</t>
  </si>
  <si>
    <t>NTC2305</t>
  </si>
  <si>
    <t>NTC2282</t>
  </si>
  <si>
    <t>NTC2263</t>
  </si>
  <si>
    <t>NTC0045</t>
  </si>
  <si>
    <t>NTC1980</t>
  </si>
  <si>
    <t>NTC1536</t>
  </si>
  <si>
    <t>NTC0056</t>
  </si>
  <si>
    <t>NTC1724</t>
  </si>
  <si>
    <t>NTC1095</t>
  </si>
  <si>
    <t>NTC1916</t>
  </si>
  <si>
    <t>NTC1914</t>
  </si>
  <si>
    <t>NTC1939</t>
  </si>
  <si>
    <t>NTC2330</t>
  </si>
  <si>
    <t>NTC2359</t>
  </si>
  <si>
    <t>NTC2352</t>
  </si>
  <si>
    <t>NTC2386</t>
  </si>
  <si>
    <t>MBC003438</t>
  </si>
  <si>
    <t>MBC003432</t>
  </si>
  <si>
    <t>MBC003360</t>
  </si>
  <si>
    <t>MBC003359</t>
  </si>
  <si>
    <t>NTC2251</t>
  </si>
  <si>
    <t>MBC001605</t>
  </si>
  <si>
    <t>MBC001344</t>
  </si>
  <si>
    <t>MBC000835</t>
  </si>
  <si>
    <t>NTC1912</t>
  </si>
  <si>
    <t>NTC1877</t>
  </si>
  <si>
    <t>NTC1876</t>
  </si>
  <si>
    <t>NTC1539</t>
  </si>
  <si>
    <t>MBC002974</t>
  </si>
  <si>
    <t>MBC002687</t>
  </si>
  <si>
    <t>MBC003499</t>
  </si>
  <si>
    <t>NTC2360</t>
  </si>
  <si>
    <t>NTC2361</t>
  </si>
  <si>
    <t>NTC2354</t>
  </si>
  <si>
    <t>WCDA004814</t>
  </si>
  <si>
    <t>WCDA004813</t>
  </si>
  <si>
    <t>NTC1193</t>
  </si>
  <si>
    <t>NTC1188</t>
  </si>
  <si>
    <t>NTC0208</t>
  </si>
  <si>
    <t>WCDA004829</t>
  </si>
  <si>
    <t>NTC1680</t>
  </si>
  <si>
    <t>NTC1119</t>
  </si>
  <si>
    <t>NTC0085</t>
  </si>
  <si>
    <t>NTC0076</t>
  </si>
  <si>
    <t>NTC1909</t>
  </si>
  <si>
    <t>NTC1864</t>
  </si>
  <si>
    <t>NTC2380</t>
  </si>
  <si>
    <t>NTC2388</t>
  </si>
  <si>
    <t>NTC2450</t>
  </si>
  <si>
    <t>NTC2451</t>
  </si>
  <si>
    <t>NTC2485</t>
  </si>
  <si>
    <t>LAC3667</t>
  </si>
  <si>
    <t>LAC3005</t>
  </si>
  <si>
    <t>LAC1567</t>
  </si>
  <si>
    <t>LAC1611</t>
  </si>
  <si>
    <t>LAC0314</t>
  </si>
  <si>
    <t>LAC0313</t>
  </si>
  <si>
    <t>LAC0312</t>
  </si>
  <si>
    <t>LAC0173</t>
  </si>
  <si>
    <t>LAC2313</t>
  </si>
  <si>
    <t>LAC2312</t>
  </si>
  <si>
    <t>LAC3836</t>
  </si>
  <si>
    <t>LAC3884</t>
  </si>
  <si>
    <t>SWC2877</t>
  </si>
  <si>
    <t>SWC2804</t>
  </si>
  <si>
    <t>SWC2361</t>
  </si>
  <si>
    <t>SWC2360</t>
  </si>
  <si>
    <t>SWC2308</t>
  </si>
  <si>
    <t>SWC2274</t>
  </si>
  <si>
    <t>WCFA000684</t>
  </si>
  <si>
    <t>SWC0882</t>
  </si>
  <si>
    <t>SWC0874</t>
  </si>
  <si>
    <t>SWC0873</t>
  </si>
  <si>
    <t>WCFA000685</t>
  </si>
  <si>
    <t>WCFA000683</t>
  </si>
  <si>
    <t>SWC0881</t>
  </si>
  <si>
    <t>SWC2927</t>
  </si>
  <si>
    <t>SWC2940</t>
  </si>
  <si>
    <t>SWC3059</t>
  </si>
  <si>
    <t>LAC3766</t>
  </si>
  <si>
    <t>LAC0340</t>
  </si>
  <si>
    <t>LAC1612</t>
  </si>
  <si>
    <t>LAC3853</t>
  </si>
  <si>
    <t>LAC3847</t>
  </si>
  <si>
    <t>LAC3911</t>
  </si>
  <si>
    <t>LAC3912</t>
  </si>
  <si>
    <t>LAC3913</t>
  </si>
  <si>
    <t>SWC2872</t>
  </si>
  <si>
    <t>SWC2869</t>
  </si>
  <si>
    <t>SWC2687</t>
  </si>
  <si>
    <t>SWC2662</t>
  </si>
  <si>
    <t>SWC1812</t>
  </si>
  <si>
    <t>SWC0951</t>
  </si>
  <si>
    <t>SWC1699</t>
  </si>
  <si>
    <t>SWC1052</t>
  </si>
  <si>
    <t>SWC1051</t>
  </si>
  <si>
    <t>SWC0865</t>
  </si>
  <si>
    <t>SWC1685</t>
  </si>
  <si>
    <t>SWC1270</t>
  </si>
  <si>
    <t>SWC1107</t>
  </si>
  <si>
    <t>SWC0955</t>
  </si>
  <si>
    <t>RCP000045</t>
  </si>
  <si>
    <t>SWC1845</t>
  </si>
  <si>
    <t>SWC2242</t>
  </si>
  <si>
    <t>SWC2105</t>
  </si>
  <si>
    <t>SWC2935</t>
  </si>
  <si>
    <t>SWC2962</t>
  </si>
  <si>
    <t>SWC2816</t>
  </si>
  <si>
    <t>SWC2338</t>
  </si>
  <si>
    <t>SWC2337</t>
  </si>
  <si>
    <t>SWC2336</t>
  </si>
  <si>
    <t>SWC0049</t>
  </si>
  <si>
    <t>SWC0045</t>
  </si>
  <si>
    <t>WCFA000688</t>
  </si>
  <si>
    <t>WCFA000686</t>
  </si>
  <si>
    <t>SWC1120</t>
  </si>
  <si>
    <t>SWC1118</t>
  </si>
  <si>
    <t>SWC1114</t>
  </si>
  <si>
    <t>SWC0957</t>
  </si>
  <si>
    <t>SWC0923</t>
  </si>
  <si>
    <t>RCFA000673</t>
  </si>
  <si>
    <t>SWC2265</t>
  </si>
  <si>
    <t>SWC2262</t>
  </si>
  <si>
    <t>SWC0933</t>
  </si>
  <si>
    <t>SWC2212</t>
  </si>
  <si>
    <t>SWC1117</t>
  </si>
  <si>
    <t>RCFA000672</t>
  </si>
  <si>
    <t>SWC2969</t>
  </si>
  <si>
    <t>SWC2846</t>
  </si>
  <si>
    <t>SWC2840</t>
  </si>
  <si>
    <t>LAC3729</t>
  </si>
  <si>
    <t>LAC3666</t>
  </si>
  <si>
    <t>LAC0670</t>
  </si>
  <si>
    <t>LAC0669</t>
  </si>
  <si>
    <t>LAC3919</t>
  </si>
  <si>
    <t>LAC3004</t>
  </si>
  <si>
    <t>LAC1849</t>
  </si>
  <si>
    <t>SWC3280</t>
  </si>
  <si>
    <t>SWC3007</t>
  </si>
  <si>
    <t>SWC3284</t>
  </si>
  <si>
    <t>SWC3101</t>
  </si>
  <si>
    <t>SWC3352</t>
  </si>
  <si>
    <t>SWC3357</t>
  </si>
  <si>
    <t>SWC3085</t>
  </si>
  <si>
    <t>SWC3180</t>
  </si>
  <si>
    <t>SWC3277</t>
  </si>
  <si>
    <t>LAC3901</t>
  </si>
  <si>
    <t>LAC3921</t>
  </si>
  <si>
    <t>LAC3902</t>
  </si>
  <si>
    <t>LAC3975</t>
  </si>
  <si>
    <t>LAC3948</t>
  </si>
  <si>
    <t>LAC4107</t>
  </si>
  <si>
    <t>LAC3932</t>
  </si>
  <si>
    <t>LAC3978</t>
  </si>
  <si>
    <t>LAC4108</t>
  </si>
  <si>
    <t>ENUGU</t>
  </si>
  <si>
    <t>Enojane Integrated Enterprises</t>
  </si>
  <si>
    <t>SWC3412</t>
  </si>
  <si>
    <t>Mrs Macy maor</t>
  </si>
  <si>
    <t>Jude Nwachukwu</t>
  </si>
  <si>
    <t>UGOMENDE</t>
  </si>
  <si>
    <t>John Obela</t>
  </si>
  <si>
    <t>Afucheta Nneka</t>
  </si>
  <si>
    <t>Madam Agnes</t>
  </si>
  <si>
    <t>MICHEAL ODOEZE</t>
  </si>
  <si>
    <t>REMI Store</t>
  </si>
  <si>
    <t>Taiwo Babs Enterprise</t>
  </si>
  <si>
    <t>Nacass Venture</t>
  </si>
  <si>
    <t>Ibrahim Yusuf</t>
  </si>
  <si>
    <t xml:space="preserve"> Bola Paul</t>
  </si>
  <si>
    <t>Iya Ebube</t>
  </si>
  <si>
    <t>MBC003703</t>
  </si>
  <si>
    <t>NTC2497</t>
  </si>
  <si>
    <t>NTC2498</t>
  </si>
  <si>
    <t>SEC003857</t>
  </si>
  <si>
    <t>LAC4158</t>
  </si>
  <si>
    <t>LAC4167</t>
  </si>
  <si>
    <t>LAC4180</t>
  </si>
  <si>
    <t>SWC3430</t>
  </si>
  <si>
    <t>SWC3421</t>
  </si>
  <si>
    <t>LAC4187</t>
  </si>
  <si>
    <t>Forza Buffalo Investment</t>
  </si>
  <si>
    <t>SEC004010</t>
  </si>
  <si>
    <t>SWC3419</t>
  </si>
  <si>
    <t>SWC3441</t>
  </si>
  <si>
    <t>SEC004115</t>
  </si>
  <si>
    <t>Mr.Onyekachi Nwokocha</t>
  </si>
  <si>
    <t>Paul Ifeanyi (RME)</t>
  </si>
  <si>
    <t>Nwabuwa Sandra</t>
  </si>
  <si>
    <t>SEC004125</t>
  </si>
  <si>
    <t>SWC3278</t>
  </si>
  <si>
    <t>SWC3114</t>
  </si>
  <si>
    <t>SWC3301</t>
  </si>
  <si>
    <t>LAC4206</t>
  </si>
  <si>
    <t>Kessy Services</t>
  </si>
  <si>
    <t>Iya Emma Store</t>
  </si>
  <si>
    <t>Bello Jimoh</t>
  </si>
  <si>
    <t>Onwanrieta Maureen Success</t>
  </si>
  <si>
    <t>OKONKWO ENTERPRISES</t>
  </si>
  <si>
    <t>OBIJIAKU ENTERPRISES</t>
  </si>
  <si>
    <t>GMTC</t>
  </si>
  <si>
    <t>NTC2403</t>
  </si>
  <si>
    <t>NTC2439</t>
  </si>
  <si>
    <t>SWC3160</t>
  </si>
  <si>
    <t>SEC004113</t>
  </si>
  <si>
    <t>SEC004112</t>
  </si>
  <si>
    <t>SECOO4111</t>
  </si>
  <si>
    <t>SEC003729</t>
  </si>
  <si>
    <t>CTAH0017</t>
  </si>
  <si>
    <t>IYA OPE</t>
  </si>
  <si>
    <t>LAC3496</t>
  </si>
  <si>
    <t>Means Communications Limited</t>
  </si>
  <si>
    <t>CTAP0019</t>
  </si>
  <si>
    <t>NAB NIG. ENTERPRISES</t>
  </si>
  <si>
    <t>WCFA000061</t>
  </si>
  <si>
    <t>Salewa Stores</t>
  </si>
  <si>
    <t>SWC0009</t>
  </si>
  <si>
    <t>Arewa Toyin O.</t>
  </si>
  <si>
    <t>CTAE0054</t>
  </si>
  <si>
    <t>MESSRS YAKUBU AISHA</t>
  </si>
  <si>
    <t>CTAE0023</t>
  </si>
  <si>
    <t>ALH. FOLU F. OGUNDALU</t>
  </si>
  <si>
    <t>CTAE0018</t>
  </si>
  <si>
    <t>DAYO OLAREWAJU ODEBODE</t>
  </si>
  <si>
    <t>SEC003986</t>
  </si>
  <si>
    <t>Region</t>
  </si>
  <si>
    <t>SWR</t>
  </si>
  <si>
    <t>SER</t>
  </si>
  <si>
    <t>MBR</t>
  </si>
  <si>
    <t>North</t>
  </si>
  <si>
    <t xml:space="preserve">Aminu Usman </t>
  </si>
  <si>
    <t>SWC3465</t>
  </si>
  <si>
    <t>SEC004147</t>
  </si>
  <si>
    <t>John Osita</t>
  </si>
  <si>
    <t>CHIDI E Acho</t>
  </si>
  <si>
    <t xml:space="preserve">Joseph Ugba </t>
  </si>
  <si>
    <t>SWC 3272</t>
  </si>
  <si>
    <t>SWC3422</t>
  </si>
  <si>
    <t>Abba Jude</t>
  </si>
  <si>
    <t>Mummy Dare</t>
  </si>
  <si>
    <t>Abuja2</t>
  </si>
  <si>
    <t>Abuja1</t>
  </si>
  <si>
    <t>MBC003649</t>
  </si>
  <si>
    <t>MBC003629</t>
  </si>
  <si>
    <t>MBC003560</t>
  </si>
  <si>
    <t>MBC003594</t>
  </si>
  <si>
    <t>Silas Deborah (RME)</t>
  </si>
  <si>
    <t>OLA IYA  (RME)</t>
  </si>
  <si>
    <t>Nwogbodo Ifeanyi</t>
  </si>
  <si>
    <t>Nura Ismaih (RME)</t>
  </si>
  <si>
    <t>Joseph Daku (RME)</t>
  </si>
  <si>
    <t>Al Brown Ventures - RME</t>
  </si>
  <si>
    <t>Nasiru Muhammed - RME</t>
  </si>
  <si>
    <t>K C BEST (RME)</t>
  </si>
  <si>
    <t>LIFTED STORES (RME)</t>
  </si>
  <si>
    <t>Usman Kaboji (RME)</t>
  </si>
  <si>
    <t>Pius Okudili (RME)</t>
  </si>
  <si>
    <t>Alh. Kamaru store(RME)</t>
  </si>
  <si>
    <t>Chijioke Ugwu (RME)</t>
  </si>
  <si>
    <t>Alhaji Dangege (RME)</t>
  </si>
  <si>
    <t xml:space="preserve"> ONYIVERA VENTURES (RME)</t>
  </si>
  <si>
    <t>Francis Sunday (RME)</t>
  </si>
  <si>
    <t>Nike Babatunde (RME)</t>
  </si>
  <si>
    <t>Chima Stores (RME)</t>
  </si>
  <si>
    <t>Adamu Usman(RME)</t>
  </si>
  <si>
    <t>Antmose Enterprise (RME)</t>
  </si>
  <si>
    <t>Abubakar Ungwazuru(RME)</t>
  </si>
  <si>
    <t>UNIQUE WINES STORES - RME</t>
  </si>
  <si>
    <t>Arinze Stores - RME</t>
  </si>
  <si>
    <t>Otti Emmanuel - RME</t>
  </si>
  <si>
    <t>Okwudiri Ogbuagu - RME</t>
  </si>
  <si>
    <t>MUMMY FAVOUR - RME</t>
  </si>
  <si>
    <t>De Samco Investment (RME)</t>
  </si>
  <si>
    <t>Ekene Stores(RME)</t>
  </si>
  <si>
    <t>Highman Amedu - RME</t>
  </si>
  <si>
    <t>Zira Tizhe - RME</t>
  </si>
  <si>
    <t>TOBAX INTEGRATED CONCEPT(RME)</t>
  </si>
  <si>
    <t>Ekene Bishop(RME)</t>
  </si>
  <si>
    <t>Tukur Abubakar - RME</t>
  </si>
  <si>
    <t>FREIXENET POP INV. LTD(RME)</t>
  </si>
  <si>
    <t>Mode Marbera Trading</t>
  </si>
  <si>
    <t>Alhaji Saidu Banzabanza (RME)</t>
  </si>
  <si>
    <t>Alhaji Sahadu Ibrahim (RME)</t>
  </si>
  <si>
    <t>Alhaji Dan Asabe (RME)</t>
  </si>
  <si>
    <t>Musa Abdullahi (RME)</t>
  </si>
  <si>
    <t>O C Ekweme Ventures</t>
  </si>
  <si>
    <t>Joy Ojo-Agefu (RME)</t>
  </si>
  <si>
    <t>Alhaji Dauda (RME)</t>
  </si>
  <si>
    <t>Abubakar Moh'd Ganye - RME</t>
  </si>
  <si>
    <t xml:space="preserve"> Mr. Ibu Yakubu (RME)</t>
  </si>
  <si>
    <t>NGWU ONYEKA - RME</t>
  </si>
  <si>
    <t>Alh Dahiru Dutsinma.</t>
  </si>
  <si>
    <t>Alh Shuaibu Danmansir - RME</t>
  </si>
  <si>
    <t>Alh Musa Runka - RME</t>
  </si>
  <si>
    <t>IBM GLOBAL INVESTMENT - RME</t>
  </si>
  <si>
    <t>Shehu Muazu - RME</t>
  </si>
  <si>
    <t>Alh Tanimu Bako - RME</t>
  </si>
  <si>
    <t>Ado Garba - RME</t>
  </si>
  <si>
    <t>Vincen O Sunday - RME</t>
  </si>
  <si>
    <t>Alh Aminu Na Masaudu - RME</t>
  </si>
  <si>
    <t>Nwaigwe Pius - RME</t>
  </si>
  <si>
    <t>Alhaji Deeni - RME</t>
  </si>
  <si>
    <t>Zayyanu Nasiru - RME</t>
  </si>
  <si>
    <t>Usman Sule - RME</t>
  </si>
  <si>
    <t>Jamilu Ibrahim - RME</t>
  </si>
  <si>
    <t>Alhaji Uba - RME</t>
  </si>
  <si>
    <t>Simon Zakaria - RME</t>
  </si>
  <si>
    <t>Gambo Abdullahi Dakare - RME</t>
  </si>
  <si>
    <t>Abubakar Buba - RME</t>
  </si>
  <si>
    <t xml:space="preserve">  Alh Rabiu Bodinga (RME)</t>
  </si>
  <si>
    <t>ACCA PROVISION STORES - RME</t>
  </si>
  <si>
    <t>MBC003679</t>
  </si>
  <si>
    <t>Sunday odo</t>
  </si>
  <si>
    <t>WCJA000006</t>
  </si>
  <si>
    <t>WCJA000097</t>
  </si>
  <si>
    <t>Keneth KC</t>
  </si>
  <si>
    <t>Sani Zico</t>
  </si>
  <si>
    <t>Brand</t>
  </si>
  <si>
    <t>Case Price</t>
  </si>
  <si>
    <t>B &amp; H Switch</t>
  </si>
  <si>
    <t>Rothmans Switch</t>
  </si>
  <si>
    <t>Benson &amp; Hedges Boost</t>
  </si>
  <si>
    <t>Benson &amp; Hedges Demi-Slims</t>
  </si>
  <si>
    <t>Benson &amp; Hedges Flavour</t>
  </si>
  <si>
    <t>Dunhill Switch</t>
  </si>
  <si>
    <t>ST Moritz By Dunhill</t>
  </si>
  <si>
    <t>Rothmans Menthol</t>
  </si>
  <si>
    <t>Pall Mall Filter</t>
  </si>
  <si>
    <t>Pall Mall Menthol</t>
  </si>
  <si>
    <t>Rothmans Flavour</t>
  </si>
  <si>
    <t>Royal  Std Filter</t>
  </si>
  <si>
    <t>Pall Mall - Excel Blend</t>
  </si>
  <si>
    <t>Pall Mall Boost</t>
  </si>
  <si>
    <t>Alh Ababare Gombi</t>
  </si>
  <si>
    <t xml:space="preserve">Alh Yusuf Zubairu Daura </t>
  </si>
  <si>
    <t>NTC2518</t>
  </si>
  <si>
    <t>WCJA000392</t>
  </si>
  <si>
    <t>SWC3487</t>
  </si>
  <si>
    <t>Great Big Buyer</t>
  </si>
  <si>
    <t>SEC004135</t>
  </si>
  <si>
    <t>0nyebros Agu Enterprises</t>
  </si>
  <si>
    <t>Total Credit for Upload August '22 (₦)</t>
  </si>
  <si>
    <t>August '22 Target Value (₦)</t>
  </si>
  <si>
    <t>New August Target Value</t>
  </si>
  <si>
    <t>August '22 Initial Credit Deployment (₦)</t>
  </si>
  <si>
    <t>August '22 Initial Credit Deployment (₦) BD View</t>
  </si>
  <si>
    <t>Customer not targetted initially but has agreed to participate</t>
  </si>
  <si>
    <t>Additional credit required for extra volume</t>
  </si>
  <si>
    <t xml:space="preserve">Customer has cleared all outstanding debt. Delay in repayment is as a result of the Owo massacre that impacted his assigned TSA. </t>
  </si>
  <si>
    <t>She has cleared her July credit. Teller is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</si>
</sst>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_ ;_ * \-#,##0_ ;_ * &quot;-&quot;_ ;_ @_ "/>
    <numFmt numFmtId="166" formatCode="_ * #,##0.00_ ;_ * \-#,##0.00_ ;_ * &quot;-&quot;??_ ;_ @_ "/>
    <numFmt numFmtId="167" formatCode="_([$€]* #,##0.00_);_([$€]* \(#,##0.00\);_([$€]* &quot;-&quot;??_);_(@_)"/>
    <numFmt numFmtId="168" formatCode="_ &quot;SFr.&quot;\ * #,##0_ ;_ &quot;SFr.&quot;\ * \-#,##0_ ;_ &quot;SFr.&quot;\ * &quot;-&quot;_ ;_ @_ "/>
    <numFmt numFmtId="169" formatCode="_ &quot;SFr.&quot;\ * #,##0.00_ ;_ &quot;SFr.&quot;\ * \-#,##0.00_ ;_ &quot;SFr.&quot;\ * &quot;-&quot;??_ ;_ @_ "/>
    <numFmt numFmtId="170" formatCode="_ &quot;S/&quot;* #,##0_ ;_ &quot;S/&quot;* \-#,##0_ ;_ &quot;S/&quot;* &quot;-&quot;_ ;_ @_ "/>
    <numFmt numFmtId="171" formatCode="_ &quot;S/&quot;* #,##0.00_ ;_ &quot;S/&quot;* \-#,##0.00_ ;_ &quot;S/&quot;* &quot;-&quot;??_ ;_ @_ "/>
    <numFmt numFmtId="172" formatCode="0.00_)"/>
    <numFmt numFmtId="173" formatCode="_(* #,##0_);_(* \(#,##0\);_(* &quot;-&quot;??_);_(@_)"/>
    <numFmt numFmtId="174" formatCode="_(* #,##0.0_);_(* \(#,##0.0\);_(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i/>
      <sz val="16"/>
      <name val="Helv"/>
    </font>
    <font>
      <sz val="10"/>
      <color indexed="39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2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 Light"/>
      <family val="1"/>
      <scheme val="major"/>
    </font>
    <font>
      <sz val="11"/>
      <color theme="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9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9" fillId="0" borderId="0">
      <alignment vertical="center"/>
    </xf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4" fillId="6" borderId="0" applyNumberFormat="0" applyBorder="0" applyAlignment="0" applyProtection="0"/>
    <xf numFmtId="0" fontId="15" fillId="23" borderId="6" applyNumberFormat="0" applyAlignment="0" applyProtection="0"/>
    <xf numFmtId="0" fontId="16" fillId="24" borderId="7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7" borderId="0" applyNumberFormat="0" applyBorder="0" applyAlignment="0" applyProtection="0"/>
    <xf numFmtId="38" fontId="12" fillId="25" borderId="0" applyNumberFormat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10" fontId="12" fillId="26" borderId="3" applyNumberFormat="0" applyBorder="0" applyAlignment="0" applyProtection="0"/>
    <xf numFmtId="0" fontId="22" fillId="10" borderId="6" applyNumberFormat="0" applyAlignment="0" applyProtection="0"/>
    <xf numFmtId="0" fontId="22" fillId="10" borderId="6" applyNumberFormat="0" applyAlignment="0" applyProtection="0"/>
    <xf numFmtId="0" fontId="22" fillId="10" borderId="6" applyNumberFormat="0" applyAlignment="0" applyProtection="0"/>
    <xf numFmtId="0" fontId="22" fillId="10" borderId="6" applyNumberFormat="0" applyAlignment="0" applyProtection="0"/>
    <xf numFmtId="0" fontId="23" fillId="0" borderId="11" applyNumberFormat="0" applyFill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4" fillId="27" borderId="0" applyNumberFormat="0" applyBorder="0" applyAlignment="0" applyProtection="0"/>
    <xf numFmtId="44" fontId="8" fillId="0" borderId="0"/>
    <xf numFmtId="172" fontId="30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9" fillId="28" borderId="12" applyNumberFormat="0" applyFont="0" applyAlignment="0" applyProtection="0"/>
    <xf numFmtId="0" fontId="9" fillId="28" borderId="12" applyNumberFormat="0" applyFont="0" applyAlignment="0" applyProtection="0"/>
    <xf numFmtId="0" fontId="9" fillId="28" borderId="12" applyNumberFormat="0" applyFont="0" applyAlignment="0" applyProtection="0"/>
    <xf numFmtId="0" fontId="9" fillId="28" borderId="12" applyNumberFormat="0" applyFont="0" applyAlignment="0" applyProtection="0"/>
    <xf numFmtId="0" fontId="9" fillId="28" borderId="12" applyNumberFormat="0" applyFont="0" applyAlignment="0" applyProtection="0"/>
    <xf numFmtId="0" fontId="25" fillId="23" borderId="13" applyNumberFormat="0" applyAlignment="0" applyProtection="0"/>
    <xf numFmtId="10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" fontId="11" fillId="29" borderId="13" applyNumberFormat="0" applyProtection="0">
      <alignment vertical="center"/>
    </xf>
    <xf numFmtId="4" fontId="31" fillId="29" borderId="13" applyNumberFormat="0" applyProtection="0">
      <alignment vertical="center"/>
    </xf>
    <xf numFmtId="4" fontId="11" fillId="29" borderId="13" applyNumberFormat="0" applyProtection="0">
      <alignment horizontal="left" vertical="center" indent="1"/>
    </xf>
    <xf numFmtId="4" fontId="11" fillId="29" borderId="13" applyNumberFormat="0" applyProtection="0">
      <alignment horizontal="left" vertical="center" indent="1"/>
    </xf>
    <xf numFmtId="0" fontId="8" fillId="30" borderId="13" applyNumberFormat="0" applyProtection="0">
      <alignment horizontal="left" vertical="center" indent="1"/>
    </xf>
    <xf numFmtId="4" fontId="11" fillId="31" borderId="13" applyNumberFormat="0" applyProtection="0">
      <alignment horizontal="right" vertical="center"/>
    </xf>
    <xf numFmtId="4" fontId="11" fillId="32" borderId="13" applyNumberFormat="0" applyProtection="0">
      <alignment horizontal="right" vertical="center"/>
    </xf>
    <xf numFmtId="4" fontId="11" fillId="33" borderId="13" applyNumberFormat="0" applyProtection="0">
      <alignment horizontal="right" vertical="center"/>
    </xf>
    <xf numFmtId="4" fontId="11" fillId="34" borderId="13" applyNumberFormat="0" applyProtection="0">
      <alignment horizontal="right" vertical="center"/>
    </xf>
    <xf numFmtId="4" fontId="11" fillId="35" borderId="13" applyNumberFormat="0" applyProtection="0">
      <alignment horizontal="right" vertical="center"/>
    </xf>
    <xf numFmtId="4" fontId="11" fillId="36" borderId="13" applyNumberFormat="0" applyProtection="0">
      <alignment horizontal="right" vertical="center"/>
    </xf>
    <xf numFmtId="4" fontId="11" fillId="37" borderId="13" applyNumberFormat="0" applyProtection="0">
      <alignment horizontal="right" vertical="center"/>
    </xf>
    <xf numFmtId="4" fontId="11" fillId="38" borderId="13" applyNumberFormat="0" applyProtection="0">
      <alignment horizontal="right" vertical="center"/>
    </xf>
    <xf numFmtId="4" fontId="11" fillId="39" borderId="13" applyNumberFormat="0" applyProtection="0">
      <alignment horizontal="right" vertical="center"/>
    </xf>
    <xf numFmtId="4" fontId="10" fillId="40" borderId="13" applyNumberFormat="0" applyProtection="0">
      <alignment horizontal="left" vertical="center" indent="1"/>
    </xf>
    <xf numFmtId="4" fontId="11" fillId="41" borderId="14" applyNumberFormat="0" applyProtection="0">
      <alignment horizontal="left" vertical="center" indent="1"/>
    </xf>
    <xf numFmtId="4" fontId="32" fillId="42" borderId="0" applyNumberFormat="0" applyProtection="0">
      <alignment horizontal="left" vertical="center" indent="1"/>
    </xf>
    <xf numFmtId="0" fontId="8" fillId="30" borderId="13" applyNumberFormat="0" applyProtection="0">
      <alignment horizontal="left" vertical="center" indent="1"/>
    </xf>
    <xf numFmtId="4" fontId="11" fillId="41" borderId="13" applyNumberFormat="0" applyProtection="0">
      <alignment horizontal="left" vertical="center" indent="1"/>
    </xf>
    <xf numFmtId="4" fontId="11" fillId="43" borderId="13" applyNumberFormat="0" applyProtection="0">
      <alignment horizontal="left" vertical="center" indent="1"/>
    </xf>
    <xf numFmtId="0" fontId="8" fillId="43" borderId="13" applyNumberFormat="0" applyProtection="0">
      <alignment horizontal="left" vertical="center" indent="1"/>
    </xf>
    <xf numFmtId="0" fontId="8" fillId="43" borderId="13" applyNumberFormat="0" applyProtection="0">
      <alignment horizontal="left" vertical="center" indent="1"/>
    </xf>
    <xf numFmtId="0" fontId="8" fillId="44" borderId="13" applyNumberFormat="0" applyProtection="0">
      <alignment horizontal="left" vertical="center" indent="1"/>
    </xf>
    <xf numFmtId="0" fontId="8" fillId="44" borderId="13" applyNumberFormat="0" applyProtection="0">
      <alignment horizontal="left" vertical="center" indent="1"/>
    </xf>
    <xf numFmtId="0" fontId="8" fillId="25" borderId="13" applyNumberFormat="0" applyProtection="0">
      <alignment horizontal="left" vertical="center" indent="1"/>
    </xf>
    <xf numFmtId="0" fontId="8" fillId="25" borderId="13" applyNumberFormat="0" applyProtection="0">
      <alignment horizontal="left" vertical="center" indent="1"/>
    </xf>
    <xf numFmtId="0" fontId="8" fillId="30" borderId="13" applyNumberFormat="0" applyProtection="0">
      <alignment horizontal="left" vertical="center" indent="1"/>
    </xf>
    <xf numFmtId="0" fontId="8" fillId="30" borderId="13" applyNumberFormat="0" applyProtection="0">
      <alignment horizontal="left" vertical="center" indent="1"/>
    </xf>
    <xf numFmtId="4" fontId="11" fillId="26" borderId="13" applyNumberFormat="0" applyProtection="0">
      <alignment vertical="center"/>
    </xf>
    <xf numFmtId="4" fontId="31" fillId="26" borderId="13" applyNumberFormat="0" applyProtection="0">
      <alignment vertical="center"/>
    </xf>
    <xf numFmtId="4" fontId="11" fillId="26" borderId="13" applyNumberFormat="0" applyProtection="0">
      <alignment horizontal="left" vertical="center" indent="1"/>
    </xf>
    <xf numFmtId="4" fontId="11" fillId="26" borderId="13" applyNumberFormat="0" applyProtection="0">
      <alignment horizontal="left" vertical="center" indent="1"/>
    </xf>
    <xf numFmtId="4" fontId="11" fillId="41" borderId="13" applyNumberFormat="0" applyProtection="0">
      <alignment horizontal="right" vertical="center"/>
    </xf>
    <xf numFmtId="4" fontId="31" fillId="41" borderId="13" applyNumberFormat="0" applyProtection="0">
      <alignment horizontal="right" vertical="center"/>
    </xf>
    <xf numFmtId="0" fontId="8" fillId="30" borderId="13" applyNumberFormat="0" applyProtection="0">
      <alignment horizontal="left" vertical="center" indent="1"/>
    </xf>
    <xf numFmtId="0" fontId="8" fillId="30" borderId="13" applyNumberFormat="0" applyProtection="0">
      <alignment horizontal="left" vertical="center" indent="1"/>
    </xf>
    <xf numFmtId="0" fontId="33" fillId="0" borderId="0"/>
    <xf numFmtId="4" fontId="34" fillId="41" borderId="13" applyNumberFormat="0" applyProtection="0">
      <alignment horizontal="right" vertical="center"/>
    </xf>
    <xf numFmtId="3" fontId="35" fillId="0" borderId="15"/>
    <xf numFmtId="0" fontId="11" fillId="0" borderId="0">
      <alignment vertical="top"/>
    </xf>
    <xf numFmtId="0" fontId="26" fillId="0" borderId="0" applyNumberFormat="0" applyFill="0" applyBorder="0" applyAlignment="0" applyProtection="0"/>
    <xf numFmtId="0" fontId="27" fillId="0" borderId="16" applyNumberFormat="0" applyFill="0" applyAlignment="0" applyProtection="0"/>
    <xf numFmtId="0" fontId="2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6" fillId="0" borderId="0" xfId="0" applyFont="1"/>
    <xf numFmtId="164" fontId="6" fillId="0" borderId="0" xfId="1" applyNumberFormat="1" applyFont="1"/>
    <xf numFmtId="1" fontId="3" fillId="4" borderId="5" xfId="0" applyNumberFormat="1" applyFont="1" applyFill="1" applyBorder="1" applyAlignment="1" applyProtection="1">
      <alignment horizontal="center"/>
    </xf>
    <xf numFmtId="173" fontId="3" fillId="0" borderId="2" xfId="1" applyNumberFormat="1" applyFont="1" applyBorder="1" applyAlignment="1" applyProtection="1">
      <alignment horizontal="left"/>
    </xf>
    <xf numFmtId="173" fontId="3" fillId="4" borderId="2" xfId="1" applyNumberFormat="1" applyFont="1" applyFill="1" applyBorder="1" applyAlignment="1" applyProtection="1">
      <alignment horizontal="left"/>
    </xf>
    <xf numFmtId="0" fontId="5" fillId="2" borderId="4" xfId="0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38" fillId="0" borderId="0" xfId="0" applyFont="1"/>
    <xf numFmtId="174" fontId="1" fillId="0" borderId="3" xfId="1" applyNumberFormat="1" applyFont="1" applyFill="1" applyBorder="1" applyAlignment="1">
      <alignment horizontal="left"/>
    </xf>
    <xf numFmtId="0" fontId="2" fillId="45" borderId="19" xfId="0" applyFont="1" applyFill="1" applyBorder="1" applyAlignment="1">
      <alignment vertical="center"/>
    </xf>
    <xf numFmtId="0" fontId="40" fillId="47" borderId="3" xfId="0" applyFont="1" applyFill="1" applyBorder="1" applyAlignment="1">
      <alignment horizontal="center" vertical="center" wrapText="1"/>
    </xf>
    <xf numFmtId="173" fontId="6" fillId="0" borderId="3" xfId="1" applyNumberFormat="1" applyFont="1" applyBorder="1"/>
    <xf numFmtId="0" fontId="6" fillId="0" borderId="3" xfId="0" applyFont="1" applyBorder="1"/>
    <xf numFmtId="173" fontId="6" fillId="0" borderId="0" xfId="0" applyNumberFormat="1" applyFont="1"/>
    <xf numFmtId="0" fontId="6" fillId="46" borderId="3" xfId="0" applyFont="1" applyFill="1" applyBorder="1"/>
    <xf numFmtId="173" fontId="3" fillId="46" borderId="2" xfId="1" applyNumberFormat="1" applyFont="1" applyFill="1" applyBorder="1" applyAlignment="1" applyProtection="1">
      <alignment horizontal="left"/>
    </xf>
    <xf numFmtId="164" fontId="41" fillId="0" borderId="0" xfId="1" applyNumberFormat="1" applyFont="1"/>
    <xf numFmtId="173" fontId="42" fillId="0" borderId="2" xfId="1" applyNumberFormat="1" applyFont="1" applyBorder="1" applyAlignment="1" applyProtection="1">
      <alignment horizontal="left"/>
    </xf>
    <xf numFmtId="174" fontId="1" fillId="0" borderId="23" xfId="1" applyNumberFormat="1" applyFont="1" applyFill="1" applyBorder="1" applyAlignment="1">
      <alignment horizontal="left"/>
    </xf>
    <xf numFmtId="9" fontId="42" fillId="0" borderId="3" xfId="3" applyFont="1" applyBorder="1" applyAlignment="1" applyProtection="1">
      <alignment horizontal="center"/>
    </xf>
    <xf numFmtId="9" fontId="42" fillId="0" borderId="18" xfId="3" applyFont="1" applyBorder="1" applyAlignment="1" applyProtection="1">
      <alignment horizontal="center"/>
    </xf>
    <xf numFmtId="0" fontId="43" fillId="0" borderId="0" xfId="0" applyFont="1"/>
    <xf numFmtId="0" fontId="44" fillId="46" borderId="17" xfId="0" applyFont="1" applyFill="1" applyBorder="1" applyAlignment="1" applyProtection="1">
      <alignment horizontal="left" vertical="center" wrapText="1"/>
    </xf>
    <xf numFmtId="0" fontId="42" fillId="0" borderId="3" xfId="0" applyFont="1" applyFill="1" applyBorder="1" applyAlignment="1" applyProtection="1">
      <alignment horizontal="left"/>
    </xf>
    <xf numFmtId="0" fontId="42" fillId="0" borderId="3" xfId="0" applyFont="1" applyFill="1" applyBorder="1" applyAlignment="1" applyProtection="1">
      <alignment horizontal="left"/>
      <protection locked="0"/>
    </xf>
    <xf numFmtId="0" fontId="3" fillId="0" borderId="3" xfId="0" applyFont="1" applyFill="1" applyBorder="1" applyAlignment="1">
      <alignment horizontal="left"/>
    </xf>
    <xf numFmtId="0" fontId="44" fillId="2" borderId="21" xfId="0" applyFont="1" applyFill="1" applyBorder="1" applyAlignment="1" applyProtection="1">
      <alignment horizontal="left" vertical="center" wrapText="1"/>
    </xf>
    <xf numFmtId="0" fontId="6" fillId="46" borderId="24" xfId="0" applyFont="1" applyFill="1" applyBorder="1"/>
    <xf numFmtId="0" fontId="45" fillId="49" borderId="25" xfId="0" applyFont="1" applyFill="1" applyBorder="1"/>
    <xf numFmtId="0" fontId="0" fillId="50" borderId="27" xfId="0" applyFill="1" applyBorder="1"/>
    <xf numFmtId="0" fontId="0" fillId="51" borderId="27" xfId="0" applyFill="1" applyBorder="1"/>
    <xf numFmtId="0" fontId="0" fillId="51" borderId="29" xfId="0" applyFill="1" applyBorder="1"/>
    <xf numFmtId="173" fontId="45" fillId="49" borderId="26" xfId="1" applyNumberFormat="1" applyFont="1" applyFill="1" applyBorder="1"/>
    <xf numFmtId="173" fontId="0" fillId="51" borderId="28" xfId="1" applyNumberFormat="1" applyFont="1" applyFill="1" applyBorder="1"/>
    <xf numFmtId="173" fontId="46" fillId="50" borderId="28" xfId="1" applyNumberFormat="1" applyFont="1" applyFill="1" applyBorder="1"/>
    <xf numFmtId="173" fontId="46" fillId="51" borderId="28" xfId="1" applyNumberFormat="1" applyFont="1" applyFill="1" applyBorder="1"/>
    <xf numFmtId="173" fontId="0" fillId="0" borderId="0" xfId="1" applyNumberFormat="1" applyFont="1"/>
    <xf numFmtId="173" fontId="0" fillId="0" borderId="0" xfId="0" applyNumberFormat="1"/>
    <xf numFmtId="0" fontId="47" fillId="0" borderId="3" xfId="0" applyFont="1" applyFill="1" applyBorder="1" applyAlignment="1" applyProtection="1">
      <alignment horizontal="left"/>
    </xf>
    <xf numFmtId="0" fontId="47" fillId="0" borderId="3" xfId="0" applyFont="1" applyFill="1" applyBorder="1" applyAlignment="1" applyProtection="1">
      <alignment horizontal="left"/>
      <protection locked="0"/>
    </xf>
    <xf numFmtId="173" fontId="48" fillId="0" borderId="3" xfId="0" applyNumberFormat="1" applyFont="1" applyBorder="1"/>
    <xf numFmtId="164" fontId="41" fillId="0" borderId="0" xfId="1" applyNumberFormat="1" applyFont="1" applyFill="1"/>
    <xf numFmtId="0" fontId="6" fillId="0" borderId="0" xfId="0" applyFont="1" applyFill="1"/>
    <xf numFmtId="164" fontId="6" fillId="0" borderId="0" xfId="1" applyNumberFormat="1" applyFont="1" applyFill="1"/>
    <xf numFmtId="0" fontId="42" fillId="0" borderId="3" xfId="0" applyFont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1" fontId="3" fillId="0" borderId="5" xfId="0" applyNumberFormat="1" applyFont="1" applyFill="1" applyBorder="1" applyAlignment="1" applyProtection="1">
      <alignment horizontal="center"/>
    </xf>
    <xf numFmtId="173" fontId="6" fillId="0" borderId="3" xfId="1" applyNumberFormat="1" applyFont="1" applyFill="1" applyBorder="1"/>
    <xf numFmtId="0" fontId="6" fillId="0" borderId="3" xfId="0" applyFont="1" applyFill="1" applyBorder="1"/>
    <xf numFmtId="173" fontId="3" fillId="0" borderId="2" xfId="1" applyNumberFormat="1" applyFont="1" applyFill="1" applyBorder="1" applyAlignment="1" applyProtection="1">
      <alignment horizontal="left"/>
    </xf>
    <xf numFmtId="9" fontId="42" fillId="0" borderId="18" xfId="3" applyFont="1" applyFill="1" applyBorder="1" applyAlignment="1" applyProtection="1">
      <alignment horizontal="center"/>
    </xf>
    <xf numFmtId="9" fontId="42" fillId="0" borderId="3" xfId="3" applyFont="1" applyFill="1" applyBorder="1" applyAlignment="1" applyProtection="1">
      <alignment horizontal="center"/>
    </xf>
    <xf numFmtId="173" fontId="46" fillId="51" borderId="30" xfId="1" applyNumberFormat="1" applyFont="1" applyFill="1" applyBorder="1"/>
    <xf numFmtId="0" fontId="4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4" fillId="48" borderId="1" xfId="1" applyFont="1" applyFill="1" applyBorder="1" applyAlignment="1" applyProtection="1">
      <alignment horizontal="center" vertical="center" wrapText="1"/>
    </xf>
    <xf numFmtId="164" fontId="4" fillId="46" borderId="1" xfId="1" applyFont="1" applyFill="1" applyBorder="1" applyAlignment="1" applyProtection="1">
      <alignment horizontal="center" vertical="center" wrapText="1"/>
    </xf>
    <xf numFmtId="164" fontId="4" fillId="3" borderId="1" xfId="1" applyFont="1" applyFill="1" applyBorder="1" applyAlignment="1" applyProtection="1">
      <alignment horizontal="center" vertical="center" wrapText="1"/>
    </xf>
    <xf numFmtId="164" fontId="4" fillId="46" borderId="20" xfId="1" applyFont="1" applyFill="1" applyBorder="1" applyAlignment="1" applyProtection="1">
      <alignment horizontal="center" vertical="center" wrapText="1"/>
    </xf>
    <xf numFmtId="0" fontId="0" fillId="0" borderId="3" xfId="0" applyBorder="1"/>
    <xf numFmtId="0" fontId="6" fillId="0" borderId="24" xfId="0" applyFont="1" applyFill="1" applyBorder="1"/>
    <xf numFmtId="0" fontId="44" fillId="2" borderId="32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164" fontId="4" fillId="48" borderId="32" xfId="1" applyFont="1" applyFill="1" applyBorder="1" applyAlignment="1" applyProtection="1">
      <alignment horizontal="center" vertical="center" wrapText="1"/>
    </xf>
    <xf numFmtId="173" fontId="0" fillId="0" borderId="3" xfId="0" applyNumberFormat="1" applyFont="1" applyBorder="1"/>
    <xf numFmtId="0" fontId="49" fillId="0" borderId="3" xfId="0" applyFont="1" applyBorder="1" applyAlignment="1">
      <alignment horizontal="left"/>
    </xf>
    <xf numFmtId="0" fontId="3" fillId="0" borderId="3" xfId="0" applyFont="1" applyFill="1" applyBorder="1" applyAlignment="1" applyProtection="1">
      <alignment horizontal="left"/>
    </xf>
    <xf numFmtId="173" fontId="42" fillId="0" borderId="3" xfId="1" applyNumberFormat="1" applyFont="1" applyBorder="1" applyAlignment="1" applyProtection="1">
      <alignment horizontal="left"/>
    </xf>
    <xf numFmtId="173" fontId="42" fillId="0" borderId="33" xfId="1" applyNumberFormat="1" applyFont="1" applyBorder="1" applyAlignment="1" applyProtection="1">
      <alignment horizontal="left"/>
    </xf>
    <xf numFmtId="173" fontId="3" fillId="4" borderId="2" xfId="1" applyNumberFormat="1" applyFont="1" applyFill="1" applyBorder="1" applyAlignment="1" applyProtection="1">
      <alignment horizontal="center"/>
    </xf>
    <xf numFmtId="164" fontId="1" fillId="0" borderId="3" xfId="1" applyFont="1" applyBorder="1" applyAlignment="1">
      <alignment horizontal="center"/>
    </xf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44" fillId="2" borderId="21" xfId="0" applyFont="1" applyFill="1" applyBorder="1" applyAlignment="1">
      <alignment horizontal="left" vertical="center" wrapText="1"/>
    </xf>
    <xf numFmtId="0" fontId="44" fillId="46" borderId="17" xfId="0" applyFont="1" applyFill="1" applyBorder="1" applyAlignment="1">
      <alignment horizontal="left" vertical="center" wrapText="1"/>
    </xf>
    <xf numFmtId="1" fontId="3" fillId="4" borderId="5" xfId="0" applyNumberFormat="1" applyFont="1" applyFill="1" applyBorder="1" applyAlignment="1">
      <alignment horizontal="center"/>
    </xf>
    <xf numFmtId="173" fontId="1" fillId="0" borderId="3" xfId="1" applyNumberFormat="1" applyFont="1" applyBorder="1"/>
    <xf numFmtId="0" fontId="1" fillId="0" borderId="3" xfId="0" applyFont="1" applyBorder="1"/>
    <xf numFmtId="0" fontId="1" fillId="46" borderId="3" xfId="0" applyFont="1" applyFill="1" applyBorder="1"/>
    <xf numFmtId="173" fontId="0" fillId="0" borderId="3" xfId="0" applyNumberFormat="1" applyBorder="1"/>
    <xf numFmtId="0" fontId="1" fillId="0" borderId="0" xfId="0" applyFont="1" applyAlignment="1">
      <alignment horizontal="center"/>
    </xf>
    <xf numFmtId="164" fontId="1" fillId="0" borderId="0" xfId="1" applyFont="1"/>
    <xf numFmtId="1" fontId="3" fillId="4" borderId="5" xfId="0" applyNumberFormat="1" applyFont="1" applyFill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173" fontId="0" fillId="0" borderId="3" xfId="0" applyNumberFormat="1" applyBorder="1" applyAlignment="1">
      <alignment vertical="center"/>
    </xf>
    <xf numFmtId="173" fontId="3" fillId="4" borderId="2" xfId="1" applyNumberFormat="1" applyFont="1" applyFill="1" applyBorder="1" applyAlignment="1" applyProtection="1">
      <alignment horizontal="left" vertical="center"/>
    </xf>
    <xf numFmtId="173" fontId="3" fillId="0" borderId="2" xfId="1" applyNumberFormat="1" applyFont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173" fontId="3" fillId="46" borderId="2" xfId="1" applyNumberFormat="1" applyFont="1" applyFill="1" applyBorder="1" applyAlignment="1" applyProtection="1">
      <alignment horizontal="left" vertical="center"/>
    </xf>
    <xf numFmtId="9" fontId="42" fillId="0" borderId="3" xfId="3" applyFont="1" applyBorder="1" applyAlignment="1" applyProtection="1">
      <alignment horizontal="center" vertical="center"/>
    </xf>
    <xf numFmtId="174" fontId="1" fillId="0" borderId="3" xfId="1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39" fillId="0" borderId="20" xfId="0" applyFont="1" applyBorder="1" applyAlignment="1">
      <alignment horizontal="center"/>
    </xf>
    <xf numFmtId="0" fontId="39" fillId="0" borderId="21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64" fontId="41" fillId="0" borderId="31" xfId="1" applyFont="1" applyBorder="1" applyAlignment="1">
      <alignment horizontal="center"/>
    </xf>
  </cellXfs>
  <cellStyles count="245">
    <cellStyle name="=D:\WINNT\SYSTEM32\COMMAND.COM" xfId="20" xr:uid="{00000000-0005-0000-0000-000000000000}"/>
    <cellStyle name="20% - Accent1 2" xfId="21" xr:uid="{00000000-0005-0000-0000-000001000000}"/>
    <cellStyle name="20% - Accent1 2 2" xfId="22" xr:uid="{00000000-0005-0000-0000-000002000000}"/>
    <cellStyle name="20% - Accent1 2 3" xfId="23" xr:uid="{00000000-0005-0000-0000-000003000000}"/>
    <cellStyle name="20% - Accent1 2 4" xfId="24" xr:uid="{00000000-0005-0000-0000-000004000000}"/>
    <cellStyle name="20% - Accent1 2 5" xfId="25" xr:uid="{00000000-0005-0000-0000-000005000000}"/>
    <cellStyle name="20% - Accent2 2" xfId="26" xr:uid="{00000000-0005-0000-0000-000006000000}"/>
    <cellStyle name="20% - Accent2 2 2" xfId="27" xr:uid="{00000000-0005-0000-0000-000007000000}"/>
    <cellStyle name="20% - Accent2 2 3" xfId="28" xr:uid="{00000000-0005-0000-0000-000008000000}"/>
    <cellStyle name="20% - Accent2 2 4" xfId="29" xr:uid="{00000000-0005-0000-0000-000009000000}"/>
    <cellStyle name="20% - Accent2 2 5" xfId="30" xr:uid="{00000000-0005-0000-0000-00000A000000}"/>
    <cellStyle name="20% - Accent3 2" xfId="31" xr:uid="{00000000-0005-0000-0000-00000B000000}"/>
    <cellStyle name="20% - Accent3 2 2" xfId="32" xr:uid="{00000000-0005-0000-0000-00000C000000}"/>
    <cellStyle name="20% - Accent3 2 3" xfId="33" xr:uid="{00000000-0005-0000-0000-00000D000000}"/>
    <cellStyle name="20% - Accent3 2 4" xfId="34" xr:uid="{00000000-0005-0000-0000-00000E000000}"/>
    <cellStyle name="20% - Accent3 2 5" xfId="35" xr:uid="{00000000-0005-0000-0000-00000F000000}"/>
    <cellStyle name="20% - Accent4 2" xfId="36" xr:uid="{00000000-0005-0000-0000-000010000000}"/>
    <cellStyle name="20% - Accent4 2 2" xfId="37" xr:uid="{00000000-0005-0000-0000-000011000000}"/>
    <cellStyle name="20% - Accent4 2 3" xfId="38" xr:uid="{00000000-0005-0000-0000-000012000000}"/>
    <cellStyle name="20% - Accent4 2 4" xfId="39" xr:uid="{00000000-0005-0000-0000-000013000000}"/>
    <cellStyle name="20% - Accent4 2 5" xfId="40" xr:uid="{00000000-0005-0000-0000-000014000000}"/>
    <cellStyle name="20% - Accent5 2" xfId="41" xr:uid="{00000000-0005-0000-0000-000015000000}"/>
    <cellStyle name="20% - Accent5 2 2" xfId="42" xr:uid="{00000000-0005-0000-0000-000016000000}"/>
    <cellStyle name="20% - Accent5 2 3" xfId="43" xr:uid="{00000000-0005-0000-0000-000017000000}"/>
    <cellStyle name="20% - Accent5 2 4" xfId="44" xr:uid="{00000000-0005-0000-0000-000018000000}"/>
    <cellStyle name="20% - Accent5 2 5" xfId="45" xr:uid="{00000000-0005-0000-0000-000019000000}"/>
    <cellStyle name="20% - Accent6 2" xfId="46" xr:uid="{00000000-0005-0000-0000-00001A000000}"/>
    <cellStyle name="20% - Accent6 2 2" xfId="47" xr:uid="{00000000-0005-0000-0000-00001B000000}"/>
    <cellStyle name="20% - Accent6 2 3" xfId="48" xr:uid="{00000000-0005-0000-0000-00001C000000}"/>
    <cellStyle name="20% - Accent6 2 4" xfId="49" xr:uid="{00000000-0005-0000-0000-00001D000000}"/>
    <cellStyle name="20% - Accent6 2 5" xfId="50" xr:uid="{00000000-0005-0000-0000-00001E000000}"/>
    <cellStyle name="40% - Accent1 2" xfId="51" xr:uid="{00000000-0005-0000-0000-00001F000000}"/>
    <cellStyle name="40% - Accent1 2 2" xfId="52" xr:uid="{00000000-0005-0000-0000-000020000000}"/>
    <cellStyle name="40% - Accent1 2 3" xfId="53" xr:uid="{00000000-0005-0000-0000-000021000000}"/>
    <cellStyle name="40% - Accent1 2 4" xfId="54" xr:uid="{00000000-0005-0000-0000-000022000000}"/>
    <cellStyle name="40% - Accent1 2 5" xfId="55" xr:uid="{00000000-0005-0000-0000-000023000000}"/>
    <cellStyle name="40% - Accent2 2" xfId="56" xr:uid="{00000000-0005-0000-0000-000024000000}"/>
    <cellStyle name="40% - Accent2 2 2" xfId="57" xr:uid="{00000000-0005-0000-0000-000025000000}"/>
    <cellStyle name="40% - Accent2 2 3" xfId="58" xr:uid="{00000000-0005-0000-0000-000026000000}"/>
    <cellStyle name="40% - Accent2 2 4" xfId="59" xr:uid="{00000000-0005-0000-0000-000027000000}"/>
    <cellStyle name="40% - Accent2 2 5" xfId="60" xr:uid="{00000000-0005-0000-0000-000028000000}"/>
    <cellStyle name="40% - Accent3 2" xfId="61" xr:uid="{00000000-0005-0000-0000-000029000000}"/>
    <cellStyle name="40% - Accent3 2 2" xfId="62" xr:uid="{00000000-0005-0000-0000-00002A000000}"/>
    <cellStyle name="40% - Accent3 2 3" xfId="63" xr:uid="{00000000-0005-0000-0000-00002B000000}"/>
    <cellStyle name="40% - Accent3 2 4" xfId="64" xr:uid="{00000000-0005-0000-0000-00002C000000}"/>
    <cellStyle name="40% - Accent3 2 5" xfId="65" xr:uid="{00000000-0005-0000-0000-00002D000000}"/>
    <cellStyle name="40% - Accent4 2" xfId="66" xr:uid="{00000000-0005-0000-0000-00002E000000}"/>
    <cellStyle name="40% - Accent4 2 2" xfId="67" xr:uid="{00000000-0005-0000-0000-00002F000000}"/>
    <cellStyle name="40% - Accent4 2 3" xfId="68" xr:uid="{00000000-0005-0000-0000-000030000000}"/>
    <cellStyle name="40% - Accent4 2 4" xfId="69" xr:uid="{00000000-0005-0000-0000-000031000000}"/>
    <cellStyle name="40% - Accent4 2 5" xfId="70" xr:uid="{00000000-0005-0000-0000-000032000000}"/>
    <cellStyle name="40% - Accent5 2" xfId="71" xr:uid="{00000000-0005-0000-0000-000033000000}"/>
    <cellStyle name="40% - Accent5 2 2" xfId="72" xr:uid="{00000000-0005-0000-0000-000034000000}"/>
    <cellStyle name="40% - Accent5 2 3" xfId="73" xr:uid="{00000000-0005-0000-0000-000035000000}"/>
    <cellStyle name="40% - Accent5 2 4" xfId="74" xr:uid="{00000000-0005-0000-0000-000036000000}"/>
    <cellStyle name="40% - Accent5 2 5" xfId="75" xr:uid="{00000000-0005-0000-0000-000037000000}"/>
    <cellStyle name="40% - Accent6 2" xfId="76" xr:uid="{00000000-0005-0000-0000-000038000000}"/>
    <cellStyle name="40% - Accent6 2 2" xfId="77" xr:uid="{00000000-0005-0000-0000-000039000000}"/>
    <cellStyle name="40% - Accent6 2 3" xfId="78" xr:uid="{00000000-0005-0000-0000-00003A000000}"/>
    <cellStyle name="40% - Accent6 2 4" xfId="79" xr:uid="{00000000-0005-0000-0000-00003B000000}"/>
    <cellStyle name="40% - Accent6 2 5" xfId="80" xr:uid="{00000000-0005-0000-0000-00003C000000}"/>
    <cellStyle name="60% - Accent1 2" xfId="81" xr:uid="{00000000-0005-0000-0000-00003D000000}"/>
    <cellStyle name="60% - Accent2 2" xfId="82" xr:uid="{00000000-0005-0000-0000-00003E000000}"/>
    <cellStyle name="60% - Accent3 2" xfId="83" xr:uid="{00000000-0005-0000-0000-00003F000000}"/>
    <cellStyle name="60% - Accent4 2" xfId="84" xr:uid="{00000000-0005-0000-0000-000040000000}"/>
    <cellStyle name="60% - Accent5 2" xfId="85" xr:uid="{00000000-0005-0000-0000-000041000000}"/>
    <cellStyle name="60% - Accent6 2" xfId="86" xr:uid="{00000000-0005-0000-0000-000042000000}"/>
    <cellStyle name="Accent1 2" xfId="87" xr:uid="{00000000-0005-0000-0000-000043000000}"/>
    <cellStyle name="Accent2 2" xfId="88" xr:uid="{00000000-0005-0000-0000-000044000000}"/>
    <cellStyle name="Accent3 2" xfId="89" xr:uid="{00000000-0005-0000-0000-000045000000}"/>
    <cellStyle name="Accent4 2" xfId="90" xr:uid="{00000000-0005-0000-0000-000046000000}"/>
    <cellStyle name="Accent5 2" xfId="91" xr:uid="{00000000-0005-0000-0000-000047000000}"/>
    <cellStyle name="Accent6 2" xfId="92" xr:uid="{00000000-0005-0000-0000-000048000000}"/>
    <cellStyle name="Bad 2" xfId="93" xr:uid="{00000000-0005-0000-0000-000049000000}"/>
    <cellStyle name="Calculation 2" xfId="94" xr:uid="{00000000-0005-0000-0000-00004A000000}"/>
    <cellStyle name="Check Cell 2" xfId="95" xr:uid="{00000000-0005-0000-0000-00004B000000}"/>
    <cellStyle name="Comma" xfId="1" builtinId="3"/>
    <cellStyle name="Comma  - Style1" xfId="96" xr:uid="{00000000-0005-0000-0000-00004D000000}"/>
    <cellStyle name="Comma  - Style2" xfId="97" xr:uid="{00000000-0005-0000-0000-00004E000000}"/>
    <cellStyle name="Comma  - Style3" xfId="98" xr:uid="{00000000-0005-0000-0000-00004F000000}"/>
    <cellStyle name="Comma  - Style4" xfId="99" xr:uid="{00000000-0005-0000-0000-000050000000}"/>
    <cellStyle name="Comma  - Style5" xfId="100" xr:uid="{00000000-0005-0000-0000-000051000000}"/>
    <cellStyle name="Comma  - Style6" xfId="101" xr:uid="{00000000-0005-0000-0000-000052000000}"/>
    <cellStyle name="Comma  - Style7" xfId="102" xr:uid="{00000000-0005-0000-0000-000053000000}"/>
    <cellStyle name="Comma  - Style8" xfId="103" xr:uid="{00000000-0005-0000-0000-000054000000}"/>
    <cellStyle name="Comma 10" xfId="212" xr:uid="{00000000-0005-0000-0000-000055000000}"/>
    <cellStyle name="Comma 11" xfId="211" xr:uid="{00000000-0005-0000-0000-000056000000}"/>
    <cellStyle name="Comma 12" xfId="213" xr:uid="{00000000-0005-0000-0000-000057000000}"/>
    <cellStyle name="Comma 13" xfId="228" xr:uid="{00000000-0005-0000-0000-000058000000}"/>
    <cellStyle name="Comma 14" xfId="232" xr:uid="{00000000-0005-0000-0000-000059000000}"/>
    <cellStyle name="Comma 15" xfId="227" xr:uid="{00000000-0005-0000-0000-00005A000000}"/>
    <cellStyle name="Comma 16" xfId="215" xr:uid="{00000000-0005-0000-0000-00005B000000}"/>
    <cellStyle name="Comma 17" xfId="226" xr:uid="{00000000-0005-0000-0000-00005C000000}"/>
    <cellStyle name="Comma 18" xfId="216" xr:uid="{00000000-0005-0000-0000-00005D000000}"/>
    <cellStyle name="Comma 19" xfId="225" xr:uid="{00000000-0005-0000-0000-00005E000000}"/>
    <cellStyle name="Comma 2" xfId="2" xr:uid="{00000000-0005-0000-0000-00005F000000}"/>
    <cellStyle name="Comma 2 2" xfId="6" xr:uid="{00000000-0005-0000-0000-000060000000}"/>
    <cellStyle name="Comma 2 2 2" xfId="104" xr:uid="{00000000-0005-0000-0000-000061000000}"/>
    <cellStyle name="Comma 2 2 3" xfId="219" xr:uid="{00000000-0005-0000-0000-000062000000}"/>
    <cellStyle name="Comma 2 2 4" xfId="235" xr:uid="{00000000-0005-0000-0000-000063000000}"/>
    <cellStyle name="Comma 2 3" xfId="7" xr:uid="{00000000-0005-0000-0000-000064000000}"/>
    <cellStyle name="Comma 2 4" xfId="5" xr:uid="{00000000-0005-0000-0000-000065000000}"/>
    <cellStyle name="Comma 2 5" xfId="18" xr:uid="{00000000-0005-0000-0000-000066000000}"/>
    <cellStyle name="Comma 2 6" xfId="214" xr:uid="{00000000-0005-0000-0000-000067000000}"/>
    <cellStyle name="Comma 2 7" xfId="234" xr:uid="{00000000-0005-0000-0000-000068000000}"/>
    <cellStyle name="Comma 20" xfId="217" xr:uid="{00000000-0005-0000-0000-000069000000}"/>
    <cellStyle name="Comma 21" xfId="224" xr:uid="{00000000-0005-0000-0000-00006A000000}"/>
    <cellStyle name="Comma 22" xfId="218" xr:uid="{00000000-0005-0000-0000-00006B000000}"/>
    <cellStyle name="Comma 23" xfId="233" xr:uid="{00000000-0005-0000-0000-00006C000000}"/>
    <cellStyle name="Comma 24" xfId="240" xr:uid="{00000000-0005-0000-0000-00006D000000}"/>
    <cellStyle name="Comma 25" xfId="244" xr:uid="{00000000-0005-0000-0000-00006E000000}"/>
    <cellStyle name="Comma 3" xfId="8" xr:uid="{00000000-0005-0000-0000-00006F000000}"/>
    <cellStyle name="Comma 3 2" xfId="105" xr:uid="{00000000-0005-0000-0000-000070000000}"/>
    <cellStyle name="Comma 3 3" xfId="220" xr:uid="{00000000-0005-0000-0000-000071000000}"/>
    <cellStyle name="Comma 3 4" xfId="236" xr:uid="{00000000-0005-0000-0000-000072000000}"/>
    <cellStyle name="Comma 4" xfId="9" xr:uid="{00000000-0005-0000-0000-000073000000}"/>
    <cellStyle name="Comma 4 2" xfId="106" xr:uid="{00000000-0005-0000-0000-000074000000}"/>
    <cellStyle name="Comma 4 3" xfId="221" xr:uid="{00000000-0005-0000-0000-000075000000}"/>
    <cellStyle name="Comma 4 4" xfId="237" xr:uid="{00000000-0005-0000-0000-000076000000}"/>
    <cellStyle name="Comma 48" xfId="19" xr:uid="{00000000-0005-0000-0000-000077000000}"/>
    <cellStyle name="Comma 5" xfId="4" xr:uid="{00000000-0005-0000-0000-000078000000}"/>
    <cellStyle name="Comma 5 2" xfId="107" xr:uid="{00000000-0005-0000-0000-000079000000}"/>
    <cellStyle name="Comma 5 3" xfId="222" xr:uid="{00000000-0005-0000-0000-00007A000000}"/>
    <cellStyle name="Comma 5 4" xfId="238" xr:uid="{00000000-0005-0000-0000-00007B000000}"/>
    <cellStyle name="Comma 6" xfId="209" xr:uid="{00000000-0005-0000-0000-00007C000000}"/>
    <cellStyle name="Comma 6 2" xfId="230" xr:uid="{00000000-0005-0000-0000-00007D000000}"/>
    <cellStyle name="Comma 6 3" xfId="242" xr:uid="{00000000-0005-0000-0000-00007E000000}"/>
    <cellStyle name="Comma 7" xfId="210" xr:uid="{00000000-0005-0000-0000-00007F000000}"/>
    <cellStyle name="Comma 7 2" xfId="231" xr:uid="{00000000-0005-0000-0000-000080000000}"/>
    <cellStyle name="Comma 7 3" xfId="243" xr:uid="{00000000-0005-0000-0000-000081000000}"/>
    <cellStyle name="Comma 8" xfId="208" xr:uid="{00000000-0005-0000-0000-000082000000}"/>
    <cellStyle name="Comma 8 2" xfId="229" xr:uid="{00000000-0005-0000-0000-000083000000}"/>
    <cellStyle name="Comma 8 3" xfId="241" xr:uid="{00000000-0005-0000-0000-000084000000}"/>
    <cellStyle name="Comma 9" xfId="144" xr:uid="{00000000-0005-0000-0000-000085000000}"/>
    <cellStyle name="Euro" xfId="108" xr:uid="{00000000-0005-0000-0000-000086000000}"/>
    <cellStyle name="Explanatory Text 2" xfId="109" xr:uid="{00000000-0005-0000-0000-000087000000}"/>
    <cellStyle name="Good 2" xfId="110" xr:uid="{00000000-0005-0000-0000-000088000000}"/>
    <cellStyle name="Grey" xfId="111" xr:uid="{00000000-0005-0000-0000-000089000000}"/>
    <cellStyle name="Heading 1 2" xfId="112" xr:uid="{00000000-0005-0000-0000-00008A000000}"/>
    <cellStyle name="Heading 2 2" xfId="113" xr:uid="{00000000-0005-0000-0000-00008B000000}"/>
    <cellStyle name="Heading 3 2" xfId="114" xr:uid="{00000000-0005-0000-0000-00008C000000}"/>
    <cellStyle name="Heading 4 2" xfId="115" xr:uid="{00000000-0005-0000-0000-00008D000000}"/>
    <cellStyle name="Input [yellow]" xfId="116" xr:uid="{00000000-0005-0000-0000-00008E000000}"/>
    <cellStyle name="Input 2" xfId="117" xr:uid="{00000000-0005-0000-0000-00008F000000}"/>
    <cellStyle name="Input 3" xfId="118" xr:uid="{00000000-0005-0000-0000-000090000000}"/>
    <cellStyle name="Input 4" xfId="119" xr:uid="{00000000-0005-0000-0000-000091000000}"/>
    <cellStyle name="Input 5" xfId="120" xr:uid="{00000000-0005-0000-0000-000092000000}"/>
    <cellStyle name="Linked Cell 2" xfId="121" xr:uid="{00000000-0005-0000-0000-000093000000}"/>
    <cellStyle name="Millares [0]_Diablos" xfId="122" xr:uid="{00000000-0005-0000-0000-000094000000}"/>
    <cellStyle name="Millares_Diablos" xfId="123" xr:uid="{00000000-0005-0000-0000-000095000000}"/>
    <cellStyle name="Milliers [0]_budget" xfId="124" xr:uid="{00000000-0005-0000-0000-000096000000}"/>
    <cellStyle name="Milliers_budget" xfId="125" xr:uid="{00000000-0005-0000-0000-000097000000}"/>
    <cellStyle name="Moneda [0]_Diablos" xfId="126" xr:uid="{00000000-0005-0000-0000-000098000000}"/>
    <cellStyle name="Moneda_Diablos" xfId="127" xr:uid="{00000000-0005-0000-0000-000099000000}"/>
    <cellStyle name="Monétaire [0]_budget" xfId="128" xr:uid="{00000000-0005-0000-0000-00009A000000}"/>
    <cellStyle name="Monétaire_budget" xfId="129" xr:uid="{00000000-0005-0000-0000-00009B000000}"/>
    <cellStyle name="Neutral 2" xfId="130" xr:uid="{00000000-0005-0000-0000-00009C000000}"/>
    <cellStyle name="NGN" xfId="131" xr:uid="{00000000-0005-0000-0000-00009D000000}"/>
    <cellStyle name="NGN 2" xfId="223" xr:uid="{00000000-0005-0000-0000-00009E000000}"/>
    <cellStyle name="NGN 3" xfId="239" xr:uid="{00000000-0005-0000-0000-00009F000000}"/>
    <cellStyle name="Normal" xfId="0" builtinId="0"/>
    <cellStyle name="Normal - Style1" xfId="132" xr:uid="{00000000-0005-0000-0000-0000A1000000}"/>
    <cellStyle name="Normal 10" xfId="133" xr:uid="{00000000-0005-0000-0000-0000A2000000}"/>
    <cellStyle name="Normal 10 2 8" xfId="134" xr:uid="{00000000-0005-0000-0000-0000A3000000}"/>
    <cellStyle name="Normal 11" xfId="135" xr:uid="{00000000-0005-0000-0000-0000A4000000}"/>
    <cellStyle name="Normal 12" xfId="136" xr:uid="{00000000-0005-0000-0000-0000A5000000}"/>
    <cellStyle name="Normal 13" xfId="137" xr:uid="{00000000-0005-0000-0000-0000A6000000}"/>
    <cellStyle name="Normal 14" xfId="138" xr:uid="{00000000-0005-0000-0000-0000A7000000}"/>
    <cellStyle name="Normal 15" xfId="139" xr:uid="{00000000-0005-0000-0000-0000A8000000}"/>
    <cellStyle name="Normal 16" xfId="140" xr:uid="{00000000-0005-0000-0000-0000A9000000}"/>
    <cellStyle name="Normal 17" xfId="141" xr:uid="{00000000-0005-0000-0000-0000AA000000}"/>
    <cellStyle name="Normal 18" xfId="142" xr:uid="{00000000-0005-0000-0000-0000AB000000}"/>
    <cellStyle name="Normal 19" xfId="143" xr:uid="{00000000-0005-0000-0000-0000AC000000}"/>
    <cellStyle name="Normal 2" xfId="10" xr:uid="{00000000-0005-0000-0000-0000AD000000}"/>
    <cellStyle name="Normal 20" xfId="145" xr:uid="{00000000-0005-0000-0000-0000AE000000}"/>
    <cellStyle name="Normal 3" xfId="11" xr:uid="{00000000-0005-0000-0000-0000AF000000}"/>
    <cellStyle name="Normal 3 2" xfId="12" xr:uid="{00000000-0005-0000-0000-0000B0000000}"/>
    <cellStyle name="Normal 3 3" xfId="146" xr:uid="{00000000-0005-0000-0000-0000B1000000}"/>
    <cellStyle name="Normal 4" xfId="13" xr:uid="{00000000-0005-0000-0000-0000B2000000}"/>
    <cellStyle name="Normal 4 2" xfId="14" xr:uid="{00000000-0005-0000-0000-0000B3000000}"/>
    <cellStyle name="Normal 4 3" xfId="147" xr:uid="{00000000-0005-0000-0000-0000B4000000}"/>
    <cellStyle name="Normal 5" xfId="15" xr:uid="{00000000-0005-0000-0000-0000B5000000}"/>
    <cellStyle name="Normal 5 2" xfId="148" xr:uid="{00000000-0005-0000-0000-0000B6000000}"/>
    <cellStyle name="Normal 6" xfId="16" xr:uid="{00000000-0005-0000-0000-0000B7000000}"/>
    <cellStyle name="Normal 6 2" xfId="149" xr:uid="{00000000-0005-0000-0000-0000B8000000}"/>
    <cellStyle name="Normal 7" xfId="150" xr:uid="{00000000-0005-0000-0000-0000B9000000}"/>
    <cellStyle name="Normal 8" xfId="151" xr:uid="{00000000-0005-0000-0000-0000BA000000}"/>
    <cellStyle name="Normal 9" xfId="152" xr:uid="{00000000-0005-0000-0000-0000BB000000}"/>
    <cellStyle name="Note 2" xfId="153" xr:uid="{00000000-0005-0000-0000-0000BC000000}"/>
    <cellStyle name="Note 2 2" xfId="154" xr:uid="{00000000-0005-0000-0000-0000BD000000}"/>
    <cellStyle name="Note 2 3" xfId="155" xr:uid="{00000000-0005-0000-0000-0000BE000000}"/>
    <cellStyle name="Note 2 4" xfId="156" xr:uid="{00000000-0005-0000-0000-0000BF000000}"/>
    <cellStyle name="Note 2 5" xfId="157" xr:uid="{00000000-0005-0000-0000-0000C0000000}"/>
    <cellStyle name="Output 2" xfId="158" xr:uid="{00000000-0005-0000-0000-0000C1000000}"/>
    <cellStyle name="Percent" xfId="3" builtinId="5"/>
    <cellStyle name="Percent [2]" xfId="159" xr:uid="{00000000-0005-0000-0000-0000C3000000}"/>
    <cellStyle name="Percent 2" xfId="17" xr:uid="{00000000-0005-0000-0000-0000C4000000}"/>
    <cellStyle name="Percent 2 2" xfId="161" xr:uid="{00000000-0005-0000-0000-0000C5000000}"/>
    <cellStyle name="Percent 2 3" xfId="160" xr:uid="{00000000-0005-0000-0000-0000C6000000}"/>
    <cellStyle name="Percent 3" xfId="162" xr:uid="{00000000-0005-0000-0000-0000C7000000}"/>
    <cellStyle name="Percent 4" xfId="163" xr:uid="{00000000-0005-0000-0000-0000C8000000}"/>
    <cellStyle name="Percent 5" xfId="164" xr:uid="{00000000-0005-0000-0000-0000C9000000}"/>
    <cellStyle name="SAPBEXaggData" xfId="165" xr:uid="{00000000-0005-0000-0000-0000CA000000}"/>
    <cellStyle name="SAPBEXaggDataEmph" xfId="166" xr:uid="{00000000-0005-0000-0000-0000CB000000}"/>
    <cellStyle name="SAPBEXaggItem" xfId="167" xr:uid="{00000000-0005-0000-0000-0000CC000000}"/>
    <cellStyle name="SAPBEXaggItemX" xfId="168" xr:uid="{00000000-0005-0000-0000-0000CD000000}"/>
    <cellStyle name="SAPBEXchaText" xfId="169" xr:uid="{00000000-0005-0000-0000-0000CE000000}"/>
    <cellStyle name="SAPBEXexcBad7" xfId="170" xr:uid="{00000000-0005-0000-0000-0000CF000000}"/>
    <cellStyle name="SAPBEXexcBad8" xfId="171" xr:uid="{00000000-0005-0000-0000-0000D0000000}"/>
    <cellStyle name="SAPBEXexcBad9" xfId="172" xr:uid="{00000000-0005-0000-0000-0000D1000000}"/>
    <cellStyle name="SAPBEXexcCritical4" xfId="173" xr:uid="{00000000-0005-0000-0000-0000D2000000}"/>
    <cellStyle name="SAPBEXexcCritical5" xfId="174" xr:uid="{00000000-0005-0000-0000-0000D3000000}"/>
    <cellStyle name="SAPBEXexcCritical6" xfId="175" xr:uid="{00000000-0005-0000-0000-0000D4000000}"/>
    <cellStyle name="SAPBEXexcGood1" xfId="176" xr:uid="{00000000-0005-0000-0000-0000D5000000}"/>
    <cellStyle name="SAPBEXexcGood2" xfId="177" xr:uid="{00000000-0005-0000-0000-0000D6000000}"/>
    <cellStyle name="SAPBEXexcGood3" xfId="178" xr:uid="{00000000-0005-0000-0000-0000D7000000}"/>
    <cellStyle name="SAPBEXfilterDrill" xfId="179" xr:uid="{00000000-0005-0000-0000-0000D8000000}"/>
    <cellStyle name="SAPBEXfilterItem" xfId="180" xr:uid="{00000000-0005-0000-0000-0000D9000000}"/>
    <cellStyle name="SAPBEXfilterText" xfId="181" xr:uid="{00000000-0005-0000-0000-0000DA000000}"/>
    <cellStyle name="SAPBEXformats" xfId="182" xr:uid="{00000000-0005-0000-0000-0000DB000000}"/>
    <cellStyle name="SAPBEXheaderItem" xfId="183" xr:uid="{00000000-0005-0000-0000-0000DC000000}"/>
    <cellStyle name="SAPBEXheaderText" xfId="184" xr:uid="{00000000-0005-0000-0000-0000DD000000}"/>
    <cellStyle name="SAPBEXHLevel0" xfId="185" xr:uid="{00000000-0005-0000-0000-0000DE000000}"/>
    <cellStyle name="SAPBEXHLevel0X" xfId="186" xr:uid="{00000000-0005-0000-0000-0000DF000000}"/>
    <cellStyle name="SAPBEXHLevel1" xfId="187" xr:uid="{00000000-0005-0000-0000-0000E0000000}"/>
    <cellStyle name="SAPBEXHLevel1X" xfId="188" xr:uid="{00000000-0005-0000-0000-0000E1000000}"/>
    <cellStyle name="SAPBEXHLevel2" xfId="189" xr:uid="{00000000-0005-0000-0000-0000E2000000}"/>
    <cellStyle name="SAPBEXHLevel2X" xfId="190" xr:uid="{00000000-0005-0000-0000-0000E3000000}"/>
    <cellStyle name="SAPBEXHLevel3" xfId="191" xr:uid="{00000000-0005-0000-0000-0000E4000000}"/>
    <cellStyle name="SAPBEXHLevel3X" xfId="192" xr:uid="{00000000-0005-0000-0000-0000E5000000}"/>
    <cellStyle name="SAPBEXresData" xfId="193" xr:uid="{00000000-0005-0000-0000-0000E6000000}"/>
    <cellStyle name="SAPBEXresDataEmph" xfId="194" xr:uid="{00000000-0005-0000-0000-0000E7000000}"/>
    <cellStyle name="SAPBEXresItem" xfId="195" xr:uid="{00000000-0005-0000-0000-0000E8000000}"/>
    <cellStyle name="SAPBEXresItemX" xfId="196" xr:uid="{00000000-0005-0000-0000-0000E9000000}"/>
    <cellStyle name="SAPBEXstdData" xfId="197" xr:uid="{00000000-0005-0000-0000-0000EA000000}"/>
    <cellStyle name="SAPBEXstdDataEmph" xfId="198" xr:uid="{00000000-0005-0000-0000-0000EB000000}"/>
    <cellStyle name="SAPBEXstdItem" xfId="199" xr:uid="{00000000-0005-0000-0000-0000EC000000}"/>
    <cellStyle name="SAPBEXstdItemX" xfId="200" xr:uid="{00000000-0005-0000-0000-0000ED000000}"/>
    <cellStyle name="SAPBEXtitle" xfId="201" xr:uid="{00000000-0005-0000-0000-0000EE000000}"/>
    <cellStyle name="SAPBEXundefined" xfId="202" xr:uid="{00000000-0005-0000-0000-0000EF000000}"/>
    <cellStyle name="SOPIMS" xfId="203" xr:uid="{00000000-0005-0000-0000-0000F0000000}"/>
    <cellStyle name="Style 1" xfId="204" xr:uid="{00000000-0005-0000-0000-0000F1000000}"/>
    <cellStyle name="Title 2" xfId="205" xr:uid="{00000000-0005-0000-0000-0000F2000000}"/>
    <cellStyle name="Total 2" xfId="206" xr:uid="{00000000-0005-0000-0000-0000F3000000}"/>
    <cellStyle name="Warning Text 2" xfId="207" xr:uid="{00000000-0005-0000-0000-0000F4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503404/OneDrive%20-%20BAT/2022/Monthly%20VM%20Credit%20Allocation/August/Regional%20Reverts/Consolidated_August_2022_Value_Max_Urban_Target_and_Credit_Deploy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503404/OneDrive%20-%20BAT/2022/Monthly%20VM%20Credit%20Allocation/August/Reverts%20-%2012.5/Final%20Full__August_2022_Top_Wholesaler_Activity_Targe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503404/OneDrive%20-%20BAT/2022/Monthly%20VM%20Credit%20Allocation/August/Regional%20Reverts/Consolidated_August_2022_Value_Max_Rural_Target_and_Credit_Deploymen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503256/AppData/Local/Microsoft/Windows/INetCache/Content.Outlook/GP2AUJEY/Urban%20and%20Rural%20Wholesale%20Extra%20Credit%20Template_%20August%202022_Mushin_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"/>
      <sheetName val="SOUTH EAST"/>
      <sheetName val="MIDDLE BELT"/>
      <sheetName val="NORTH"/>
      <sheetName val="OMMITTED CUSTOMERS"/>
      <sheetName val="Overdue Credits"/>
      <sheetName val="August Credit Allocation"/>
      <sheetName val="Brand Prices"/>
    </sheetNames>
    <sheetDataSet>
      <sheetData sheetId="0">
        <row r="9">
          <cell r="C9" t="str">
            <v>LAC3712</v>
          </cell>
          <cell r="D9" t="str">
            <v>SW</v>
          </cell>
          <cell r="E9" t="str">
            <v>Alh. Idiat Olatunji - 2</v>
          </cell>
          <cell r="F9" t="str">
            <v>Bronze</v>
          </cell>
          <cell r="G9">
            <v>80</v>
          </cell>
          <cell r="H9">
            <v>0</v>
          </cell>
          <cell r="I9">
            <v>0</v>
          </cell>
          <cell r="J9">
            <v>23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22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35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17643000</v>
          </cell>
        </row>
        <row r="10">
          <cell r="C10" t="str">
            <v>LAC2292</v>
          </cell>
          <cell r="D10" t="str">
            <v>SW</v>
          </cell>
          <cell r="E10" t="str">
            <v>Iya Tosin</v>
          </cell>
          <cell r="F10" t="str">
            <v>Bronze</v>
          </cell>
          <cell r="G10">
            <v>90</v>
          </cell>
          <cell r="H10">
            <v>0</v>
          </cell>
          <cell r="I10">
            <v>0</v>
          </cell>
          <cell r="J10">
            <v>30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45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19740000</v>
          </cell>
        </row>
        <row r="11">
          <cell r="C11" t="str">
            <v>LAC0666</v>
          </cell>
          <cell r="D11" t="str">
            <v>SW</v>
          </cell>
          <cell r="E11" t="str">
            <v>Iya Mohammed</v>
          </cell>
          <cell r="F11" t="str">
            <v>Bronze</v>
          </cell>
          <cell r="G11">
            <v>80</v>
          </cell>
          <cell r="H11">
            <v>0</v>
          </cell>
          <cell r="I11">
            <v>0</v>
          </cell>
          <cell r="J11">
            <v>50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25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18900000</v>
          </cell>
        </row>
        <row r="12">
          <cell r="C12" t="str">
            <v>CTAK0007</v>
          </cell>
          <cell r="D12" t="str">
            <v>SW</v>
          </cell>
          <cell r="E12" t="str">
            <v>IYABO</v>
          </cell>
          <cell r="F12" t="str">
            <v>Bronze</v>
          </cell>
          <cell r="G12">
            <v>90</v>
          </cell>
          <cell r="H12">
            <v>0</v>
          </cell>
          <cell r="I12">
            <v>0</v>
          </cell>
          <cell r="J12">
            <v>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35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20470000</v>
          </cell>
        </row>
        <row r="13">
          <cell r="C13" t="str">
            <v>LAC2393</v>
          </cell>
          <cell r="D13" t="str">
            <v>SW</v>
          </cell>
          <cell r="E13" t="str">
            <v>NDIGWE SAMUEL TOCHUKWU</v>
          </cell>
          <cell r="F13" t="str">
            <v>Bronze</v>
          </cell>
          <cell r="G13">
            <v>90</v>
          </cell>
          <cell r="H13">
            <v>0</v>
          </cell>
          <cell r="I13">
            <v>0</v>
          </cell>
          <cell r="J13">
            <v>30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45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19740000</v>
          </cell>
        </row>
        <row r="14">
          <cell r="C14" t="str">
            <v>LAC2392</v>
          </cell>
          <cell r="D14" t="str">
            <v>SW</v>
          </cell>
          <cell r="E14" t="str">
            <v>UGWU JONAS EMEKA</v>
          </cell>
          <cell r="F14" t="str">
            <v>Bronze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C15" t="str">
            <v>LAC0073</v>
          </cell>
          <cell r="D15" t="str">
            <v>SW</v>
          </cell>
          <cell r="E15" t="str">
            <v>BABA SODIQ</v>
          </cell>
          <cell r="F15" t="str">
            <v>Bronze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</row>
        <row r="16">
          <cell r="C16" t="str">
            <v>CTAJ0007</v>
          </cell>
          <cell r="D16" t="str">
            <v>SW</v>
          </cell>
          <cell r="E16" t="str">
            <v>ADEJOKE TIJANI</v>
          </cell>
          <cell r="F16" t="str">
            <v>Silver</v>
          </cell>
          <cell r="G16">
            <v>120</v>
          </cell>
          <cell r="H16">
            <v>0</v>
          </cell>
          <cell r="I16">
            <v>0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30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30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28200000</v>
          </cell>
        </row>
        <row r="17">
          <cell r="C17" t="str">
            <v>CTAJ0003</v>
          </cell>
          <cell r="D17" t="str">
            <v>SW</v>
          </cell>
          <cell r="E17" t="str">
            <v>MAMMAH ROSEMARY</v>
          </cell>
          <cell r="F17" t="str">
            <v>Bronze</v>
          </cell>
          <cell r="G17">
            <v>80</v>
          </cell>
          <cell r="H17">
            <v>0</v>
          </cell>
          <cell r="I17">
            <v>0</v>
          </cell>
          <cell r="J17">
            <v>30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35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17860000</v>
          </cell>
        </row>
        <row r="18">
          <cell r="C18" t="str">
            <v>LAC2298</v>
          </cell>
          <cell r="D18" t="str">
            <v>SW</v>
          </cell>
          <cell r="E18" t="str">
            <v>WONUJUWONLO VENTURE</v>
          </cell>
          <cell r="F18" t="str">
            <v>Gold</v>
          </cell>
          <cell r="G18">
            <v>350</v>
          </cell>
          <cell r="H18">
            <v>0</v>
          </cell>
          <cell r="I18">
            <v>0</v>
          </cell>
          <cell r="J18">
            <v>150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50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150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78850000</v>
          </cell>
        </row>
        <row r="19">
          <cell r="C19" t="str">
            <v>LAC1605</v>
          </cell>
          <cell r="D19" t="str">
            <v>SW</v>
          </cell>
          <cell r="E19" t="str">
            <v>Iya Faidat Trading Stores</v>
          </cell>
          <cell r="F19" t="str">
            <v>Bronze</v>
          </cell>
          <cell r="G19">
            <v>100</v>
          </cell>
          <cell r="H19">
            <v>0</v>
          </cell>
          <cell r="I19">
            <v>0</v>
          </cell>
          <cell r="J19">
            <v>50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30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23290000</v>
          </cell>
        </row>
        <row r="20">
          <cell r="C20" t="str">
            <v>LAC0281</v>
          </cell>
          <cell r="D20" t="str">
            <v>SW</v>
          </cell>
          <cell r="E20" t="str">
            <v>Esther Jimoh</v>
          </cell>
          <cell r="F20" t="str">
            <v>Silver</v>
          </cell>
          <cell r="G20">
            <v>120</v>
          </cell>
          <cell r="H20">
            <v>0</v>
          </cell>
          <cell r="I20">
            <v>0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30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30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28200000</v>
          </cell>
        </row>
        <row r="21">
          <cell r="C21" t="str">
            <v>CTAH0017</v>
          </cell>
          <cell r="D21" t="str">
            <v>SW</v>
          </cell>
          <cell r="E21" t="str">
            <v>IYA OPE</v>
          </cell>
          <cell r="F21" t="str">
            <v>Silver</v>
          </cell>
          <cell r="G21">
            <v>80</v>
          </cell>
          <cell r="H21">
            <v>0</v>
          </cell>
          <cell r="I21">
            <v>0</v>
          </cell>
          <cell r="J21">
            <v>40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20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18800000</v>
          </cell>
        </row>
        <row r="22">
          <cell r="C22" t="str">
            <v>CTAH0003</v>
          </cell>
          <cell r="D22" t="str">
            <v>SW</v>
          </cell>
          <cell r="E22" t="str">
            <v>KEMI SOLOLA</v>
          </cell>
          <cell r="F22" t="str">
            <v>Platinum Plus</v>
          </cell>
          <cell r="G22">
            <v>1320</v>
          </cell>
          <cell r="H22">
            <v>0</v>
          </cell>
          <cell r="I22">
            <v>0</v>
          </cell>
          <cell r="J22">
            <v>720</v>
          </cell>
          <cell r="K22">
            <v>20</v>
          </cell>
          <cell r="L22">
            <v>0</v>
          </cell>
          <cell r="M22">
            <v>0</v>
          </cell>
          <cell r="N22">
            <v>0</v>
          </cell>
          <cell r="O22">
            <v>150</v>
          </cell>
          <cell r="P22">
            <v>5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</v>
          </cell>
          <cell r="W22">
            <v>12</v>
          </cell>
          <cell r="X22">
            <v>400</v>
          </cell>
          <cell r="Y22">
            <v>10</v>
          </cell>
          <cell r="Z22">
            <v>0</v>
          </cell>
          <cell r="AA22">
            <v>0</v>
          </cell>
          <cell r="AB22">
            <v>0</v>
          </cell>
          <cell r="AC22">
            <v>305250000</v>
          </cell>
        </row>
        <row r="23">
          <cell r="C23" t="str">
            <v>LAC3860</v>
          </cell>
          <cell r="D23" t="str">
            <v>SW</v>
          </cell>
          <cell r="E23" t="str">
            <v>Solid Ventures</v>
          </cell>
          <cell r="F23" t="str">
            <v>Silver</v>
          </cell>
          <cell r="G23">
            <v>120</v>
          </cell>
          <cell r="H23">
            <v>0</v>
          </cell>
          <cell r="I23">
            <v>0</v>
          </cell>
          <cell r="J23">
            <v>70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20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28930000</v>
          </cell>
        </row>
        <row r="24">
          <cell r="C24" t="str">
            <v>LAC3675</v>
          </cell>
          <cell r="D24" t="str">
            <v>SW</v>
          </cell>
          <cell r="E24" t="str">
            <v>Holy water Universal</v>
          </cell>
          <cell r="F24" t="str">
            <v>Bronze</v>
          </cell>
          <cell r="G24">
            <v>80</v>
          </cell>
          <cell r="H24">
            <v>0</v>
          </cell>
          <cell r="I24">
            <v>0</v>
          </cell>
          <cell r="J24">
            <v>40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20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20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18800000</v>
          </cell>
        </row>
        <row r="25">
          <cell r="C25" t="str">
            <v>SWC2850</v>
          </cell>
          <cell r="D25" t="str">
            <v>SW</v>
          </cell>
          <cell r="E25" t="str">
            <v>Modester Ube</v>
          </cell>
          <cell r="F25" t="str">
            <v>Bronze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C26" t="str">
            <v>SWC2335</v>
          </cell>
          <cell r="D26" t="str">
            <v>SW</v>
          </cell>
          <cell r="E26" t="str">
            <v>Okafor Iloke</v>
          </cell>
          <cell r="F26" t="str">
            <v>Silver</v>
          </cell>
          <cell r="G26">
            <v>180</v>
          </cell>
          <cell r="H26">
            <v>0</v>
          </cell>
          <cell r="I26">
            <v>0</v>
          </cell>
          <cell r="J26">
            <v>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P26">
            <v>60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45120000</v>
          </cell>
        </row>
        <row r="27">
          <cell r="C27" t="str">
            <v>WCFA000223</v>
          </cell>
          <cell r="D27" t="str">
            <v>SW</v>
          </cell>
          <cell r="E27" t="str">
            <v>St.Judes Stores</v>
          </cell>
          <cell r="F27" t="str">
            <v>Gold</v>
          </cell>
          <cell r="G27">
            <v>300</v>
          </cell>
          <cell r="H27">
            <v>0</v>
          </cell>
          <cell r="I27">
            <v>0</v>
          </cell>
          <cell r="J27">
            <v>80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80</v>
          </cell>
          <cell r="P27">
            <v>80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60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71440000</v>
          </cell>
        </row>
        <row r="28">
          <cell r="C28" t="str">
            <v>WCFA000220</v>
          </cell>
          <cell r="D28" t="str">
            <v>SW</v>
          </cell>
          <cell r="E28" t="str">
            <v>Mc Igwe</v>
          </cell>
          <cell r="F28" t="str">
            <v>Gold</v>
          </cell>
          <cell r="G28">
            <v>300</v>
          </cell>
          <cell r="H28">
            <v>0</v>
          </cell>
          <cell r="I28">
            <v>0</v>
          </cell>
          <cell r="J28">
            <v>80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80</v>
          </cell>
          <cell r="P28">
            <v>80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60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71440000</v>
          </cell>
        </row>
        <row r="29">
          <cell r="C29" t="str">
            <v>WCFA000218</v>
          </cell>
          <cell r="D29" t="str">
            <v>SW</v>
          </cell>
          <cell r="E29" t="str">
            <v>Kelechi Store</v>
          </cell>
          <cell r="F29" t="str">
            <v>Gold</v>
          </cell>
          <cell r="G29">
            <v>300</v>
          </cell>
          <cell r="H29">
            <v>0</v>
          </cell>
          <cell r="I29">
            <v>0</v>
          </cell>
          <cell r="J29">
            <v>80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80</v>
          </cell>
          <cell r="P29">
            <v>80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60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71440000</v>
          </cell>
        </row>
        <row r="30">
          <cell r="C30" t="str">
            <v>WCFA000208</v>
          </cell>
          <cell r="D30" t="str">
            <v>SW</v>
          </cell>
          <cell r="E30" t="str">
            <v>Alhaja Lateef Ayisat</v>
          </cell>
          <cell r="F30" t="str">
            <v>Platinum Plus</v>
          </cell>
          <cell r="G30">
            <v>1000</v>
          </cell>
          <cell r="H30">
            <v>0</v>
          </cell>
          <cell r="I30">
            <v>0</v>
          </cell>
          <cell r="J30">
            <v>450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100</v>
          </cell>
          <cell r="P30">
            <v>400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50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254250000</v>
          </cell>
        </row>
        <row r="31">
          <cell r="C31" t="str">
            <v>WCFA000177</v>
          </cell>
          <cell r="D31" t="str">
            <v>SW</v>
          </cell>
          <cell r="E31" t="str">
            <v>Samuel Ube</v>
          </cell>
          <cell r="F31" t="str">
            <v>Gold</v>
          </cell>
          <cell r="G31">
            <v>250</v>
          </cell>
          <cell r="H31">
            <v>0</v>
          </cell>
          <cell r="I31">
            <v>0</v>
          </cell>
          <cell r="J31">
            <v>80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80</v>
          </cell>
          <cell r="P31">
            <v>80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10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62040000</v>
          </cell>
        </row>
        <row r="32">
          <cell r="C32" t="str">
            <v>SWC1390</v>
          </cell>
          <cell r="D32" t="str">
            <v>SW</v>
          </cell>
          <cell r="E32" t="str">
            <v>Selfas Merchandise Ent.</v>
          </cell>
          <cell r="F32" t="str">
            <v>Silver</v>
          </cell>
          <cell r="G32">
            <v>130</v>
          </cell>
          <cell r="H32">
            <v>0</v>
          </cell>
          <cell r="I32">
            <v>0</v>
          </cell>
          <cell r="J32">
            <v>60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10</v>
          </cell>
          <cell r="P32">
            <v>60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33620000</v>
          </cell>
        </row>
        <row r="33">
          <cell r="C33" t="str">
            <v>SWC3412</v>
          </cell>
          <cell r="D33" t="str">
            <v>SW</v>
          </cell>
          <cell r="E33" t="str">
            <v>Forza Buffalo Investment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C34" t="str">
            <v>LAC3572</v>
          </cell>
          <cell r="D34" t="str">
            <v>SW</v>
          </cell>
          <cell r="E34" t="str">
            <v>IYA KOKORO</v>
          </cell>
          <cell r="F34" t="str">
            <v>Bronze</v>
          </cell>
          <cell r="G34">
            <v>75</v>
          </cell>
          <cell r="H34">
            <v>0</v>
          </cell>
          <cell r="I34">
            <v>0</v>
          </cell>
          <cell r="J34">
            <v>13</v>
          </cell>
          <cell r="K34">
            <v>2</v>
          </cell>
          <cell r="L34">
            <v>2</v>
          </cell>
          <cell r="M34">
            <v>0</v>
          </cell>
          <cell r="N34">
            <v>0</v>
          </cell>
          <cell r="O34">
            <v>22</v>
          </cell>
          <cell r="P34">
            <v>5</v>
          </cell>
          <cell r="Q34">
            <v>0</v>
          </cell>
          <cell r="R34">
            <v>1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30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16242000</v>
          </cell>
        </row>
        <row r="35">
          <cell r="C35" t="str">
            <v>LAC3519</v>
          </cell>
          <cell r="D35" t="str">
            <v>SW</v>
          </cell>
          <cell r="E35" t="str">
            <v>T.H. NIG. Enterprises</v>
          </cell>
          <cell r="F35" t="str">
            <v>Bronze</v>
          </cell>
          <cell r="G35">
            <v>70</v>
          </cell>
          <cell r="H35">
            <v>0</v>
          </cell>
          <cell r="I35">
            <v>0</v>
          </cell>
          <cell r="J35">
            <v>10</v>
          </cell>
          <cell r="K35">
            <v>2</v>
          </cell>
          <cell r="L35">
            <v>2</v>
          </cell>
          <cell r="M35">
            <v>0</v>
          </cell>
          <cell r="N35">
            <v>0</v>
          </cell>
          <cell r="O35">
            <v>15</v>
          </cell>
          <cell r="P35">
            <v>0</v>
          </cell>
          <cell r="Q35">
            <v>0</v>
          </cell>
          <cell r="R35">
            <v>1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40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14424000</v>
          </cell>
        </row>
        <row r="36">
          <cell r="C36" t="str">
            <v>LAC3531</v>
          </cell>
          <cell r="D36" t="str">
            <v>SW</v>
          </cell>
          <cell r="E36" t="str">
            <v>CHUKWU EMERIE Stores Limited</v>
          </cell>
          <cell r="F36" t="str">
            <v>Gold</v>
          </cell>
          <cell r="G36">
            <v>285</v>
          </cell>
          <cell r="H36">
            <v>0</v>
          </cell>
          <cell r="I36">
            <v>0</v>
          </cell>
          <cell r="J36">
            <v>35</v>
          </cell>
          <cell r="K36">
            <v>4</v>
          </cell>
          <cell r="L36">
            <v>40</v>
          </cell>
          <cell r="M36">
            <v>0</v>
          </cell>
          <cell r="N36">
            <v>0</v>
          </cell>
          <cell r="O36">
            <v>55</v>
          </cell>
          <cell r="P36">
            <v>25</v>
          </cell>
          <cell r="Q36">
            <v>0</v>
          </cell>
          <cell r="R36">
            <v>10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115</v>
          </cell>
          <cell r="Y36">
            <v>1</v>
          </cell>
          <cell r="Z36">
            <v>0</v>
          </cell>
          <cell r="AA36">
            <v>0</v>
          </cell>
          <cell r="AB36">
            <v>0</v>
          </cell>
          <cell r="AC36">
            <v>59183000</v>
          </cell>
        </row>
        <row r="37">
          <cell r="C37" t="str">
            <v>LAC3368</v>
          </cell>
          <cell r="D37" t="str">
            <v>SW</v>
          </cell>
          <cell r="E37" t="str">
            <v>FLORENCE AGBOOLA</v>
          </cell>
          <cell r="F37" t="str">
            <v>Bronze</v>
          </cell>
          <cell r="G37">
            <v>70</v>
          </cell>
          <cell r="H37">
            <v>0</v>
          </cell>
          <cell r="I37">
            <v>0</v>
          </cell>
          <cell r="J37">
            <v>12</v>
          </cell>
          <cell r="K37">
            <v>0</v>
          </cell>
          <cell r="L37">
            <v>1</v>
          </cell>
          <cell r="M37">
            <v>0</v>
          </cell>
          <cell r="N37">
            <v>0</v>
          </cell>
          <cell r="O37">
            <v>20</v>
          </cell>
          <cell r="P37">
            <v>3</v>
          </cell>
          <cell r="Q37">
            <v>0</v>
          </cell>
          <cell r="R37">
            <v>2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32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14994000</v>
          </cell>
        </row>
        <row r="38">
          <cell r="C38" t="str">
            <v>LAC2268</v>
          </cell>
          <cell r="D38" t="str">
            <v>SW</v>
          </cell>
          <cell r="E38" t="str">
            <v>Ibrahim Yahaya</v>
          </cell>
          <cell r="F38" t="str">
            <v>Silver</v>
          </cell>
          <cell r="G38">
            <v>145</v>
          </cell>
          <cell r="H38">
            <v>0</v>
          </cell>
          <cell r="I38">
            <v>0</v>
          </cell>
          <cell r="J38">
            <v>26</v>
          </cell>
          <cell r="K38">
            <v>4</v>
          </cell>
          <cell r="L38">
            <v>5</v>
          </cell>
          <cell r="M38">
            <v>0</v>
          </cell>
          <cell r="N38">
            <v>0</v>
          </cell>
          <cell r="O38">
            <v>40</v>
          </cell>
          <cell r="P38">
            <v>10</v>
          </cell>
          <cell r="Q38">
            <v>0</v>
          </cell>
          <cell r="R38">
            <v>10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50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31011000</v>
          </cell>
        </row>
        <row r="39">
          <cell r="C39" t="str">
            <v>LAC2259</v>
          </cell>
          <cell r="D39" t="str">
            <v>SW</v>
          </cell>
          <cell r="E39" t="str">
            <v>MOHAMED ALI</v>
          </cell>
          <cell r="F39" t="str">
            <v>Silver</v>
          </cell>
          <cell r="G39">
            <v>135</v>
          </cell>
          <cell r="H39">
            <v>0</v>
          </cell>
          <cell r="I39">
            <v>0</v>
          </cell>
          <cell r="J39">
            <v>22</v>
          </cell>
          <cell r="K39">
            <v>3</v>
          </cell>
          <cell r="L39">
            <v>5</v>
          </cell>
          <cell r="M39">
            <v>0</v>
          </cell>
          <cell r="N39">
            <v>0</v>
          </cell>
          <cell r="O39">
            <v>35</v>
          </cell>
          <cell r="P39">
            <v>10</v>
          </cell>
          <cell r="Q39">
            <v>0</v>
          </cell>
          <cell r="R39">
            <v>4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55</v>
          </cell>
          <cell r="Y39">
            <v>1</v>
          </cell>
          <cell r="Z39">
            <v>0</v>
          </cell>
          <cell r="AA39">
            <v>0</v>
          </cell>
          <cell r="AB39">
            <v>0</v>
          </cell>
          <cell r="AC39">
            <v>28831000</v>
          </cell>
        </row>
        <row r="40">
          <cell r="C40" t="str">
            <v>LAC2258</v>
          </cell>
          <cell r="D40" t="str">
            <v>SW</v>
          </cell>
          <cell r="E40" t="str">
            <v>IYA AHMED FALY</v>
          </cell>
          <cell r="F40" t="str">
            <v>Bronze</v>
          </cell>
          <cell r="G40">
            <v>70</v>
          </cell>
          <cell r="H40">
            <v>0</v>
          </cell>
          <cell r="I40">
            <v>0</v>
          </cell>
          <cell r="J40">
            <v>10</v>
          </cell>
          <cell r="K40">
            <v>0</v>
          </cell>
          <cell r="L40">
            <v>5</v>
          </cell>
          <cell r="M40">
            <v>0</v>
          </cell>
          <cell r="N40">
            <v>0</v>
          </cell>
          <cell r="O40">
            <v>15</v>
          </cell>
          <cell r="P40">
            <v>0</v>
          </cell>
          <cell r="Q40">
            <v>0</v>
          </cell>
          <cell r="R40">
            <v>5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35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14235000</v>
          </cell>
        </row>
        <row r="41">
          <cell r="C41" t="str">
            <v>LAC2254</v>
          </cell>
          <cell r="D41" t="str">
            <v>SW</v>
          </cell>
          <cell r="E41" t="str">
            <v>GEOMAN OKUMA (GM)</v>
          </cell>
          <cell r="F41" t="str">
            <v>Silver</v>
          </cell>
          <cell r="G41">
            <v>130</v>
          </cell>
          <cell r="H41">
            <v>0</v>
          </cell>
          <cell r="I41">
            <v>0</v>
          </cell>
          <cell r="J41">
            <v>15</v>
          </cell>
          <cell r="K41">
            <v>2</v>
          </cell>
          <cell r="L41">
            <v>10</v>
          </cell>
          <cell r="M41">
            <v>0</v>
          </cell>
          <cell r="N41">
            <v>0</v>
          </cell>
          <cell r="O41">
            <v>30</v>
          </cell>
          <cell r="P41">
            <v>5</v>
          </cell>
          <cell r="Q41">
            <v>0</v>
          </cell>
          <cell r="R41">
            <v>5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60</v>
          </cell>
          <cell r="Y41">
            <v>3</v>
          </cell>
          <cell r="Z41">
            <v>0</v>
          </cell>
          <cell r="AA41">
            <v>0</v>
          </cell>
          <cell r="AB41">
            <v>0</v>
          </cell>
          <cell r="AC41">
            <v>26559000</v>
          </cell>
        </row>
        <row r="42">
          <cell r="C42" t="str">
            <v>LAC2253</v>
          </cell>
          <cell r="D42" t="str">
            <v>SW</v>
          </cell>
          <cell r="E42" t="str">
            <v>EDWIN ONWUAMAIZU</v>
          </cell>
          <cell r="F42" t="str">
            <v>Silver</v>
          </cell>
          <cell r="G42">
            <v>130</v>
          </cell>
          <cell r="H42">
            <v>0</v>
          </cell>
          <cell r="I42">
            <v>0</v>
          </cell>
          <cell r="J42">
            <v>27</v>
          </cell>
          <cell r="K42">
            <v>5</v>
          </cell>
          <cell r="L42">
            <v>5</v>
          </cell>
          <cell r="M42">
            <v>0</v>
          </cell>
          <cell r="N42">
            <v>0</v>
          </cell>
          <cell r="O42">
            <v>30</v>
          </cell>
          <cell r="P42">
            <v>10</v>
          </cell>
          <cell r="Q42">
            <v>0</v>
          </cell>
          <cell r="R42">
            <v>10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43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27831000</v>
          </cell>
        </row>
        <row r="43">
          <cell r="C43" t="str">
            <v>LAC2143</v>
          </cell>
          <cell r="D43" t="str">
            <v>SW</v>
          </cell>
          <cell r="E43" t="str">
            <v>IYA PETER (MRS AFOLABI)</v>
          </cell>
          <cell r="F43" t="str">
            <v>Bronze</v>
          </cell>
          <cell r="G43">
            <v>75</v>
          </cell>
          <cell r="H43">
            <v>0</v>
          </cell>
          <cell r="I43">
            <v>0</v>
          </cell>
          <cell r="J43">
            <v>15</v>
          </cell>
          <cell r="K43">
            <v>2</v>
          </cell>
          <cell r="L43">
            <v>3</v>
          </cell>
          <cell r="M43">
            <v>0</v>
          </cell>
          <cell r="N43">
            <v>0</v>
          </cell>
          <cell r="O43">
            <v>20</v>
          </cell>
          <cell r="P43">
            <v>5</v>
          </cell>
          <cell r="Q43">
            <v>0</v>
          </cell>
          <cell r="R43">
            <v>5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25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16115000</v>
          </cell>
        </row>
        <row r="44">
          <cell r="C44" t="str">
            <v>LAC2255</v>
          </cell>
          <cell r="D44" t="str">
            <v>SW</v>
          </cell>
          <cell r="E44" t="str">
            <v>IYA LATEFATH OLAITAN</v>
          </cell>
          <cell r="F44" t="str">
            <v>Silver</v>
          </cell>
          <cell r="G44">
            <v>120</v>
          </cell>
          <cell r="H44">
            <v>0</v>
          </cell>
          <cell r="I44">
            <v>0</v>
          </cell>
          <cell r="J44">
            <v>15</v>
          </cell>
          <cell r="K44">
            <v>2</v>
          </cell>
          <cell r="L44">
            <v>2</v>
          </cell>
          <cell r="M44">
            <v>0</v>
          </cell>
          <cell r="N44">
            <v>0</v>
          </cell>
          <cell r="O44">
            <v>33</v>
          </cell>
          <cell r="P44">
            <v>5</v>
          </cell>
          <cell r="Q44">
            <v>0</v>
          </cell>
          <cell r="R44">
            <v>5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55</v>
          </cell>
          <cell r="Y44">
            <v>3</v>
          </cell>
          <cell r="Z44">
            <v>0</v>
          </cell>
          <cell r="AA44">
            <v>0</v>
          </cell>
          <cell r="AB44">
            <v>0</v>
          </cell>
          <cell r="AC44">
            <v>24909000</v>
          </cell>
        </row>
        <row r="45">
          <cell r="C45" t="str">
            <v>LAC1472</v>
          </cell>
          <cell r="D45" t="str">
            <v>SW</v>
          </cell>
          <cell r="E45" t="str">
            <v>King Joe Incorporation</v>
          </cell>
          <cell r="F45" t="str">
            <v>Silver</v>
          </cell>
          <cell r="G45">
            <v>145</v>
          </cell>
          <cell r="H45">
            <v>0</v>
          </cell>
          <cell r="I45">
            <v>0</v>
          </cell>
          <cell r="J45">
            <v>25</v>
          </cell>
          <cell r="K45">
            <v>5</v>
          </cell>
          <cell r="L45">
            <v>10</v>
          </cell>
          <cell r="M45">
            <v>0</v>
          </cell>
          <cell r="N45">
            <v>0</v>
          </cell>
          <cell r="O45">
            <v>40</v>
          </cell>
          <cell r="P45">
            <v>10</v>
          </cell>
          <cell r="Q45">
            <v>0</v>
          </cell>
          <cell r="R45">
            <v>10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45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30860000</v>
          </cell>
        </row>
        <row r="46">
          <cell r="C46" t="str">
            <v>CTAN0012</v>
          </cell>
          <cell r="D46" t="str">
            <v>SW</v>
          </cell>
          <cell r="E46" t="str">
            <v>RASHIDAT OLAJIDE (Fauzat)</v>
          </cell>
          <cell r="F46" t="str">
            <v>Silver</v>
          </cell>
          <cell r="G46">
            <v>120</v>
          </cell>
          <cell r="H46">
            <v>0</v>
          </cell>
          <cell r="I46">
            <v>0</v>
          </cell>
          <cell r="J46">
            <v>30</v>
          </cell>
          <cell r="K46">
            <v>5</v>
          </cell>
          <cell r="L46">
            <v>4</v>
          </cell>
          <cell r="M46">
            <v>0</v>
          </cell>
          <cell r="N46">
            <v>0</v>
          </cell>
          <cell r="O46">
            <v>30</v>
          </cell>
          <cell r="P46">
            <v>6</v>
          </cell>
          <cell r="Q46">
            <v>0</v>
          </cell>
          <cell r="R46">
            <v>5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40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26111000</v>
          </cell>
        </row>
        <row r="47">
          <cell r="C47" t="str">
            <v>CTAN0011</v>
          </cell>
          <cell r="D47" t="str">
            <v>SW</v>
          </cell>
          <cell r="E47" t="str">
            <v>NIKE OLADIPO</v>
          </cell>
          <cell r="F47" t="str">
            <v>Silver</v>
          </cell>
          <cell r="G47">
            <v>125</v>
          </cell>
          <cell r="H47">
            <v>0</v>
          </cell>
          <cell r="I47">
            <v>0</v>
          </cell>
          <cell r="J47">
            <v>20</v>
          </cell>
          <cell r="K47">
            <v>2</v>
          </cell>
          <cell r="L47">
            <v>5</v>
          </cell>
          <cell r="M47">
            <v>0</v>
          </cell>
          <cell r="N47">
            <v>0</v>
          </cell>
          <cell r="O47">
            <v>35</v>
          </cell>
          <cell r="P47">
            <v>10</v>
          </cell>
          <cell r="Q47">
            <v>0</v>
          </cell>
          <cell r="R47">
            <v>5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48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26849000</v>
          </cell>
        </row>
        <row r="48">
          <cell r="C48" t="str">
            <v>CTAN0008</v>
          </cell>
          <cell r="D48" t="str">
            <v>SW</v>
          </cell>
          <cell r="E48" t="str">
            <v>WASIU SILIFAT</v>
          </cell>
          <cell r="F48" t="str">
            <v>Silver</v>
          </cell>
          <cell r="G48">
            <v>125</v>
          </cell>
          <cell r="H48">
            <v>0</v>
          </cell>
          <cell r="I48">
            <v>0</v>
          </cell>
          <cell r="J48">
            <v>25</v>
          </cell>
          <cell r="K48">
            <v>2</v>
          </cell>
          <cell r="L48">
            <v>5</v>
          </cell>
          <cell r="M48">
            <v>0</v>
          </cell>
          <cell r="N48">
            <v>0</v>
          </cell>
          <cell r="O48">
            <v>35</v>
          </cell>
          <cell r="P48">
            <v>5</v>
          </cell>
          <cell r="Q48">
            <v>0</v>
          </cell>
          <cell r="R48">
            <v>2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51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26981000</v>
          </cell>
        </row>
        <row r="49">
          <cell r="C49" t="str">
            <v>CTAN0007</v>
          </cell>
          <cell r="D49" t="str">
            <v>SW</v>
          </cell>
          <cell r="E49" t="str">
            <v>OYEDIJO MIKAILA</v>
          </cell>
          <cell r="F49" t="str">
            <v>Bronze</v>
          </cell>
          <cell r="G49">
            <v>70</v>
          </cell>
          <cell r="H49">
            <v>0</v>
          </cell>
          <cell r="I49">
            <v>0</v>
          </cell>
          <cell r="J49">
            <v>15</v>
          </cell>
          <cell r="K49">
            <v>1</v>
          </cell>
          <cell r="L49">
            <v>2</v>
          </cell>
          <cell r="M49">
            <v>0</v>
          </cell>
          <cell r="N49">
            <v>0</v>
          </cell>
          <cell r="O49">
            <v>20</v>
          </cell>
          <cell r="P49">
            <v>5</v>
          </cell>
          <cell r="Q49">
            <v>0</v>
          </cell>
          <cell r="R49">
            <v>2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25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15333000</v>
          </cell>
        </row>
        <row r="50">
          <cell r="C50" t="str">
            <v>CTAN0004</v>
          </cell>
          <cell r="D50" t="str">
            <v>SW</v>
          </cell>
          <cell r="E50" t="str">
            <v>GBOSHE OLATUNJI</v>
          </cell>
          <cell r="F50" t="str">
            <v>Bronze</v>
          </cell>
          <cell r="G50">
            <v>80</v>
          </cell>
          <cell r="H50">
            <v>0</v>
          </cell>
          <cell r="I50">
            <v>0</v>
          </cell>
          <cell r="J50">
            <v>15</v>
          </cell>
          <cell r="K50">
            <v>0</v>
          </cell>
          <cell r="L50">
            <v>5</v>
          </cell>
          <cell r="M50">
            <v>0</v>
          </cell>
          <cell r="N50">
            <v>0</v>
          </cell>
          <cell r="O50">
            <v>21</v>
          </cell>
          <cell r="P50">
            <v>5</v>
          </cell>
          <cell r="Q50">
            <v>0</v>
          </cell>
          <cell r="R50">
            <v>4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30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17141000</v>
          </cell>
        </row>
        <row r="51">
          <cell r="C51" t="str">
            <v>LAC4043</v>
          </cell>
          <cell r="D51" t="str">
            <v>SW</v>
          </cell>
          <cell r="E51" t="str">
            <v>Maurice Chibueze</v>
          </cell>
          <cell r="F51" t="str">
            <v>Bronze</v>
          </cell>
          <cell r="G51">
            <v>80</v>
          </cell>
          <cell r="H51">
            <v>0</v>
          </cell>
          <cell r="I51">
            <v>0</v>
          </cell>
          <cell r="J51">
            <v>20</v>
          </cell>
          <cell r="K51">
            <v>4</v>
          </cell>
          <cell r="L51">
            <v>3</v>
          </cell>
          <cell r="M51">
            <v>0</v>
          </cell>
          <cell r="N51">
            <v>0</v>
          </cell>
          <cell r="O51">
            <v>20</v>
          </cell>
          <cell r="P51">
            <v>0</v>
          </cell>
          <cell r="Q51">
            <v>0</v>
          </cell>
          <cell r="R51">
            <v>5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25</v>
          </cell>
          <cell r="Y51">
            <v>3</v>
          </cell>
          <cell r="Z51">
            <v>0</v>
          </cell>
          <cell r="AA51">
            <v>0</v>
          </cell>
          <cell r="AB51">
            <v>0</v>
          </cell>
          <cell r="AC51">
            <v>16804000</v>
          </cell>
        </row>
        <row r="52">
          <cell r="C52" t="str">
            <v>LAC4068</v>
          </cell>
          <cell r="D52" t="str">
            <v>SW</v>
          </cell>
          <cell r="E52" t="str">
            <v>Ariwoayo Safiat</v>
          </cell>
          <cell r="F52" t="str">
            <v>Bronze</v>
          </cell>
          <cell r="G52">
            <v>80</v>
          </cell>
          <cell r="H52">
            <v>0</v>
          </cell>
          <cell r="I52">
            <v>0</v>
          </cell>
          <cell r="J52">
            <v>25</v>
          </cell>
          <cell r="K52">
            <v>5</v>
          </cell>
          <cell r="L52">
            <v>2</v>
          </cell>
          <cell r="M52">
            <v>0</v>
          </cell>
          <cell r="N52">
            <v>0</v>
          </cell>
          <cell r="O52">
            <v>20</v>
          </cell>
          <cell r="P52">
            <v>5</v>
          </cell>
          <cell r="Q52">
            <v>0</v>
          </cell>
          <cell r="R52">
            <v>3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20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17847000</v>
          </cell>
        </row>
        <row r="53">
          <cell r="C53" t="str">
            <v>LAC4090</v>
          </cell>
          <cell r="D53" t="str">
            <v>SW</v>
          </cell>
          <cell r="E53" t="str">
            <v>David Store</v>
          </cell>
          <cell r="F53" t="str">
            <v>Bronze</v>
          </cell>
          <cell r="G53">
            <v>75</v>
          </cell>
          <cell r="H53">
            <v>0</v>
          </cell>
          <cell r="I53">
            <v>0</v>
          </cell>
          <cell r="J53">
            <v>12</v>
          </cell>
          <cell r="K53">
            <v>1</v>
          </cell>
          <cell r="L53">
            <v>5</v>
          </cell>
          <cell r="M53">
            <v>0</v>
          </cell>
          <cell r="N53">
            <v>0</v>
          </cell>
          <cell r="O53">
            <v>23</v>
          </cell>
          <cell r="P53">
            <v>5</v>
          </cell>
          <cell r="Q53">
            <v>0</v>
          </cell>
          <cell r="R53">
            <v>2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16141000</v>
          </cell>
        </row>
        <row r="54">
          <cell r="C54" t="str">
            <v>LAC3496</v>
          </cell>
          <cell r="D54" t="str">
            <v>SW</v>
          </cell>
          <cell r="E54" t="str">
            <v>Means Communications Limited</v>
          </cell>
          <cell r="F54" t="str">
            <v>Probation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C55" t="str">
            <v>CTAP0019</v>
          </cell>
          <cell r="D55" t="str">
            <v>SW</v>
          </cell>
          <cell r="E55" t="str">
            <v>NAB NIG. ENTERPRISES</v>
          </cell>
          <cell r="F55" t="str">
            <v>Bronze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C56" t="str">
            <v>SWC1102</v>
          </cell>
          <cell r="D56" t="str">
            <v>SW</v>
          </cell>
          <cell r="E56" t="str">
            <v>Alhaja Mosadoluwa</v>
          </cell>
          <cell r="F56" t="str">
            <v>Bronze</v>
          </cell>
          <cell r="G56">
            <v>85</v>
          </cell>
          <cell r="H56">
            <v>0</v>
          </cell>
          <cell r="I56">
            <v>0</v>
          </cell>
          <cell r="J56">
            <v>5</v>
          </cell>
          <cell r="K56">
            <v>2</v>
          </cell>
          <cell r="L56">
            <v>5</v>
          </cell>
          <cell r="M56">
            <v>0</v>
          </cell>
          <cell r="N56">
            <v>0</v>
          </cell>
          <cell r="O56">
            <v>30</v>
          </cell>
          <cell r="P56">
            <v>4</v>
          </cell>
          <cell r="Q56">
            <v>0</v>
          </cell>
          <cell r="R56">
            <v>7</v>
          </cell>
          <cell r="S56">
            <v>0</v>
          </cell>
          <cell r="T56">
            <v>0</v>
          </cell>
          <cell r="U56">
            <v>0</v>
          </cell>
          <cell r="V56">
            <v>2</v>
          </cell>
          <cell r="W56">
            <v>2</v>
          </cell>
          <cell r="X56">
            <v>26</v>
          </cell>
          <cell r="Y56">
            <v>2</v>
          </cell>
          <cell r="Z56">
            <v>0</v>
          </cell>
          <cell r="AA56">
            <v>0</v>
          </cell>
          <cell r="AB56">
            <v>0</v>
          </cell>
          <cell r="AC56">
            <v>17048000</v>
          </cell>
        </row>
        <row r="57">
          <cell r="C57" t="str">
            <v>WCFA000054</v>
          </cell>
          <cell r="D57" t="str">
            <v>SW</v>
          </cell>
          <cell r="E57" t="str">
            <v>Funmi Idowu</v>
          </cell>
          <cell r="F57" t="str">
            <v>Bronze</v>
          </cell>
          <cell r="G57">
            <v>90</v>
          </cell>
          <cell r="H57">
            <v>0</v>
          </cell>
          <cell r="I57">
            <v>0</v>
          </cell>
          <cell r="J57">
            <v>5</v>
          </cell>
          <cell r="K57">
            <v>2</v>
          </cell>
          <cell r="L57">
            <v>5</v>
          </cell>
          <cell r="M57">
            <v>0</v>
          </cell>
          <cell r="N57">
            <v>0</v>
          </cell>
          <cell r="O57">
            <v>35</v>
          </cell>
          <cell r="P57">
            <v>4</v>
          </cell>
          <cell r="Q57">
            <v>0</v>
          </cell>
          <cell r="R57">
            <v>6</v>
          </cell>
          <cell r="S57">
            <v>0</v>
          </cell>
          <cell r="T57">
            <v>0</v>
          </cell>
          <cell r="U57">
            <v>0</v>
          </cell>
          <cell r="V57">
            <v>2</v>
          </cell>
          <cell r="W57">
            <v>5</v>
          </cell>
          <cell r="X57">
            <v>24</v>
          </cell>
          <cell r="Y57">
            <v>2</v>
          </cell>
          <cell r="Z57">
            <v>0</v>
          </cell>
          <cell r="AA57">
            <v>0</v>
          </cell>
          <cell r="AB57">
            <v>0</v>
          </cell>
          <cell r="AC57">
            <v>18017000</v>
          </cell>
        </row>
        <row r="58">
          <cell r="C58" t="str">
            <v>WCFA000047</v>
          </cell>
          <cell r="D58" t="str">
            <v>SW</v>
          </cell>
          <cell r="E58" t="str">
            <v>Gbotie Makinde</v>
          </cell>
          <cell r="F58" t="str">
            <v>Bronze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</row>
        <row r="59">
          <cell r="C59" t="str">
            <v>SWC2006</v>
          </cell>
          <cell r="D59" t="str">
            <v>SW</v>
          </cell>
          <cell r="E59" t="str">
            <v>Mavellous Store</v>
          </cell>
          <cell r="F59" t="str">
            <v>Gold</v>
          </cell>
          <cell r="G59">
            <v>650</v>
          </cell>
          <cell r="H59">
            <v>0</v>
          </cell>
          <cell r="I59">
            <v>0</v>
          </cell>
          <cell r="J59">
            <v>25</v>
          </cell>
          <cell r="K59">
            <v>25</v>
          </cell>
          <cell r="L59">
            <v>50</v>
          </cell>
          <cell r="M59">
            <v>0</v>
          </cell>
          <cell r="N59">
            <v>0</v>
          </cell>
          <cell r="O59">
            <v>150</v>
          </cell>
          <cell r="P59">
            <v>10</v>
          </cell>
          <cell r="Q59">
            <v>0</v>
          </cell>
          <cell r="R59">
            <v>20</v>
          </cell>
          <cell r="S59">
            <v>0</v>
          </cell>
          <cell r="T59">
            <v>0</v>
          </cell>
          <cell r="U59">
            <v>20</v>
          </cell>
          <cell r="V59">
            <v>70</v>
          </cell>
          <cell r="W59">
            <v>50</v>
          </cell>
          <cell r="X59">
            <v>220</v>
          </cell>
          <cell r="Y59">
            <v>10</v>
          </cell>
          <cell r="Z59">
            <v>0</v>
          </cell>
          <cell r="AA59">
            <v>0</v>
          </cell>
          <cell r="AB59">
            <v>0</v>
          </cell>
          <cell r="AC59">
            <v>117780000</v>
          </cell>
        </row>
        <row r="60">
          <cell r="C60" t="str">
            <v>WCFA000004</v>
          </cell>
          <cell r="D60" t="str">
            <v>SW</v>
          </cell>
          <cell r="E60" t="str">
            <v>Olaide Oguniyi</v>
          </cell>
          <cell r="F60" t="str">
            <v>Silver</v>
          </cell>
          <cell r="G60">
            <v>130</v>
          </cell>
          <cell r="H60">
            <v>0</v>
          </cell>
          <cell r="I60">
            <v>0</v>
          </cell>
          <cell r="J60">
            <v>5</v>
          </cell>
          <cell r="K60">
            <v>5</v>
          </cell>
          <cell r="L60">
            <v>10</v>
          </cell>
          <cell r="M60">
            <v>0</v>
          </cell>
          <cell r="N60">
            <v>0</v>
          </cell>
          <cell r="O60">
            <v>30</v>
          </cell>
          <cell r="P60">
            <v>4</v>
          </cell>
          <cell r="Q60">
            <v>1</v>
          </cell>
          <cell r="R60">
            <v>10</v>
          </cell>
          <cell r="S60">
            <v>0</v>
          </cell>
          <cell r="T60">
            <v>0</v>
          </cell>
          <cell r="U60">
            <v>5</v>
          </cell>
          <cell r="V60">
            <v>5</v>
          </cell>
          <cell r="W60">
            <v>5</v>
          </cell>
          <cell r="X60">
            <v>48</v>
          </cell>
          <cell r="Y60">
            <v>2</v>
          </cell>
          <cell r="Z60">
            <v>0</v>
          </cell>
          <cell r="AA60">
            <v>0</v>
          </cell>
          <cell r="AB60">
            <v>0</v>
          </cell>
          <cell r="AC60">
            <v>24402500</v>
          </cell>
        </row>
        <row r="61">
          <cell r="C61" t="str">
            <v>WCFA000080</v>
          </cell>
          <cell r="D61" t="str">
            <v>SW</v>
          </cell>
          <cell r="E61" t="str">
            <v>Agaga Olayinka</v>
          </cell>
          <cell r="F61" t="str">
            <v>Bronze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C62" t="str">
            <v>WCFA000075</v>
          </cell>
          <cell r="D62" t="str">
            <v>SW</v>
          </cell>
          <cell r="E62" t="str">
            <v>Hammed Idowu</v>
          </cell>
          <cell r="F62" t="str">
            <v>Bronze</v>
          </cell>
          <cell r="G62">
            <v>70</v>
          </cell>
          <cell r="H62">
            <v>0</v>
          </cell>
          <cell r="I62">
            <v>0</v>
          </cell>
          <cell r="J62">
            <v>5</v>
          </cell>
          <cell r="K62">
            <v>2</v>
          </cell>
          <cell r="L62">
            <v>2</v>
          </cell>
          <cell r="M62">
            <v>0</v>
          </cell>
          <cell r="N62">
            <v>0</v>
          </cell>
          <cell r="O62">
            <v>25</v>
          </cell>
          <cell r="P62">
            <v>0</v>
          </cell>
          <cell r="Q62">
            <v>0</v>
          </cell>
          <cell r="R62">
            <v>5</v>
          </cell>
          <cell r="S62">
            <v>0</v>
          </cell>
          <cell r="T62">
            <v>0</v>
          </cell>
          <cell r="U62">
            <v>2</v>
          </cell>
          <cell r="V62">
            <v>0</v>
          </cell>
          <cell r="W62">
            <v>0</v>
          </cell>
          <cell r="X62">
            <v>27</v>
          </cell>
          <cell r="Y62">
            <v>2</v>
          </cell>
          <cell r="Z62">
            <v>0</v>
          </cell>
          <cell r="AA62">
            <v>0</v>
          </cell>
          <cell r="AB62">
            <v>0</v>
          </cell>
          <cell r="AC62">
            <v>13986000</v>
          </cell>
        </row>
        <row r="63">
          <cell r="C63" t="str">
            <v>WCFA000073</v>
          </cell>
          <cell r="D63" t="str">
            <v>SW</v>
          </cell>
          <cell r="E63" t="str">
            <v>Mutiyat Olawuwo</v>
          </cell>
          <cell r="F63" t="str">
            <v>Bronze</v>
          </cell>
          <cell r="G63">
            <v>85</v>
          </cell>
          <cell r="H63">
            <v>0</v>
          </cell>
          <cell r="I63">
            <v>0</v>
          </cell>
          <cell r="J63">
            <v>5</v>
          </cell>
          <cell r="K63">
            <v>2</v>
          </cell>
          <cell r="L63">
            <v>5</v>
          </cell>
          <cell r="M63">
            <v>0</v>
          </cell>
          <cell r="N63">
            <v>0</v>
          </cell>
          <cell r="O63">
            <v>30</v>
          </cell>
          <cell r="P63">
            <v>4</v>
          </cell>
          <cell r="Q63">
            <v>0</v>
          </cell>
          <cell r="R63">
            <v>7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30</v>
          </cell>
          <cell r="Y63">
            <v>2</v>
          </cell>
          <cell r="Z63">
            <v>0</v>
          </cell>
          <cell r="AA63">
            <v>0</v>
          </cell>
          <cell r="AB63">
            <v>0</v>
          </cell>
          <cell r="AC63">
            <v>17348000</v>
          </cell>
        </row>
        <row r="64">
          <cell r="C64" t="str">
            <v>WCFA000071</v>
          </cell>
          <cell r="D64" t="str">
            <v>SW</v>
          </cell>
          <cell r="E64" t="str">
            <v>Eskay Tajudeen</v>
          </cell>
          <cell r="F64" t="str">
            <v>Silver</v>
          </cell>
          <cell r="G64">
            <v>150</v>
          </cell>
          <cell r="H64">
            <v>0</v>
          </cell>
          <cell r="I64">
            <v>0</v>
          </cell>
          <cell r="J64">
            <v>10</v>
          </cell>
          <cell r="K64">
            <v>4</v>
          </cell>
          <cell r="L64">
            <v>10</v>
          </cell>
          <cell r="M64">
            <v>0</v>
          </cell>
          <cell r="N64">
            <v>0</v>
          </cell>
          <cell r="O64">
            <v>60</v>
          </cell>
          <cell r="P64">
            <v>2</v>
          </cell>
          <cell r="Q64">
            <v>0</v>
          </cell>
          <cell r="R64">
            <v>6</v>
          </cell>
          <cell r="S64">
            <v>0</v>
          </cell>
          <cell r="T64">
            <v>0</v>
          </cell>
          <cell r="U64">
            <v>2</v>
          </cell>
          <cell r="V64">
            <v>0</v>
          </cell>
          <cell r="W64">
            <v>0</v>
          </cell>
          <cell r="X64">
            <v>52</v>
          </cell>
          <cell r="Y64">
            <v>4</v>
          </cell>
          <cell r="Z64">
            <v>0</v>
          </cell>
          <cell r="AA64">
            <v>0</v>
          </cell>
          <cell r="AB64">
            <v>0</v>
          </cell>
          <cell r="AC64">
            <v>30683000</v>
          </cell>
        </row>
        <row r="65">
          <cell r="C65" t="str">
            <v>WCFA000061</v>
          </cell>
          <cell r="D65" t="str">
            <v>SW</v>
          </cell>
          <cell r="E65" t="str">
            <v>Salewa Stores</v>
          </cell>
          <cell r="F65" t="str">
            <v>Silver</v>
          </cell>
          <cell r="G65">
            <v>120</v>
          </cell>
          <cell r="H65">
            <v>0</v>
          </cell>
          <cell r="I65">
            <v>0</v>
          </cell>
          <cell r="J65">
            <v>5</v>
          </cell>
          <cell r="K65">
            <v>0</v>
          </cell>
          <cell r="L65">
            <v>5</v>
          </cell>
          <cell r="M65">
            <v>0</v>
          </cell>
          <cell r="N65">
            <v>0</v>
          </cell>
          <cell r="O65">
            <v>30</v>
          </cell>
          <cell r="P65">
            <v>4</v>
          </cell>
          <cell r="Q65">
            <v>1</v>
          </cell>
          <cell r="R65">
            <v>10</v>
          </cell>
          <cell r="S65">
            <v>0</v>
          </cell>
          <cell r="T65">
            <v>0</v>
          </cell>
          <cell r="U65">
            <v>5</v>
          </cell>
          <cell r="V65">
            <v>0</v>
          </cell>
          <cell r="W65">
            <v>0</v>
          </cell>
          <cell r="X65">
            <v>58</v>
          </cell>
          <cell r="Y65">
            <v>2</v>
          </cell>
          <cell r="Z65">
            <v>0</v>
          </cell>
          <cell r="AA65">
            <v>0</v>
          </cell>
          <cell r="AB65">
            <v>0</v>
          </cell>
          <cell r="AC65">
            <v>23402500</v>
          </cell>
        </row>
        <row r="66">
          <cell r="C66" t="str">
            <v>WCFA000057</v>
          </cell>
          <cell r="D66" t="str">
            <v>SW</v>
          </cell>
          <cell r="E66" t="str">
            <v>Tawakali Olisa</v>
          </cell>
          <cell r="F66" t="str">
            <v>Bronze</v>
          </cell>
          <cell r="G66">
            <v>130</v>
          </cell>
          <cell r="H66">
            <v>0</v>
          </cell>
          <cell r="I66">
            <v>0</v>
          </cell>
          <cell r="J66">
            <v>5</v>
          </cell>
          <cell r="K66">
            <v>5</v>
          </cell>
          <cell r="L66">
            <v>10</v>
          </cell>
          <cell r="M66">
            <v>0</v>
          </cell>
          <cell r="N66">
            <v>0</v>
          </cell>
          <cell r="O66">
            <v>30</v>
          </cell>
          <cell r="P66">
            <v>4</v>
          </cell>
          <cell r="Q66">
            <v>1</v>
          </cell>
          <cell r="R66">
            <v>10</v>
          </cell>
          <cell r="S66">
            <v>0</v>
          </cell>
          <cell r="T66">
            <v>0</v>
          </cell>
          <cell r="U66">
            <v>5</v>
          </cell>
          <cell r="V66">
            <v>0</v>
          </cell>
          <cell r="W66">
            <v>0</v>
          </cell>
          <cell r="X66">
            <v>58</v>
          </cell>
          <cell r="Y66">
            <v>2</v>
          </cell>
          <cell r="Z66">
            <v>0</v>
          </cell>
          <cell r="AA66">
            <v>0</v>
          </cell>
          <cell r="AB66">
            <v>0</v>
          </cell>
          <cell r="AC66">
            <v>25152500</v>
          </cell>
        </row>
        <row r="67">
          <cell r="C67" t="str">
            <v>WCFA000055</v>
          </cell>
          <cell r="D67" t="str">
            <v>SW</v>
          </cell>
          <cell r="E67" t="str">
            <v>Titi Alausa</v>
          </cell>
          <cell r="F67" t="str">
            <v>Bronze</v>
          </cell>
          <cell r="G67">
            <v>100</v>
          </cell>
          <cell r="H67">
            <v>0</v>
          </cell>
          <cell r="I67">
            <v>0</v>
          </cell>
          <cell r="J67">
            <v>5</v>
          </cell>
          <cell r="K67">
            <v>2</v>
          </cell>
          <cell r="L67">
            <v>5</v>
          </cell>
          <cell r="M67">
            <v>0</v>
          </cell>
          <cell r="N67">
            <v>0</v>
          </cell>
          <cell r="O67">
            <v>30</v>
          </cell>
          <cell r="P67">
            <v>4</v>
          </cell>
          <cell r="Q67">
            <v>0</v>
          </cell>
          <cell r="R67">
            <v>8</v>
          </cell>
          <cell r="S67">
            <v>0</v>
          </cell>
          <cell r="T67">
            <v>0</v>
          </cell>
          <cell r="U67">
            <v>4</v>
          </cell>
          <cell r="V67">
            <v>0</v>
          </cell>
          <cell r="W67">
            <v>0</v>
          </cell>
          <cell r="X67">
            <v>40</v>
          </cell>
          <cell r="Y67">
            <v>2</v>
          </cell>
          <cell r="Z67">
            <v>0</v>
          </cell>
          <cell r="AA67">
            <v>0</v>
          </cell>
          <cell r="AB67">
            <v>0</v>
          </cell>
          <cell r="AC67">
            <v>19790000</v>
          </cell>
        </row>
        <row r="68">
          <cell r="C68" t="str">
            <v>SWC1269</v>
          </cell>
          <cell r="D68" t="str">
            <v>SW</v>
          </cell>
          <cell r="E68" t="str">
            <v>Mrs. Ayinke Adebayo</v>
          </cell>
          <cell r="F68" t="str">
            <v>Bronze</v>
          </cell>
          <cell r="G68">
            <v>100</v>
          </cell>
          <cell r="H68">
            <v>0</v>
          </cell>
          <cell r="I68">
            <v>0</v>
          </cell>
          <cell r="J68">
            <v>5</v>
          </cell>
          <cell r="K68">
            <v>2</v>
          </cell>
          <cell r="L68">
            <v>5</v>
          </cell>
          <cell r="M68">
            <v>0</v>
          </cell>
          <cell r="N68">
            <v>0</v>
          </cell>
          <cell r="O68">
            <v>30</v>
          </cell>
          <cell r="P68">
            <v>4</v>
          </cell>
          <cell r="Q68">
            <v>0</v>
          </cell>
          <cell r="R68">
            <v>8</v>
          </cell>
          <cell r="S68">
            <v>0</v>
          </cell>
          <cell r="T68">
            <v>0</v>
          </cell>
          <cell r="U68">
            <v>4</v>
          </cell>
          <cell r="V68">
            <v>0</v>
          </cell>
          <cell r="W68">
            <v>0</v>
          </cell>
          <cell r="X68">
            <v>40</v>
          </cell>
          <cell r="Y68">
            <v>2</v>
          </cell>
          <cell r="Z68">
            <v>0</v>
          </cell>
          <cell r="AA68">
            <v>0</v>
          </cell>
          <cell r="AB68">
            <v>0</v>
          </cell>
          <cell r="AC68">
            <v>19790000</v>
          </cell>
        </row>
        <row r="69">
          <cell r="C69" t="str">
            <v>WCFA000052</v>
          </cell>
          <cell r="D69" t="str">
            <v>SW</v>
          </cell>
          <cell r="E69" t="str">
            <v>Mujidat Adepegba</v>
          </cell>
          <cell r="F69" t="str">
            <v>Bronze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0">
          <cell r="C70" t="str">
            <v>WCFA000046</v>
          </cell>
          <cell r="D70" t="str">
            <v>SW</v>
          </cell>
          <cell r="E70" t="str">
            <v>Tale Morufat (Iya)</v>
          </cell>
          <cell r="F70" t="str">
            <v>Bronze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C71" t="str">
            <v>WCFA000045</v>
          </cell>
          <cell r="D71" t="str">
            <v>SW</v>
          </cell>
          <cell r="E71" t="str">
            <v>Saidat Omotayo(Iya)</v>
          </cell>
          <cell r="F71" t="str">
            <v>Gold</v>
          </cell>
          <cell r="G71">
            <v>250</v>
          </cell>
          <cell r="H71">
            <v>0</v>
          </cell>
          <cell r="I71">
            <v>0</v>
          </cell>
          <cell r="J71">
            <v>20</v>
          </cell>
          <cell r="K71">
            <v>5</v>
          </cell>
          <cell r="L71">
            <v>10</v>
          </cell>
          <cell r="M71">
            <v>0</v>
          </cell>
          <cell r="N71">
            <v>0</v>
          </cell>
          <cell r="O71">
            <v>80</v>
          </cell>
          <cell r="P71">
            <v>5</v>
          </cell>
          <cell r="Q71">
            <v>0</v>
          </cell>
          <cell r="R71">
            <v>20</v>
          </cell>
          <cell r="S71">
            <v>0</v>
          </cell>
          <cell r="T71">
            <v>0</v>
          </cell>
          <cell r="U71">
            <v>10</v>
          </cell>
          <cell r="V71">
            <v>10</v>
          </cell>
          <cell r="W71">
            <v>10</v>
          </cell>
          <cell r="X71">
            <v>75</v>
          </cell>
          <cell r="Y71">
            <v>5</v>
          </cell>
          <cell r="Z71">
            <v>0</v>
          </cell>
          <cell r="AA71">
            <v>0</v>
          </cell>
          <cell r="AB71">
            <v>0</v>
          </cell>
          <cell r="AC71">
            <v>48400000</v>
          </cell>
        </row>
        <row r="72">
          <cell r="C72" t="str">
            <v>WCFA000042</v>
          </cell>
          <cell r="D72" t="str">
            <v>SW</v>
          </cell>
          <cell r="E72" t="str">
            <v>Omolara Alamu</v>
          </cell>
          <cell r="F72" t="str">
            <v>Silver</v>
          </cell>
          <cell r="G72">
            <v>125</v>
          </cell>
          <cell r="H72">
            <v>0</v>
          </cell>
          <cell r="I72">
            <v>0</v>
          </cell>
          <cell r="J72">
            <v>5</v>
          </cell>
          <cell r="K72">
            <v>5</v>
          </cell>
          <cell r="L72">
            <v>5</v>
          </cell>
          <cell r="M72">
            <v>0</v>
          </cell>
          <cell r="N72">
            <v>0</v>
          </cell>
          <cell r="O72">
            <v>30</v>
          </cell>
          <cell r="P72">
            <v>4</v>
          </cell>
          <cell r="Q72">
            <v>1</v>
          </cell>
          <cell r="R72">
            <v>10</v>
          </cell>
          <cell r="S72">
            <v>0</v>
          </cell>
          <cell r="T72">
            <v>0</v>
          </cell>
          <cell r="U72">
            <v>5</v>
          </cell>
          <cell r="V72">
            <v>0</v>
          </cell>
          <cell r="W72">
            <v>0</v>
          </cell>
          <cell r="X72">
            <v>58</v>
          </cell>
          <cell r="Y72">
            <v>2</v>
          </cell>
          <cell r="Z72">
            <v>0</v>
          </cell>
          <cell r="AA72">
            <v>0</v>
          </cell>
          <cell r="AB72">
            <v>0</v>
          </cell>
          <cell r="AC72">
            <v>24277500</v>
          </cell>
        </row>
        <row r="73">
          <cell r="C73" t="str">
            <v>WCFA000039</v>
          </cell>
          <cell r="D73" t="str">
            <v>SW</v>
          </cell>
          <cell r="E73" t="str">
            <v>Fausat Adetunji</v>
          </cell>
          <cell r="F73" t="str">
            <v>Gold</v>
          </cell>
          <cell r="G73">
            <v>280</v>
          </cell>
          <cell r="H73">
            <v>0</v>
          </cell>
          <cell r="I73">
            <v>0</v>
          </cell>
          <cell r="J73">
            <v>30</v>
          </cell>
          <cell r="K73">
            <v>5</v>
          </cell>
          <cell r="L73">
            <v>10</v>
          </cell>
          <cell r="M73">
            <v>0</v>
          </cell>
          <cell r="N73">
            <v>0</v>
          </cell>
          <cell r="O73">
            <v>90</v>
          </cell>
          <cell r="P73">
            <v>4</v>
          </cell>
          <cell r="Q73">
            <v>0</v>
          </cell>
          <cell r="R73">
            <v>20</v>
          </cell>
          <cell r="S73">
            <v>0</v>
          </cell>
          <cell r="T73">
            <v>0</v>
          </cell>
          <cell r="U73">
            <v>10</v>
          </cell>
          <cell r="V73">
            <v>10</v>
          </cell>
          <cell r="W73">
            <v>9</v>
          </cell>
          <cell r="X73">
            <v>90</v>
          </cell>
          <cell r="Y73">
            <v>2</v>
          </cell>
          <cell r="Z73">
            <v>0</v>
          </cell>
          <cell r="AA73">
            <v>0</v>
          </cell>
          <cell r="AB73">
            <v>0</v>
          </cell>
          <cell r="AC73">
            <v>55417000</v>
          </cell>
        </row>
        <row r="74">
          <cell r="C74" t="str">
            <v>WCFA000034</v>
          </cell>
          <cell r="D74" t="str">
            <v>SW</v>
          </cell>
          <cell r="E74" t="str">
            <v>Mama Kemi Oluwalana</v>
          </cell>
          <cell r="F74" t="str">
            <v>Bronze</v>
          </cell>
          <cell r="G74">
            <v>80</v>
          </cell>
          <cell r="H74">
            <v>0</v>
          </cell>
          <cell r="I74">
            <v>0</v>
          </cell>
          <cell r="J74">
            <v>5</v>
          </cell>
          <cell r="K74">
            <v>2</v>
          </cell>
          <cell r="L74">
            <v>3</v>
          </cell>
          <cell r="M74">
            <v>0</v>
          </cell>
          <cell r="N74">
            <v>0</v>
          </cell>
          <cell r="O74">
            <v>20</v>
          </cell>
          <cell r="P74">
            <v>2</v>
          </cell>
          <cell r="Q74">
            <v>0</v>
          </cell>
          <cell r="R74">
            <v>5</v>
          </cell>
          <cell r="S74">
            <v>0</v>
          </cell>
          <cell r="T74">
            <v>0</v>
          </cell>
          <cell r="U74">
            <v>1</v>
          </cell>
          <cell r="V74">
            <v>5</v>
          </cell>
          <cell r="W74">
            <v>5</v>
          </cell>
          <cell r="X74">
            <v>30</v>
          </cell>
          <cell r="Y74">
            <v>2</v>
          </cell>
          <cell r="Z74">
            <v>0</v>
          </cell>
          <cell r="AA74">
            <v>0</v>
          </cell>
          <cell r="AB74">
            <v>0</v>
          </cell>
          <cell r="AC74">
            <v>15122500</v>
          </cell>
        </row>
        <row r="75">
          <cell r="C75" t="str">
            <v>WCFA000027</v>
          </cell>
          <cell r="D75" t="str">
            <v>SW</v>
          </cell>
          <cell r="E75" t="str">
            <v>Abdul Ramon Mujidat</v>
          </cell>
          <cell r="F75" t="str">
            <v>Platinum Plus</v>
          </cell>
          <cell r="G75">
            <v>800</v>
          </cell>
          <cell r="H75">
            <v>0</v>
          </cell>
          <cell r="I75">
            <v>0</v>
          </cell>
          <cell r="J75">
            <v>40</v>
          </cell>
          <cell r="K75">
            <v>26</v>
          </cell>
          <cell r="L75">
            <v>40</v>
          </cell>
          <cell r="M75">
            <v>0</v>
          </cell>
          <cell r="N75">
            <v>0</v>
          </cell>
          <cell r="O75">
            <v>150</v>
          </cell>
          <cell r="P75">
            <v>5</v>
          </cell>
          <cell r="Q75">
            <v>2</v>
          </cell>
          <cell r="R75">
            <v>30</v>
          </cell>
          <cell r="S75">
            <v>0</v>
          </cell>
          <cell r="T75">
            <v>0</v>
          </cell>
          <cell r="U75">
            <v>20</v>
          </cell>
          <cell r="V75">
            <v>70</v>
          </cell>
          <cell r="W75">
            <v>40</v>
          </cell>
          <cell r="X75">
            <v>375</v>
          </cell>
          <cell r="Y75">
            <v>2</v>
          </cell>
          <cell r="Z75">
            <v>0</v>
          </cell>
          <cell r="AA75">
            <v>0</v>
          </cell>
          <cell r="AB75">
            <v>0</v>
          </cell>
          <cell r="AC75">
            <v>147733000</v>
          </cell>
        </row>
        <row r="76">
          <cell r="C76" t="str">
            <v>WCFA000026</v>
          </cell>
          <cell r="D76" t="str">
            <v>SW</v>
          </cell>
          <cell r="E76" t="str">
            <v>Latifat Ajiboye</v>
          </cell>
          <cell r="F76" t="str">
            <v>Bronze</v>
          </cell>
          <cell r="G76">
            <v>70</v>
          </cell>
          <cell r="H76">
            <v>0</v>
          </cell>
          <cell r="I76">
            <v>0</v>
          </cell>
          <cell r="J76">
            <v>5</v>
          </cell>
          <cell r="K76">
            <v>2</v>
          </cell>
          <cell r="L76">
            <v>3</v>
          </cell>
          <cell r="M76">
            <v>0</v>
          </cell>
          <cell r="N76">
            <v>0</v>
          </cell>
          <cell r="O76">
            <v>20</v>
          </cell>
          <cell r="P76">
            <v>2</v>
          </cell>
          <cell r="Q76">
            <v>0</v>
          </cell>
          <cell r="R76">
            <v>5</v>
          </cell>
          <cell r="S76">
            <v>0</v>
          </cell>
          <cell r="T76">
            <v>0</v>
          </cell>
          <cell r="U76">
            <v>1</v>
          </cell>
          <cell r="V76">
            <v>5</v>
          </cell>
          <cell r="W76">
            <v>0</v>
          </cell>
          <cell r="X76">
            <v>25</v>
          </cell>
          <cell r="Y76">
            <v>2</v>
          </cell>
          <cell r="Z76">
            <v>0</v>
          </cell>
          <cell r="AA76">
            <v>0</v>
          </cell>
          <cell r="AB76">
            <v>0</v>
          </cell>
          <cell r="AC76">
            <v>13617500</v>
          </cell>
        </row>
        <row r="77">
          <cell r="C77" t="str">
            <v>WCFA000023</v>
          </cell>
          <cell r="D77" t="str">
            <v>SW</v>
          </cell>
          <cell r="E77" t="str">
            <v>Sadiq Sile (iya)</v>
          </cell>
          <cell r="F77" t="str">
            <v>Bronze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</row>
        <row r="78">
          <cell r="C78" t="str">
            <v>WCFA000021</v>
          </cell>
          <cell r="D78" t="str">
            <v>SW</v>
          </cell>
          <cell r="E78" t="str">
            <v>Iya Ramon Isiaka</v>
          </cell>
          <cell r="F78" t="str">
            <v>Silver</v>
          </cell>
          <cell r="G78">
            <v>180</v>
          </cell>
          <cell r="H78">
            <v>0</v>
          </cell>
          <cell r="I78">
            <v>0</v>
          </cell>
          <cell r="J78">
            <v>10</v>
          </cell>
          <cell r="K78">
            <v>10</v>
          </cell>
          <cell r="L78">
            <v>10</v>
          </cell>
          <cell r="M78">
            <v>0</v>
          </cell>
          <cell r="N78">
            <v>0</v>
          </cell>
          <cell r="O78">
            <v>50</v>
          </cell>
          <cell r="P78">
            <v>4</v>
          </cell>
          <cell r="Q78">
            <v>0</v>
          </cell>
          <cell r="R78">
            <v>10</v>
          </cell>
          <cell r="S78">
            <v>0</v>
          </cell>
          <cell r="T78">
            <v>0</v>
          </cell>
          <cell r="U78">
            <v>2</v>
          </cell>
          <cell r="V78">
            <v>10</v>
          </cell>
          <cell r="W78">
            <v>10</v>
          </cell>
          <cell r="X78">
            <v>64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34595000</v>
          </cell>
        </row>
        <row r="79">
          <cell r="C79" t="str">
            <v>WCFA000018</v>
          </cell>
          <cell r="D79" t="str">
            <v>SW</v>
          </cell>
          <cell r="E79" t="str">
            <v>Anifat Ibikunle</v>
          </cell>
          <cell r="F79" t="str">
            <v>Platinum Plus</v>
          </cell>
          <cell r="G79">
            <v>800</v>
          </cell>
          <cell r="H79">
            <v>0</v>
          </cell>
          <cell r="I79">
            <v>0</v>
          </cell>
          <cell r="J79">
            <v>40</v>
          </cell>
          <cell r="K79">
            <v>26</v>
          </cell>
          <cell r="L79">
            <v>40</v>
          </cell>
          <cell r="M79">
            <v>0</v>
          </cell>
          <cell r="N79">
            <v>0</v>
          </cell>
          <cell r="O79">
            <v>150</v>
          </cell>
          <cell r="P79">
            <v>5</v>
          </cell>
          <cell r="Q79">
            <v>2</v>
          </cell>
          <cell r="R79">
            <v>30</v>
          </cell>
          <cell r="S79">
            <v>0</v>
          </cell>
          <cell r="T79">
            <v>0</v>
          </cell>
          <cell r="U79">
            <v>40</v>
          </cell>
          <cell r="V79">
            <v>80</v>
          </cell>
          <cell r="W79">
            <v>10</v>
          </cell>
          <cell r="X79">
            <v>370</v>
          </cell>
          <cell r="Y79">
            <v>7</v>
          </cell>
          <cell r="Z79">
            <v>0</v>
          </cell>
          <cell r="AA79">
            <v>0</v>
          </cell>
          <cell r="AB79">
            <v>0</v>
          </cell>
          <cell r="AC79">
            <v>147188000</v>
          </cell>
        </row>
        <row r="80">
          <cell r="C80" t="str">
            <v>WCFA000008</v>
          </cell>
          <cell r="D80" t="str">
            <v>SW</v>
          </cell>
          <cell r="E80" t="str">
            <v>Funmi Alira(Mrs)</v>
          </cell>
          <cell r="F80" t="str">
            <v>Silver</v>
          </cell>
          <cell r="G80">
            <v>70</v>
          </cell>
          <cell r="H80">
            <v>0</v>
          </cell>
          <cell r="I80">
            <v>0</v>
          </cell>
          <cell r="J80">
            <v>5</v>
          </cell>
          <cell r="K80">
            <v>2</v>
          </cell>
          <cell r="L80">
            <v>3</v>
          </cell>
          <cell r="M80">
            <v>0</v>
          </cell>
          <cell r="N80">
            <v>0</v>
          </cell>
          <cell r="O80">
            <v>20</v>
          </cell>
          <cell r="P80">
            <v>2</v>
          </cell>
          <cell r="Q80">
            <v>0</v>
          </cell>
          <cell r="R80">
            <v>5</v>
          </cell>
          <cell r="S80">
            <v>0</v>
          </cell>
          <cell r="T80">
            <v>0</v>
          </cell>
          <cell r="U80">
            <v>1</v>
          </cell>
          <cell r="V80">
            <v>2</v>
          </cell>
          <cell r="W80">
            <v>3</v>
          </cell>
          <cell r="X80">
            <v>25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13617500</v>
          </cell>
        </row>
        <row r="81">
          <cell r="C81" t="str">
            <v>WCFA000003</v>
          </cell>
          <cell r="D81" t="str">
            <v>SW</v>
          </cell>
          <cell r="E81" t="str">
            <v>Twins Sister</v>
          </cell>
          <cell r="F81" t="str">
            <v>Silver</v>
          </cell>
          <cell r="G81">
            <v>140</v>
          </cell>
          <cell r="H81">
            <v>0</v>
          </cell>
          <cell r="I81">
            <v>0</v>
          </cell>
          <cell r="J81">
            <v>5</v>
          </cell>
          <cell r="K81">
            <v>5</v>
          </cell>
          <cell r="L81">
            <v>10</v>
          </cell>
          <cell r="M81">
            <v>0</v>
          </cell>
          <cell r="N81">
            <v>0</v>
          </cell>
          <cell r="O81">
            <v>40</v>
          </cell>
          <cell r="P81">
            <v>4</v>
          </cell>
          <cell r="Q81">
            <v>2</v>
          </cell>
          <cell r="R81">
            <v>10</v>
          </cell>
          <cell r="S81">
            <v>0</v>
          </cell>
          <cell r="T81">
            <v>0</v>
          </cell>
          <cell r="U81">
            <v>5</v>
          </cell>
          <cell r="V81">
            <v>5</v>
          </cell>
          <cell r="W81">
            <v>5</v>
          </cell>
          <cell r="X81">
            <v>45</v>
          </cell>
          <cell r="Y81">
            <v>4</v>
          </cell>
          <cell r="Z81">
            <v>0</v>
          </cell>
          <cell r="AA81">
            <v>0</v>
          </cell>
          <cell r="AB81">
            <v>0</v>
          </cell>
          <cell r="AC81">
            <v>26550500</v>
          </cell>
        </row>
        <row r="82">
          <cell r="C82" t="str">
            <v>SWC0914</v>
          </cell>
          <cell r="D82" t="str">
            <v>SW</v>
          </cell>
          <cell r="E82" t="str">
            <v>Mrs Dada Kolapo</v>
          </cell>
          <cell r="F82" t="str">
            <v>Bronze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C83" t="str">
            <v>WCFA000672</v>
          </cell>
          <cell r="D83" t="str">
            <v>SW</v>
          </cell>
          <cell r="E83" t="str">
            <v>Tajudeen Opeyemi (Iya Nofi)</v>
          </cell>
          <cell r="F83" t="str">
            <v>Silver</v>
          </cell>
          <cell r="G83">
            <v>150</v>
          </cell>
          <cell r="H83">
            <v>0</v>
          </cell>
          <cell r="I83">
            <v>0</v>
          </cell>
          <cell r="J83">
            <v>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110</v>
          </cell>
          <cell r="P83">
            <v>0</v>
          </cell>
          <cell r="Q83">
            <v>0</v>
          </cell>
          <cell r="R83">
            <v>5</v>
          </cell>
          <cell r="S83">
            <v>0</v>
          </cell>
          <cell r="T83">
            <v>0</v>
          </cell>
          <cell r="U83">
            <v>2</v>
          </cell>
          <cell r="V83">
            <v>0</v>
          </cell>
          <cell r="W83">
            <v>0</v>
          </cell>
          <cell r="X83">
            <v>31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32579000</v>
          </cell>
        </row>
        <row r="84">
          <cell r="C84" t="str">
            <v>WCFA000116</v>
          </cell>
          <cell r="D84" t="str">
            <v>SW</v>
          </cell>
          <cell r="E84" t="str">
            <v>Fausat Najeem</v>
          </cell>
          <cell r="F84" t="str">
            <v>Bronze</v>
          </cell>
          <cell r="G84">
            <v>90</v>
          </cell>
          <cell r="H84">
            <v>0</v>
          </cell>
          <cell r="I84">
            <v>0</v>
          </cell>
          <cell r="J84">
            <v>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80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8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20426000</v>
          </cell>
        </row>
        <row r="85">
          <cell r="C85" t="str">
            <v>SWC1886</v>
          </cell>
          <cell r="D85" t="str">
            <v>SW</v>
          </cell>
          <cell r="E85" t="str">
            <v>Zino Stores</v>
          </cell>
          <cell r="F85" t="str">
            <v>Bronze</v>
          </cell>
          <cell r="G85">
            <v>70</v>
          </cell>
          <cell r="H85">
            <v>0</v>
          </cell>
          <cell r="I85">
            <v>0</v>
          </cell>
          <cell r="J85">
            <v>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55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0</v>
          </cell>
          <cell r="W85">
            <v>0</v>
          </cell>
          <cell r="X85">
            <v>12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15532500</v>
          </cell>
        </row>
        <row r="86">
          <cell r="C86" t="str">
            <v>SWC0934</v>
          </cell>
          <cell r="D86" t="str">
            <v>SW</v>
          </cell>
          <cell r="E86" t="str">
            <v>Mrs Balikis Oseni (Iya Malik)</v>
          </cell>
          <cell r="F86" t="str">
            <v>Silver</v>
          </cell>
          <cell r="G86">
            <v>120</v>
          </cell>
          <cell r="H86">
            <v>0</v>
          </cell>
          <cell r="I86">
            <v>0</v>
          </cell>
          <cell r="J86">
            <v>4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98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3</v>
          </cell>
          <cell r="V86">
            <v>0</v>
          </cell>
          <cell r="W86">
            <v>0</v>
          </cell>
          <cell r="X86">
            <v>15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26717500</v>
          </cell>
        </row>
        <row r="87">
          <cell r="C87" t="str">
            <v>SWC0009</v>
          </cell>
          <cell r="D87" t="str">
            <v>SW</v>
          </cell>
          <cell r="E87" t="str">
            <v>Arewa Toyin O.</v>
          </cell>
          <cell r="F87" t="str">
            <v>Bronze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8">
          <cell r="C88" t="str">
            <v>WCFA000113</v>
          </cell>
          <cell r="D88" t="str">
            <v>SW</v>
          </cell>
          <cell r="E88" t="str">
            <v>Alh Hamsat Sabitiyu</v>
          </cell>
          <cell r="F88" t="str">
            <v>Bronze</v>
          </cell>
          <cell r="G88">
            <v>80</v>
          </cell>
          <cell r="H88">
            <v>0</v>
          </cell>
          <cell r="I88">
            <v>0</v>
          </cell>
          <cell r="J88">
            <v>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63</v>
          </cell>
          <cell r="P88">
            <v>0</v>
          </cell>
          <cell r="Q88">
            <v>0</v>
          </cell>
          <cell r="R88">
            <v>1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18080000</v>
          </cell>
        </row>
        <row r="89">
          <cell r="C89" t="str">
            <v>WCFA000102</v>
          </cell>
          <cell r="D89" t="str">
            <v>SW</v>
          </cell>
          <cell r="E89" t="str">
            <v>Iya Sadiat</v>
          </cell>
          <cell r="F89" t="str">
            <v>Gold</v>
          </cell>
          <cell r="G89">
            <v>450</v>
          </cell>
          <cell r="H89">
            <v>0</v>
          </cell>
          <cell r="I89">
            <v>0</v>
          </cell>
          <cell r="J89">
            <v>15</v>
          </cell>
          <cell r="K89">
            <v>10</v>
          </cell>
          <cell r="L89">
            <v>0</v>
          </cell>
          <cell r="M89">
            <v>0</v>
          </cell>
          <cell r="N89">
            <v>0</v>
          </cell>
          <cell r="O89">
            <v>267</v>
          </cell>
          <cell r="P89">
            <v>0</v>
          </cell>
          <cell r="Q89">
            <v>5</v>
          </cell>
          <cell r="R89">
            <v>3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150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96637000</v>
          </cell>
        </row>
        <row r="90">
          <cell r="C90" t="str">
            <v>WCFA000098</v>
          </cell>
          <cell r="D90" t="str">
            <v>SW</v>
          </cell>
          <cell r="E90" t="str">
            <v>Rukayat Folorunsho</v>
          </cell>
          <cell r="F90" t="str">
            <v>Silver</v>
          </cell>
          <cell r="G90">
            <v>171</v>
          </cell>
          <cell r="H90">
            <v>0</v>
          </cell>
          <cell r="I90">
            <v>0</v>
          </cell>
          <cell r="J90">
            <v>12</v>
          </cell>
          <cell r="K90">
            <v>8</v>
          </cell>
          <cell r="L90">
            <v>0</v>
          </cell>
          <cell r="M90">
            <v>0</v>
          </cell>
          <cell r="N90">
            <v>0</v>
          </cell>
          <cell r="O90">
            <v>105</v>
          </cell>
          <cell r="P90">
            <v>4</v>
          </cell>
          <cell r="Q90">
            <v>0</v>
          </cell>
          <cell r="R90">
            <v>1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41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37578000</v>
          </cell>
        </row>
        <row r="91">
          <cell r="C91" t="str">
            <v>WCFA000097</v>
          </cell>
          <cell r="D91" t="str">
            <v>SW</v>
          </cell>
          <cell r="E91" t="str">
            <v>Kikelomo Iman</v>
          </cell>
          <cell r="F91" t="str">
            <v>Silver</v>
          </cell>
          <cell r="G91">
            <v>180</v>
          </cell>
          <cell r="H91">
            <v>0</v>
          </cell>
          <cell r="I91">
            <v>0</v>
          </cell>
          <cell r="J91">
            <v>5</v>
          </cell>
          <cell r="K91">
            <v>5</v>
          </cell>
          <cell r="L91">
            <v>5</v>
          </cell>
          <cell r="M91">
            <v>0</v>
          </cell>
          <cell r="N91">
            <v>0</v>
          </cell>
          <cell r="O91">
            <v>91</v>
          </cell>
          <cell r="P91">
            <v>1</v>
          </cell>
          <cell r="Q91">
            <v>2</v>
          </cell>
          <cell r="R91">
            <v>1</v>
          </cell>
          <cell r="S91">
            <v>0</v>
          </cell>
          <cell r="T91">
            <v>0</v>
          </cell>
          <cell r="U91">
            <v>5</v>
          </cell>
          <cell r="V91">
            <v>0</v>
          </cell>
          <cell r="W91">
            <v>0</v>
          </cell>
          <cell r="X91">
            <v>65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37504500</v>
          </cell>
        </row>
        <row r="92">
          <cell r="C92" t="str">
            <v>WCFA000096</v>
          </cell>
          <cell r="D92" t="str">
            <v>SW</v>
          </cell>
          <cell r="E92" t="str">
            <v>Salimat Elejo</v>
          </cell>
          <cell r="F92" t="str">
            <v>Bronze</v>
          </cell>
          <cell r="G92">
            <v>75</v>
          </cell>
          <cell r="H92">
            <v>0</v>
          </cell>
          <cell r="I92">
            <v>0</v>
          </cell>
          <cell r="J92">
            <v>2</v>
          </cell>
          <cell r="K92">
            <v>3</v>
          </cell>
          <cell r="L92">
            <v>0</v>
          </cell>
          <cell r="M92">
            <v>0</v>
          </cell>
          <cell r="N92">
            <v>0</v>
          </cell>
          <cell r="O92">
            <v>44</v>
          </cell>
          <cell r="P92">
            <v>0</v>
          </cell>
          <cell r="Q92">
            <v>0</v>
          </cell>
          <cell r="R92">
            <v>4</v>
          </cell>
          <cell r="S92">
            <v>0</v>
          </cell>
          <cell r="T92">
            <v>0</v>
          </cell>
          <cell r="U92">
            <v>2</v>
          </cell>
          <cell r="V92">
            <v>0</v>
          </cell>
          <cell r="W92">
            <v>0</v>
          </cell>
          <cell r="X92">
            <v>20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15712000</v>
          </cell>
        </row>
        <row r="93">
          <cell r="C93" t="str">
            <v>WCFA000091</v>
          </cell>
          <cell r="D93" t="str">
            <v>SW</v>
          </cell>
          <cell r="E93" t="str">
            <v>Mumini Onikepe</v>
          </cell>
          <cell r="F93" t="str">
            <v>Silver</v>
          </cell>
          <cell r="G93">
            <v>170</v>
          </cell>
          <cell r="H93">
            <v>0</v>
          </cell>
          <cell r="I93">
            <v>0</v>
          </cell>
          <cell r="J93">
            <v>2</v>
          </cell>
          <cell r="K93">
            <v>4</v>
          </cell>
          <cell r="L93">
            <v>0</v>
          </cell>
          <cell r="M93">
            <v>0</v>
          </cell>
          <cell r="N93">
            <v>0</v>
          </cell>
          <cell r="O93">
            <v>130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32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37468000</v>
          </cell>
        </row>
        <row r="94">
          <cell r="C94" t="str">
            <v>WCFA000090</v>
          </cell>
          <cell r="D94" t="str">
            <v>SW</v>
          </cell>
          <cell r="E94" t="str">
            <v>Musili Sanni Ramota</v>
          </cell>
          <cell r="F94" t="str">
            <v>Silver</v>
          </cell>
          <cell r="G94">
            <v>120</v>
          </cell>
          <cell r="H94">
            <v>0</v>
          </cell>
          <cell r="I94">
            <v>0</v>
          </cell>
          <cell r="J94">
            <v>4</v>
          </cell>
          <cell r="K94">
            <v>9</v>
          </cell>
          <cell r="L94">
            <v>0</v>
          </cell>
          <cell r="M94">
            <v>0</v>
          </cell>
          <cell r="N94">
            <v>0</v>
          </cell>
          <cell r="O94">
            <v>68</v>
          </cell>
          <cell r="P94">
            <v>0</v>
          </cell>
          <cell r="Q94">
            <v>1</v>
          </cell>
          <cell r="R94">
            <v>1</v>
          </cell>
          <cell r="S94">
            <v>0</v>
          </cell>
          <cell r="T94">
            <v>0</v>
          </cell>
          <cell r="U94">
            <v>3</v>
          </cell>
          <cell r="V94">
            <v>0</v>
          </cell>
          <cell r="W94">
            <v>0</v>
          </cell>
          <cell r="X94">
            <v>34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25294500</v>
          </cell>
        </row>
        <row r="95">
          <cell r="C95" t="str">
            <v>WCFA000088</v>
          </cell>
          <cell r="D95" t="str">
            <v>SW</v>
          </cell>
          <cell r="E95" t="str">
            <v>Alfa Yahaya</v>
          </cell>
          <cell r="F95" t="str">
            <v>Gold</v>
          </cell>
          <cell r="G95">
            <v>250</v>
          </cell>
          <cell r="H95">
            <v>0</v>
          </cell>
          <cell r="I95">
            <v>0</v>
          </cell>
          <cell r="J95">
            <v>4</v>
          </cell>
          <cell r="K95">
            <v>5</v>
          </cell>
          <cell r="L95">
            <v>0</v>
          </cell>
          <cell r="M95">
            <v>0</v>
          </cell>
          <cell r="N95">
            <v>0</v>
          </cell>
          <cell r="O95">
            <v>192</v>
          </cell>
          <cell r="P95">
            <v>1</v>
          </cell>
          <cell r="Q95">
            <v>3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45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55358000</v>
          </cell>
        </row>
        <row r="96">
          <cell r="C96" t="str">
            <v>SWC1039</v>
          </cell>
          <cell r="D96" t="str">
            <v>SW</v>
          </cell>
          <cell r="E96" t="str">
            <v>Alhaja Oniwiridi</v>
          </cell>
          <cell r="F96" t="str">
            <v>Bronze</v>
          </cell>
          <cell r="G96">
            <v>70</v>
          </cell>
          <cell r="H96">
            <v>0</v>
          </cell>
          <cell r="I96">
            <v>0</v>
          </cell>
          <cell r="J96">
            <v>2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  <cell r="O96">
            <v>52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15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15477000</v>
          </cell>
        </row>
        <row r="97">
          <cell r="C97" t="str">
            <v>SWC3226</v>
          </cell>
          <cell r="D97" t="str">
            <v>SW</v>
          </cell>
          <cell r="E97" t="str">
            <v>Odofin Adekunle Global Limited</v>
          </cell>
          <cell r="F97" t="str">
            <v>Bronze</v>
          </cell>
          <cell r="G97">
            <v>80</v>
          </cell>
          <cell r="H97">
            <v>0</v>
          </cell>
          <cell r="I97">
            <v>0</v>
          </cell>
          <cell r="J97">
            <v>2</v>
          </cell>
          <cell r="K97">
            <v>0</v>
          </cell>
          <cell r="L97">
            <v>2</v>
          </cell>
          <cell r="M97">
            <v>0</v>
          </cell>
          <cell r="N97">
            <v>0</v>
          </cell>
          <cell r="O97">
            <v>45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31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17050000</v>
          </cell>
        </row>
        <row r="98">
          <cell r="C98" t="str">
            <v>LAC1419</v>
          </cell>
          <cell r="D98" t="str">
            <v>SW</v>
          </cell>
          <cell r="E98" t="str">
            <v>Three Zeroes</v>
          </cell>
          <cell r="F98" t="str">
            <v>Platinum Plus</v>
          </cell>
          <cell r="G98">
            <v>1400</v>
          </cell>
          <cell r="H98">
            <v>0</v>
          </cell>
          <cell r="I98">
            <v>0</v>
          </cell>
          <cell r="J98">
            <v>300</v>
          </cell>
          <cell r="K98">
            <v>150</v>
          </cell>
          <cell r="L98">
            <v>100</v>
          </cell>
          <cell r="M98">
            <v>10</v>
          </cell>
          <cell r="N98">
            <v>0</v>
          </cell>
          <cell r="O98">
            <v>250</v>
          </cell>
          <cell r="P98">
            <v>150</v>
          </cell>
          <cell r="Q98">
            <v>0</v>
          </cell>
          <cell r="R98">
            <v>100</v>
          </cell>
          <cell r="S98">
            <v>0</v>
          </cell>
          <cell r="T98">
            <v>0</v>
          </cell>
          <cell r="U98">
            <v>20</v>
          </cell>
          <cell r="V98">
            <v>0</v>
          </cell>
          <cell r="W98">
            <v>0</v>
          </cell>
          <cell r="X98">
            <v>300</v>
          </cell>
          <cell r="Y98">
            <v>20</v>
          </cell>
          <cell r="Z98">
            <v>0</v>
          </cell>
          <cell r="AA98">
            <v>0</v>
          </cell>
          <cell r="AB98">
            <v>0</v>
          </cell>
          <cell r="AC98">
            <v>295600000</v>
          </cell>
        </row>
        <row r="99">
          <cell r="C99" t="str">
            <v>LAC3987</v>
          </cell>
          <cell r="D99" t="str">
            <v>SW</v>
          </cell>
          <cell r="E99" t="str">
            <v>Yahya Mutairu Rasheedat</v>
          </cell>
          <cell r="F99" t="str">
            <v>Bronze</v>
          </cell>
          <cell r="G99">
            <v>90</v>
          </cell>
          <cell r="H99">
            <v>0</v>
          </cell>
          <cell r="I99">
            <v>0</v>
          </cell>
          <cell r="J99">
            <v>25</v>
          </cell>
          <cell r="K99">
            <v>15</v>
          </cell>
          <cell r="L99">
            <v>5</v>
          </cell>
          <cell r="M99">
            <v>2</v>
          </cell>
          <cell r="N99">
            <v>0</v>
          </cell>
          <cell r="O99">
            <v>10</v>
          </cell>
          <cell r="P99">
            <v>10</v>
          </cell>
          <cell r="Q99">
            <v>0</v>
          </cell>
          <cell r="R99">
            <v>5</v>
          </cell>
          <cell r="S99">
            <v>0</v>
          </cell>
          <cell r="T99">
            <v>0</v>
          </cell>
          <cell r="U99">
            <v>3</v>
          </cell>
          <cell r="V99">
            <v>0</v>
          </cell>
          <cell r="W99">
            <v>0</v>
          </cell>
          <cell r="X99">
            <v>10</v>
          </cell>
          <cell r="Y99">
            <v>5</v>
          </cell>
          <cell r="Z99">
            <v>0</v>
          </cell>
          <cell r="AA99">
            <v>0</v>
          </cell>
          <cell r="AB99">
            <v>0</v>
          </cell>
          <cell r="AC99">
            <v>18763500</v>
          </cell>
        </row>
        <row r="100">
          <cell r="C100" t="str">
            <v>LAC0429</v>
          </cell>
          <cell r="D100" t="str">
            <v>SW</v>
          </cell>
          <cell r="E100" t="str">
            <v>DAMTOY NIG LTD</v>
          </cell>
          <cell r="F100" t="str">
            <v>Bronze</v>
          </cell>
          <cell r="G100">
            <v>70</v>
          </cell>
          <cell r="H100">
            <v>0</v>
          </cell>
          <cell r="I100">
            <v>0</v>
          </cell>
          <cell r="J100">
            <v>10</v>
          </cell>
          <cell r="K100">
            <v>10</v>
          </cell>
          <cell r="L100">
            <v>5</v>
          </cell>
          <cell r="M100">
            <v>0</v>
          </cell>
          <cell r="N100">
            <v>0</v>
          </cell>
          <cell r="O100">
            <v>20</v>
          </cell>
          <cell r="P100">
            <v>3</v>
          </cell>
          <cell r="Q100">
            <v>0</v>
          </cell>
          <cell r="R100">
            <v>2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20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14666000</v>
          </cell>
        </row>
        <row r="101">
          <cell r="C101" t="str">
            <v>LAC3995</v>
          </cell>
          <cell r="D101" t="str">
            <v>SW</v>
          </cell>
          <cell r="E101" t="str">
            <v>Marthy B</v>
          </cell>
          <cell r="F101" t="str">
            <v>Gold</v>
          </cell>
          <cell r="G101">
            <v>70</v>
          </cell>
          <cell r="H101">
            <v>0</v>
          </cell>
          <cell r="I101">
            <v>0</v>
          </cell>
          <cell r="J101">
            <v>10</v>
          </cell>
          <cell r="K101">
            <v>10</v>
          </cell>
          <cell r="L101">
            <v>10</v>
          </cell>
          <cell r="M101">
            <v>0</v>
          </cell>
          <cell r="N101">
            <v>0</v>
          </cell>
          <cell r="O101">
            <v>5</v>
          </cell>
          <cell r="P101">
            <v>10</v>
          </cell>
          <cell r="Q101">
            <v>0</v>
          </cell>
          <cell r="R101">
            <v>10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10</v>
          </cell>
          <cell r="Y101">
            <v>5</v>
          </cell>
          <cell r="Z101">
            <v>0</v>
          </cell>
          <cell r="AA101">
            <v>0</v>
          </cell>
          <cell r="AB101">
            <v>0</v>
          </cell>
          <cell r="AC101">
            <v>13755000</v>
          </cell>
        </row>
        <row r="102">
          <cell r="C102" t="str">
            <v>LAC0161</v>
          </cell>
          <cell r="D102" t="str">
            <v>SW</v>
          </cell>
          <cell r="E102" t="str">
            <v>Blessed Kanayo</v>
          </cell>
          <cell r="F102" t="str">
            <v>Bronze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C103" t="str">
            <v>LAC0160</v>
          </cell>
          <cell r="D103" t="str">
            <v>SW</v>
          </cell>
          <cell r="E103" t="str">
            <v>Mumuni Ibrahim</v>
          </cell>
          <cell r="F103" t="str">
            <v>Gold</v>
          </cell>
          <cell r="G103">
            <v>350</v>
          </cell>
          <cell r="H103">
            <v>0</v>
          </cell>
          <cell r="I103">
            <v>0</v>
          </cell>
          <cell r="J103">
            <v>75</v>
          </cell>
          <cell r="K103">
            <v>50</v>
          </cell>
          <cell r="L103">
            <v>10</v>
          </cell>
          <cell r="M103">
            <v>5</v>
          </cell>
          <cell r="N103">
            <v>0</v>
          </cell>
          <cell r="O103">
            <v>70</v>
          </cell>
          <cell r="P103">
            <v>70</v>
          </cell>
          <cell r="Q103">
            <v>0</v>
          </cell>
          <cell r="R103">
            <v>20</v>
          </cell>
          <cell r="S103">
            <v>0</v>
          </cell>
          <cell r="T103">
            <v>0</v>
          </cell>
          <cell r="U103">
            <v>5</v>
          </cell>
          <cell r="V103">
            <v>0</v>
          </cell>
          <cell r="W103">
            <v>0</v>
          </cell>
          <cell r="X103">
            <v>40</v>
          </cell>
          <cell r="Y103">
            <v>5</v>
          </cell>
          <cell r="Z103">
            <v>0</v>
          </cell>
          <cell r="AA103">
            <v>0</v>
          </cell>
          <cell r="AB103">
            <v>0</v>
          </cell>
          <cell r="AC103">
            <v>76807500</v>
          </cell>
        </row>
        <row r="104">
          <cell r="C104" t="str">
            <v>CTAE0047</v>
          </cell>
          <cell r="D104" t="str">
            <v>SW</v>
          </cell>
          <cell r="E104" t="str">
            <v>MR. SEGUN ADEMOLA</v>
          </cell>
          <cell r="F104" t="str">
            <v>Silver</v>
          </cell>
          <cell r="G104">
            <v>180</v>
          </cell>
          <cell r="H104">
            <v>0</v>
          </cell>
          <cell r="I104">
            <v>0</v>
          </cell>
          <cell r="J104">
            <v>70</v>
          </cell>
          <cell r="K104">
            <v>25</v>
          </cell>
          <cell r="L104">
            <v>5</v>
          </cell>
          <cell r="M104">
            <v>0</v>
          </cell>
          <cell r="N104">
            <v>0</v>
          </cell>
          <cell r="O104">
            <v>25</v>
          </cell>
          <cell r="P104">
            <v>30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20</v>
          </cell>
          <cell r="Y104">
            <v>5</v>
          </cell>
          <cell r="Z104">
            <v>0</v>
          </cell>
          <cell r="AA104">
            <v>0</v>
          </cell>
          <cell r="AB104">
            <v>0</v>
          </cell>
          <cell r="AC104">
            <v>41425000</v>
          </cell>
        </row>
        <row r="105">
          <cell r="C105" t="str">
            <v>CTAE0045</v>
          </cell>
          <cell r="D105" t="str">
            <v>SW</v>
          </cell>
          <cell r="E105" t="str">
            <v>MRS SEMO &amp; CO</v>
          </cell>
          <cell r="F105" t="str">
            <v>Gold</v>
          </cell>
          <cell r="G105">
            <v>280</v>
          </cell>
          <cell r="H105">
            <v>0</v>
          </cell>
          <cell r="I105">
            <v>0</v>
          </cell>
          <cell r="J105">
            <v>40</v>
          </cell>
          <cell r="K105">
            <v>30</v>
          </cell>
          <cell r="L105">
            <v>25</v>
          </cell>
          <cell r="M105">
            <v>5</v>
          </cell>
          <cell r="N105">
            <v>0</v>
          </cell>
          <cell r="O105">
            <v>50</v>
          </cell>
          <cell r="P105">
            <v>30</v>
          </cell>
          <cell r="Q105">
            <v>0</v>
          </cell>
          <cell r="R105">
            <v>15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80</v>
          </cell>
          <cell r="Y105">
            <v>5</v>
          </cell>
          <cell r="Z105">
            <v>0</v>
          </cell>
          <cell r="AA105">
            <v>0</v>
          </cell>
          <cell r="AB105">
            <v>0</v>
          </cell>
          <cell r="AC105">
            <v>58035000</v>
          </cell>
        </row>
        <row r="106">
          <cell r="C106" t="str">
            <v>CTAE0042</v>
          </cell>
          <cell r="D106" t="str">
            <v>SW</v>
          </cell>
          <cell r="E106" t="str">
            <v>MR R A IBRAHIM</v>
          </cell>
          <cell r="F106" t="str">
            <v>Bronze</v>
          </cell>
          <cell r="G106">
            <v>80</v>
          </cell>
          <cell r="H106">
            <v>0</v>
          </cell>
          <cell r="I106">
            <v>0</v>
          </cell>
          <cell r="J106">
            <v>25</v>
          </cell>
          <cell r="K106">
            <v>5</v>
          </cell>
          <cell r="L106">
            <v>3</v>
          </cell>
          <cell r="M106">
            <v>0</v>
          </cell>
          <cell r="N106">
            <v>0</v>
          </cell>
          <cell r="O106">
            <v>10</v>
          </cell>
          <cell r="P106">
            <v>10</v>
          </cell>
          <cell r="Q106">
            <v>0</v>
          </cell>
          <cell r="R106">
            <v>5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20</v>
          </cell>
          <cell r="Y106">
            <v>2</v>
          </cell>
          <cell r="Z106">
            <v>0</v>
          </cell>
          <cell r="AA106">
            <v>0</v>
          </cell>
          <cell r="AB106">
            <v>0</v>
          </cell>
          <cell r="AC106">
            <v>17541000</v>
          </cell>
        </row>
        <row r="107">
          <cell r="C107" t="str">
            <v>CTAE0033</v>
          </cell>
          <cell r="D107" t="str">
            <v>SW</v>
          </cell>
          <cell r="E107" t="str">
            <v>ALHAJA MOGBONJUBOLA OLANREWAJU</v>
          </cell>
          <cell r="F107" t="str">
            <v>Platinum</v>
          </cell>
          <cell r="G107">
            <v>500</v>
          </cell>
          <cell r="H107">
            <v>0</v>
          </cell>
          <cell r="I107">
            <v>0</v>
          </cell>
          <cell r="J107">
            <v>110</v>
          </cell>
          <cell r="K107">
            <v>50</v>
          </cell>
          <cell r="L107">
            <v>40</v>
          </cell>
          <cell r="M107">
            <v>10</v>
          </cell>
          <cell r="N107">
            <v>0</v>
          </cell>
          <cell r="O107">
            <v>80</v>
          </cell>
          <cell r="P107">
            <v>80</v>
          </cell>
          <cell r="Q107">
            <v>0</v>
          </cell>
          <cell r="R107">
            <v>40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80</v>
          </cell>
          <cell r="Y107">
            <v>10</v>
          </cell>
          <cell r="Z107">
            <v>0</v>
          </cell>
          <cell r="AA107">
            <v>0</v>
          </cell>
          <cell r="AB107">
            <v>0</v>
          </cell>
          <cell r="AC107">
            <v>107420000</v>
          </cell>
        </row>
        <row r="108">
          <cell r="C108" t="str">
            <v>CTAE0032</v>
          </cell>
          <cell r="D108" t="str">
            <v>SW</v>
          </cell>
          <cell r="E108" t="str">
            <v>MR MADINAT YUSUF</v>
          </cell>
          <cell r="F108" t="str">
            <v>Bronze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</row>
        <row r="109">
          <cell r="C109" t="str">
            <v>CTAE0031</v>
          </cell>
          <cell r="D109" t="str">
            <v>SW</v>
          </cell>
          <cell r="E109" t="str">
            <v>ALH LUKMAN BELLO</v>
          </cell>
          <cell r="F109" t="str">
            <v>Bronze</v>
          </cell>
          <cell r="G109">
            <v>70</v>
          </cell>
          <cell r="H109">
            <v>0</v>
          </cell>
          <cell r="I109">
            <v>0</v>
          </cell>
          <cell r="J109">
            <v>10</v>
          </cell>
          <cell r="K109">
            <v>5</v>
          </cell>
          <cell r="L109">
            <v>3</v>
          </cell>
          <cell r="M109">
            <v>2</v>
          </cell>
          <cell r="N109">
            <v>0</v>
          </cell>
          <cell r="O109">
            <v>10</v>
          </cell>
          <cell r="P109">
            <v>20</v>
          </cell>
          <cell r="Q109">
            <v>0</v>
          </cell>
          <cell r="R109">
            <v>5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15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15420000</v>
          </cell>
        </row>
        <row r="110">
          <cell r="C110" t="str">
            <v>LAC3996</v>
          </cell>
          <cell r="D110" t="str">
            <v>SW</v>
          </cell>
          <cell r="E110" t="str">
            <v>MR EDATOMOLA KAZEEM</v>
          </cell>
          <cell r="F110" t="str">
            <v>Silver</v>
          </cell>
          <cell r="G110">
            <v>130</v>
          </cell>
          <cell r="H110">
            <v>0</v>
          </cell>
          <cell r="I110">
            <v>0</v>
          </cell>
          <cell r="J110">
            <v>30</v>
          </cell>
          <cell r="K110">
            <v>10</v>
          </cell>
          <cell r="L110">
            <v>5</v>
          </cell>
          <cell r="M110">
            <v>0</v>
          </cell>
          <cell r="N110">
            <v>0</v>
          </cell>
          <cell r="O110">
            <v>20</v>
          </cell>
          <cell r="P110">
            <v>15</v>
          </cell>
          <cell r="Q110">
            <v>0</v>
          </cell>
          <cell r="R110">
            <v>5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40</v>
          </cell>
          <cell r="Y110">
            <v>5</v>
          </cell>
          <cell r="Z110">
            <v>0</v>
          </cell>
          <cell r="AA110">
            <v>0</v>
          </cell>
          <cell r="AB110">
            <v>0</v>
          </cell>
          <cell r="AC110">
            <v>27775000</v>
          </cell>
        </row>
        <row r="111">
          <cell r="C111" t="str">
            <v>CTAE0017</v>
          </cell>
          <cell r="D111" t="str">
            <v>SW</v>
          </cell>
          <cell r="E111" t="str">
            <v>BOLTIKAY NIG LIMITED</v>
          </cell>
          <cell r="F111" t="str">
            <v>Silver</v>
          </cell>
          <cell r="G111">
            <v>130</v>
          </cell>
          <cell r="H111">
            <v>0</v>
          </cell>
          <cell r="I111">
            <v>0</v>
          </cell>
          <cell r="J111">
            <v>30</v>
          </cell>
          <cell r="K111">
            <v>20</v>
          </cell>
          <cell r="L111">
            <v>10</v>
          </cell>
          <cell r="M111">
            <v>0</v>
          </cell>
          <cell r="N111">
            <v>0</v>
          </cell>
          <cell r="O111">
            <v>20</v>
          </cell>
          <cell r="P111">
            <v>10</v>
          </cell>
          <cell r="Q111">
            <v>0</v>
          </cell>
          <cell r="R111">
            <v>7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30</v>
          </cell>
          <cell r="Y111">
            <v>3</v>
          </cell>
          <cell r="Z111">
            <v>0</v>
          </cell>
          <cell r="AA111">
            <v>0</v>
          </cell>
          <cell r="AB111">
            <v>0</v>
          </cell>
          <cell r="AC111">
            <v>27277000</v>
          </cell>
        </row>
        <row r="112">
          <cell r="C112" t="str">
            <v>CTAE0013</v>
          </cell>
          <cell r="D112" t="str">
            <v>SW</v>
          </cell>
          <cell r="E112" t="str">
            <v>AROWOLO TAIBAT</v>
          </cell>
          <cell r="F112" t="str">
            <v>Gold</v>
          </cell>
          <cell r="G112">
            <v>300</v>
          </cell>
          <cell r="H112">
            <v>0</v>
          </cell>
          <cell r="I112">
            <v>0</v>
          </cell>
          <cell r="J112">
            <v>90</v>
          </cell>
          <cell r="K112">
            <v>20</v>
          </cell>
          <cell r="L112">
            <v>5</v>
          </cell>
          <cell r="M112">
            <v>0</v>
          </cell>
          <cell r="N112">
            <v>0</v>
          </cell>
          <cell r="O112">
            <v>50</v>
          </cell>
          <cell r="P112">
            <v>30</v>
          </cell>
          <cell r="Q112">
            <v>0</v>
          </cell>
          <cell r="R112">
            <v>10</v>
          </cell>
          <cell r="S112">
            <v>0</v>
          </cell>
          <cell r="T112">
            <v>0</v>
          </cell>
          <cell r="U112">
            <v>5</v>
          </cell>
          <cell r="V112">
            <v>10</v>
          </cell>
          <cell r="W112">
            <v>5</v>
          </cell>
          <cell r="X112">
            <v>70</v>
          </cell>
          <cell r="Y112">
            <v>5</v>
          </cell>
          <cell r="Z112">
            <v>0</v>
          </cell>
          <cell r="AA112">
            <v>0</v>
          </cell>
          <cell r="AB112">
            <v>0</v>
          </cell>
          <cell r="AC112">
            <v>64577500</v>
          </cell>
        </row>
        <row r="113">
          <cell r="C113" t="str">
            <v>CTAE0006</v>
          </cell>
          <cell r="D113" t="str">
            <v>SW</v>
          </cell>
          <cell r="E113" t="str">
            <v>MR AJAYI AYINKE</v>
          </cell>
          <cell r="F113" t="str">
            <v>Gold</v>
          </cell>
          <cell r="G113">
            <v>290</v>
          </cell>
          <cell r="H113">
            <v>0</v>
          </cell>
          <cell r="I113">
            <v>0</v>
          </cell>
          <cell r="J113">
            <v>50</v>
          </cell>
          <cell r="K113">
            <v>30</v>
          </cell>
          <cell r="L113">
            <v>15</v>
          </cell>
          <cell r="M113">
            <v>0</v>
          </cell>
          <cell r="N113">
            <v>0</v>
          </cell>
          <cell r="O113">
            <v>60</v>
          </cell>
          <cell r="P113">
            <v>40</v>
          </cell>
          <cell r="Q113">
            <v>0</v>
          </cell>
          <cell r="R113">
            <v>25</v>
          </cell>
          <cell r="S113">
            <v>0</v>
          </cell>
          <cell r="T113">
            <v>0</v>
          </cell>
          <cell r="U113">
            <v>2</v>
          </cell>
          <cell r="V113">
            <v>3</v>
          </cell>
          <cell r="W113">
            <v>0</v>
          </cell>
          <cell r="X113">
            <v>60</v>
          </cell>
          <cell r="Y113">
            <v>5</v>
          </cell>
          <cell r="Z113">
            <v>0</v>
          </cell>
          <cell r="AA113">
            <v>0</v>
          </cell>
          <cell r="AB113">
            <v>0</v>
          </cell>
          <cell r="AC113">
            <v>61158000</v>
          </cell>
        </row>
        <row r="114">
          <cell r="C114" t="str">
            <v>CTAE0054</v>
          </cell>
          <cell r="D114" t="str">
            <v>SW</v>
          </cell>
          <cell r="E114" t="str">
            <v>MESSRS YAKUBU AISHA</v>
          </cell>
          <cell r="F114" t="str">
            <v>Bronze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</row>
        <row r="115">
          <cell r="C115" t="str">
            <v>CTAE0023</v>
          </cell>
          <cell r="D115" t="str">
            <v>SW</v>
          </cell>
          <cell r="E115" t="str">
            <v>ALH. FOLU F. OGUNDALU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</row>
        <row r="116">
          <cell r="C116" t="str">
            <v>CTAE0018</v>
          </cell>
          <cell r="D116" t="str">
            <v>SW</v>
          </cell>
          <cell r="E116" t="str">
            <v>DAYO OLAREWAJU ODEBODE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</row>
        <row r="117">
          <cell r="C117" t="str">
            <v>LAC3508</v>
          </cell>
          <cell r="D117" t="str">
            <v>SW</v>
          </cell>
          <cell r="E117" t="str">
            <v>Iya Zainab</v>
          </cell>
          <cell r="F117" t="str">
            <v>Silver</v>
          </cell>
          <cell r="G117">
            <v>130</v>
          </cell>
          <cell r="H117">
            <v>0</v>
          </cell>
          <cell r="I117">
            <v>0</v>
          </cell>
          <cell r="J117">
            <v>60</v>
          </cell>
          <cell r="K117">
            <v>4</v>
          </cell>
          <cell r="L117">
            <v>3</v>
          </cell>
          <cell r="M117">
            <v>0</v>
          </cell>
          <cell r="N117">
            <v>0</v>
          </cell>
          <cell r="O117">
            <v>30</v>
          </cell>
          <cell r="P117">
            <v>2</v>
          </cell>
          <cell r="Q117">
            <v>1</v>
          </cell>
          <cell r="R117">
            <v>10</v>
          </cell>
          <cell r="S117">
            <v>0</v>
          </cell>
          <cell r="T117">
            <v>0</v>
          </cell>
          <cell r="U117">
            <v>0</v>
          </cell>
          <cell r="V117">
            <v>2</v>
          </cell>
          <cell r="W117">
            <v>0</v>
          </cell>
          <cell r="X117">
            <v>15</v>
          </cell>
          <cell r="Y117">
            <v>3</v>
          </cell>
          <cell r="Z117">
            <v>0</v>
          </cell>
          <cell r="AA117">
            <v>0</v>
          </cell>
          <cell r="AB117">
            <v>0</v>
          </cell>
          <cell r="AC117">
            <v>29318000</v>
          </cell>
        </row>
        <row r="118">
          <cell r="C118" t="str">
            <v>LAC0085</v>
          </cell>
          <cell r="D118">
            <v>0</v>
          </cell>
          <cell r="E118" t="str">
            <v>Mrs Eze Ann</v>
          </cell>
          <cell r="F118" t="str">
            <v>Bronze</v>
          </cell>
          <cell r="G118">
            <v>100</v>
          </cell>
          <cell r="H118">
            <v>0</v>
          </cell>
          <cell r="I118">
            <v>0</v>
          </cell>
          <cell r="J118">
            <v>80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2</v>
          </cell>
          <cell r="W118">
            <v>0</v>
          </cell>
          <cell r="X118">
            <v>13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24700000</v>
          </cell>
        </row>
        <row r="119">
          <cell r="C119" t="str">
            <v>CTAZ0049</v>
          </cell>
          <cell r="D119" t="str">
            <v>SW</v>
          </cell>
          <cell r="E119" t="str">
            <v>MRS BELLO</v>
          </cell>
          <cell r="F119" t="str">
            <v>Silver</v>
          </cell>
          <cell r="G119">
            <v>130</v>
          </cell>
          <cell r="H119">
            <v>0</v>
          </cell>
          <cell r="I119">
            <v>0</v>
          </cell>
          <cell r="J119">
            <v>75</v>
          </cell>
          <cell r="K119">
            <v>5</v>
          </cell>
          <cell r="L119">
            <v>5</v>
          </cell>
          <cell r="M119">
            <v>0</v>
          </cell>
          <cell r="N119">
            <v>0</v>
          </cell>
          <cell r="O119">
            <v>10</v>
          </cell>
          <cell r="P119">
            <v>2</v>
          </cell>
          <cell r="Q119">
            <v>1</v>
          </cell>
          <cell r="R119">
            <v>10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20</v>
          </cell>
          <cell r="Y119">
            <v>2</v>
          </cell>
          <cell r="Z119">
            <v>0</v>
          </cell>
          <cell r="AA119">
            <v>0</v>
          </cell>
          <cell r="AB119">
            <v>0</v>
          </cell>
          <cell r="AC119">
            <v>29759000</v>
          </cell>
        </row>
        <row r="120">
          <cell r="C120" t="str">
            <v>CTAZ0045</v>
          </cell>
          <cell r="D120" t="str">
            <v>SW</v>
          </cell>
          <cell r="E120" t="str">
            <v>SIKIRAT AGBOOLA</v>
          </cell>
          <cell r="F120" t="str">
            <v>Silver</v>
          </cell>
          <cell r="G120">
            <v>150</v>
          </cell>
          <cell r="H120">
            <v>0</v>
          </cell>
          <cell r="I120">
            <v>0</v>
          </cell>
          <cell r="J120">
            <v>70</v>
          </cell>
          <cell r="K120">
            <v>4</v>
          </cell>
          <cell r="L120">
            <v>3</v>
          </cell>
          <cell r="M120">
            <v>0</v>
          </cell>
          <cell r="N120">
            <v>0</v>
          </cell>
          <cell r="O120">
            <v>40</v>
          </cell>
          <cell r="P120">
            <v>2</v>
          </cell>
          <cell r="Q120">
            <v>1</v>
          </cell>
          <cell r="R120">
            <v>10</v>
          </cell>
          <cell r="S120">
            <v>0</v>
          </cell>
          <cell r="T120">
            <v>0</v>
          </cell>
          <cell r="U120">
            <v>0</v>
          </cell>
          <cell r="V120">
            <v>2</v>
          </cell>
          <cell r="W120">
            <v>0</v>
          </cell>
          <cell r="X120">
            <v>15</v>
          </cell>
          <cell r="Y120">
            <v>3</v>
          </cell>
          <cell r="Z120">
            <v>0</v>
          </cell>
          <cell r="AA120">
            <v>0</v>
          </cell>
          <cell r="AB120">
            <v>0</v>
          </cell>
          <cell r="AC120">
            <v>34228000</v>
          </cell>
        </row>
        <row r="121">
          <cell r="C121" t="str">
            <v>CTAZ0044</v>
          </cell>
          <cell r="D121" t="str">
            <v>SW</v>
          </cell>
          <cell r="E121" t="str">
            <v>KOFO THOMAS</v>
          </cell>
          <cell r="F121" t="str">
            <v>Platinum Plus</v>
          </cell>
          <cell r="G121">
            <v>700</v>
          </cell>
          <cell r="H121">
            <v>0</v>
          </cell>
          <cell r="I121">
            <v>0</v>
          </cell>
          <cell r="J121">
            <v>454</v>
          </cell>
          <cell r="K121">
            <v>5</v>
          </cell>
          <cell r="L121">
            <v>10</v>
          </cell>
          <cell r="M121">
            <v>0</v>
          </cell>
          <cell r="N121">
            <v>0</v>
          </cell>
          <cell r="O121">
            <v>150</v>
          </cell>
          <cell r="P121">
            <v>22</v>
          </cell>
          <cell r="Q121">
            <v>2</v>
          </cell>
          <cell r="R121">
            <v>30</v>
          </cell>
          <cell r="S121">
            <v>0</v>
          </cell>
          <cell r="T121">
            <v>0</v>
          </cell>
          <cell r="U121">
            <v>0</v>
          </cell>
          <cell r="V121">
            <v>2</v>
          </cell>
          <cell r="W121">
            <v>0</v>
          </cell>
          <cell r="X121">
            <v>20</v>
          </cell>
          <cell r="Y121">
            <v>5</v>
          </cell>
          <cell r="Z121">
            <v>0</v>
          </cell>
          <cell r="AA121">
            <v>0</v>
          </cell>
          <cell r="AB121">
            <v>0</v>
          </cell>
          <cell r="AC121">
            <v>170604000</v>
          </cell>
        </row>
        <row r="122">
          <cell r="C122" t="str">
            <v>CTAZ0043</v>
          </cell>
          <cell r="D122" t="str">
            <v>SW</v>
          </cell>
          <cell r="E122" t="str">
            <v>JUNIOR (IYA)</v>
          </cell>
          <cell r="F122" t="str">
            <v>Silver</v>
          </cell>
          <cell r="G122">
            <v>180</v>
          </cell>
          <cell r="H122">
            <v>0</v>
          </cell>
          <cell r="I122">
            <v>0</v>
          </cell>
          <cell r="J122">
            <v>95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60</v>
          </cell>
          <cell r="P122">
            <v>0</v>
          </cell>
          <cell r="Q122">
            <v>0</v>
          </cell>
          <cell r="R122">
            <v>13</v>
          </cell>
          <cell r="S122">
            <v>0</v>
          </cell>
          <cell r="T122">
            <v>0</v>
          </cell>
          <cell r="U122">
            <v>0</v>
          </cell>
          <cell r="V122">
            <v>2</v>
          </cell>
          <cell r="W122">
            <v>0</v>
          </cell>
          <cell r="X122">
            <v>10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42573000</v>
          </cell>
        </row>
        <row r="123">
          <cell r="C123" t="str">
            <v>CTAZ0023</v>
          </cell>
          <cell r="D123" t="str">
            <v>SW</v>
          </cell>
          <cell r="E123" t="str">
            <v>MUINAT (IYA)</v>
          </cell>
          <cell r="F123" t="str">
            <v>Bronze</v>
          </cell>
          <cell r="G123">
            <v>105</v>
          </cell>
          <cell r="H123">
            <v>0</v>
          </cell>
          <cell r="I123">
            <v>0</v>
          </cell>
          <cell r="J123">
            <v>50</v>
          </cell>
          <cell r="K123">
            <v>0</v>
          </cell>
          <cell r="L123">
            <v>4</v>
          </cell>
          <cell r="M123">
            <v>0</v>
          </cell>
          <cell r="N123">
            <v>0</v>
          </cell>
          <cell r="O123">
            <v>15</v>
          </cell>
          <cell r="P123">
            <v>10</v>
          </cell>
          <cell r="Q123">
            <v>1</v>
          </cell>
          <cell r="R123">
            <v>5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15</v>
          </cell>
          <cell r="Y123">
            <v>5</v>
          </cell>
          <cell r="Z123">
            <v>0</v>
          </cell>
          <cell r="AA123">
            <v>0</v>
          </cell>
          <cell r="AB123">
            <v>0</v>
          </cell>
          <cell r="AC123">
            <v>24101000</v>
          </cell>
        </row>
        <row r="124">
          <cell r="C124" t="str">
            <v>CTAZ0008</v>
          </cell>
          <cell r="D124" t="str">
            <v>SW</v>
          </cell>
          <cell r="E124" t="str">
            <v>SEGUN FUNMILAYO BABALOLA</v>
          </cell>
          <cell r="F124" t="str">
            <v>Silver</v>
          </cell>
          <cell r="G124">
            <v>130</v>
          </cell>
          <cell r="H124">
            <v>0</v>
          </cell>
          <cell r="I124">
            <v>0</v>
          </cell>
          <cell r="J124">
            <v>75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20</v>
          </cell>
          <cell r="P124">
            <v>5</v>
          </cell>
          <cell r="Q124">
            <v>0</v>
          </cell>
          <cell r="R124">
            <v>10</v>
          </cell>
          <cell r="S124">
            <v>0</v>
          </cell>
          <cell r="T124">
            <v>0</v>
          </cell>
          <cell r="U124">
            <v>0</v>
          </cell>
          <cell r="V124">
            <v>2</v>
          </cell>
          <cell r="W124">
            <v>0</v>
          </cell>
          <cell r="X124">
            <v>18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30530000</v>
          </cell>
        </row>
        <row r="125">
          <cell r="C125" t="str">
            <v>CTAZ0005</v>
          </cell>
          <cell r="D125" t="str">
            <v>SW</v>
          </cell>
          <cell r="E125" t="str">
            <v>NURUDEEN (IYA)</v>
          </cell>
          <cell r="F125" t="str">
            <v>Silver</v>
          </cell>
          <cell r="G125">
            <v>130</v>
          </cell>
          <cell r="H125">
            <v>0</v>
          </cell>
          <cell r="I125">
            <v>0</v>
          </cell>
          <cell r="J125">
            <v>75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30</v>
          </cell>
          <cell r="P125">
            <v>0</v>
          </cell>
          <cell r="Q125">
            <v>0</v>
          </cell>
          <cell r="R125">
            <v>13</v>
          </cell>
          <cell r="S125">
            <v>0</v>
          </cell>
          <cell r="T125">
            <v>0</v>
          </cell>
          <cell r="U125">
            <v>0</v>
          </cell>
          <cell r="V125">
            <v>2</v>
          </cell>
          <cell r="W125">
            <v>0</v>
          </cell>
          <cell r="X125">
            <v>10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30453000</v>
          </cell>
        </row>
        <row r="126">
          <cell r="C126" t="str">
            <v>CTAZ0001</v>
          </cell>
          <cell r="D126" t="str">
            <v>SW</v>
          </cell>
          <cell r="E126" t="str">
            <v>TAIWO BASANYA</v>
          </cell>
          <cell r="F126" t="str">
            <v>Silver</v>
          </cell>
          <cell r="G126">
            <v>140</v>
          </cell>
          <cell r="H126">
            <v>0</v>
          </cell>
          <cell r="I126">
            <v>0</v>
          </cell>
          <cell r="J126">
            <v>98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20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2</v>
          </cell>
          <cell r="W126">
            <v>0</v>
          </cell>
          <cell r="X126">
            <v>20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34164000</v>
          </cell>
        </row>
        <row r="127">
          <cell r="C127" t="str">
            <v>LAC0212</v>
          </cell>
          <cell r="D127" t="str">
            <v>SW</v>
          </cell>
          <cell r="E127" t="str">
            <v>Mrs. Alade Tawakalitu</v>
          </cell>
          <cell r="F127" t="str">
            <v>Silver</v>
          </cell>
          <cell r="G127">
            <v>125</v>
          </cell>
          <cell r="H127">
            <v>0</v>
          </cell>
          <cell r="I127">
            <v>0</v>
          </cell>
          <cell r="J127">
            <v>93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10</v>
          </cell>
          <cell r="P127">
            <v>5</v>
          </cell>
          <cell r="Q127">
            <v>0</v>
          </cell>
          <cell r="R127">
            <v>5</v>
          </cell>
          <cell r="S127">
            <v>0</v>
          </cell>
          <cell r="T127">
            <v>0</v>
          </cell>
          <cell r="U127">
            <v>0</v>
          </cell>
          <cell r="V127">
            <v>2</v>
          </cell>
          <cell r="W127">
            <v>0</v>
          </cell>
          <cell r="X127">
            <v>10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30704000</v>
          </cell>
        </row>
        <row r="128">
          <cell r="C128" t="str">
            <v>LAC0088</v>
          </cell>
          <cell r="D128" t="str">
            <v>SW</v>
          </cell>
          <cell r="E128" t="str">
            <v>Sunday Adama (Ojota)</v>
          </cell>
          <cell r="F128" t="str">
            <v>Silver</v>
          </cell>
          <cell r="G128">
            <v>160</v>
          </cell>
          <cell r="H128">
            <v>0</v>
          </cell>
          <cell r="I128">
            <v>0</v>
          </cell>
          <cell r="J128">
            <v>115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20</v>
          </cell>
          <cell r="P128">
            <v>5</v>
          </cell>
          <cell r="Q128">
            <v>1</v>
          </cell>
          <cell r="R128">
            <v>10</v>
          </cell>
          <cell r="S128">
            <v>0</v>
          </cell>
          <cell r="T128">
            <v>0</v>
          </cell>
          <cell r="U128">
            <v>0</v>
          </cell>
          <cell r="V128">
            <v>2</v>
          </cell>
          <cell r="W128">
            <v>0</v>
          </cell>
          <cell r="X128">
            <v>7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39088000</v>
          </cell>
        </row>
        <row r="129">
          <cell r="C129" t="str">
            <v>LAC0087</v>
          </cell>
          <cell r="D129" t="str">
            <v>SW</v>
          </cell>
          <cell r="E129" t="str">
            <v>Ameh Amos Ifeanyichukwu</v>
          </cell>
          <cell r="F129" t="str">
            <v>Gold</v>
          </cell>
          <cell r="G129">
            <v>300</v>
          </cell>
          <cell r="H129">
            <v>0</v>
          </cell>
          <cell r="I129">
            <v>0</v>
          </cell>
          <cell r="J129">
            <v>158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85</v>
          </cell>
          <cell r="P129">
            <v>0</v>
          </cell>
          <cell r="Q129">
            <v>0</v>
          </cell>
          <cell r="R129">
            <v>7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50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71196000</v>
          </cell>
        </row>
        <row r="130">
          <cell r="C130" t="str">
            <v>CTAW0006</v>
          </cell>
          <cell r="D130" t="str">
            <v>SW</v>
          </cell>
          <cell r="E130" t="str">
            <v>FUNMILAYO SHITTU</v>
          </cell>
          <cell r="F130" t="str">
            <v>Silver</v>
          </cell>
          <cell r="G130">
            <v>130</v>
          </cell>
          <cell r="H130">
            <v>0</v>
          </cell>
          <cell r="I130">
            <v>0</v>
          </cell>
          <cell r="J130">
            <v>93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25</v>
          </cell>
          <cell r="P130">
            <v>0</v>
          </cell>
          <cell r="Q130">
            <v>0</v>
          </cell>
          <cell r="R130">
            <v>5</v>
          </cell>
          <cell r="S130">
            <v>0</v>
          </cell>
          <cell r="T130">
            <v>0</v>
          </cell>
          <cell r="U130">
            <v>0</v>
          </cell>
          <cell r="V130">
            <v>2</v>
          </cell>
          <cell r="W130">
            <v>0</v>
          </cell>
          <cell r="X130">
            <v>5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31909000</v>
          </cell>
        </row>
        <row r="131">
          <cell r="C131" t="str">
            <v>CTAW0004</v>
          </cell>
          <cell r="D131" t="str">
            <v>SW</v>
          </cell>
          <cell r="E131" t="str">
            <v>ALI GADO GARUBA</v>
          </cell>
          <cell r="F131" t="str">
            <v>Bronze</v>
          </cell>
          <cell r="G131">
            <v>100</v>
          </cell>
          <cell r="H131">
            <v>0</v>
          </cell>
          <cell r="I131">
            <v>0</v>
          </cell>
          <cell r="J131">
            <v>30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25</v>
          </cell>
          <cell r="P131">
            <v>0</v>
          </cell>
          <cell r="Q131">
            <v>0</v>
          </cell>
          <cell r="R131">
            <v>5</v>
          </cell>
          <cell r="S131">
            <v>0</v>
          </cell>
          <cell r="T131">
            <v>0</v>
          </cell>
          <cell r="U131">
            <v>0</v>
          </cell>
          <cell r="V131">
            <v>1</v>
          </cell>
          <cell r="W131">
            <v>0</v>
          </cell>
          <cell r="X131">
            <v>39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21745000</v>
          </cell>
        </row>
        <row r="132">
          <cell r="C132" t="str">
            <v>CTAW0002</v>
          </cell>
          <cell r="D132" t="str">
            <v>SW</v>
          </cell>
          <cell r="E132" t="str">
            <v>CHIJIOKE ONU</v>
          </cell>
          <cell r="F132" t="str">
            <v>Gold</v>
          </cell>
          <cell r="G132">
            <v>250</v>
          </cell>
          <cell r="H132">
            <v>0</v>
          </cell>
          <cell r="I132">
            <v>0</v>
          </cell>
          <cell r="J132">
            <v>196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22</v>
          </cell>
          <cell r="P132">
            <v>0</v>
          </cell>
          <cell r="Q132">
            <v>0</v>
          </cell>
          <cell r="R132">
            <v>10</v>
          </cell>
          <cell r="S132">
            <v>0</v>
          </cell>
          <cell r="T132">
            <v>0</v>
          </cell>
          <cell r="U132">
            <v>0</v>
          </cell>
          <cell r="V132">
            <v>2</v>
          </cell>
          <cell r="W132">
            <v>0</v>
          </cell>
          <cell r="X132">
            <v>20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61642000</v>
          </cell>
        </row>
        <row r="133">
          <cell r="C133" t="str">
            <v>CTAW0001</v>
          </cell>
          <cell r="D133" t="str">
            <v>SW</v>
          </cell>
          <cell r="E133" t="str">
            <v>LAWAL MOHAMMED</v>
          </cell>
          <cell r="F133" t="str">
            <v>Silver</v>
          </cell>
          <cell r="G133">
            <v>140</v>
          </cell>
          <cell r="H133">
            <v>0</v>
          </cell>
          <cell r="I133">
            <v>0</v>
          </cell>
          <cell r="J133">
            <v>123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5</v>
          </cell>
          <cell r="P133">
            <v>0</v>
          </cell>
          <cell r="Q133">
            <v>0</v>
          </cell>
          <cell r="R133">
            <v>5</v>
          </cell>
          <cell r="S133">
            <v>0</v>
          </cell>
          <cell r="T133">
            <v>0</v>
          </cell>
          <cell r="U133">
            <v>0</v>
          </cell>
          <cell r="V133">
            <v>2</v>
          </cell>
          <cell r="W133">
            <v>0</v>
          </cell>
          <cell r="X133">
            <v>5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35139000</v>
          </cell>
        </row>
        <row r="134">
          <cell r="C134" t="str">
            <v>SWC3487</v>
          </cell>
          <cell r="D134">
            <v>0</v>
          </cell>
          <cell r="E134" t="str">
            <v>Great Big Buyer Ent</v>
          </cell>
          <cell r="F134" t="str">
            <v>Bronze</v>
          </cell>
          <cell r="G134">
            <v>90</v>
          </cell>
          <cell r="H134">
            <v>0</v>
          </cell>
          <cell r="I134">
            <v>0</v>
          </cell>
          <cell r="J134">
            <v>30</v>
          </cell>
          <cell r="K134">
            <v>0</v>
          </cell>
          <cell r="L134">
            <v>10</v>
          </cell>
          <cell r="M134">
            <v>0</v>
          </cell>
          <cell r="N134">
            <v>0</v>
          </cell>
          <cell r="O134">
            <v>30</v>
          </cell>
          <cell r="P134">
            <v>0</v>
          </cell>
          <cell r="Q134">
            <v>0</v>
          </cell>
          <cell r="R134">
            <v>5</v>
          </cell>
          <cell r="S134">
            <v>0</v>
          </cell>
          <cell r="T134">
            <v>0</v>
          </cell>
          <cell r="U134">
            <v>1</v>
          </cell>
          <cell r="V134">
            <v>3</v>
          </cell>
          <cell r="W134">
            <v>1</v>
          </cell>
          <cell r="X134">
            <v>10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19636500</v>
          </cell>
        </row>
        <row r="135">
          <cell r="C135" t="str">
            <v>SWC2391</v>
          </cell>
          <cell r="D135" t="str">
            <v>SE</v>
          </cell>
          <cell r="E135" t="str">
            <v>Clement Igbafa Afekhena</v>
          </cell>
          <cell r="F135" t="str">
            <v>Platinum</v>
          </cell>
          <cell r="G135">
            <v>650</v>
          </cell>
          <cell r="H135">
            <v>0</v>
          </cell>
          <cell r="I135">
            <v>0</v>
          </cell>
          <cell r="J135">
            <v>320</v>
          </cell>
          <cell r="K135">
            <v>0</v>
          </cell>
          <cell r="L135">
            <v>5</v>
          </cell>
          <cell r="M135">
            <v>0</v>
          </cell>
          <cell r="N135">
            <v>0</v>
          </cell>
          <cell r="O135">
            <v>172</v>
          </cell>
          <cell r="P135">
            <v>0</v>
          </cell>
          <cell r="Q135">
            <v>0</v>
          </cell>
          <cell r="R135">
            <v>50</v>
          </cell>
          <cell r="S135">
            <v>0</v>
          </cell>
          <cell r="T135">
            <v>0</v>
          </cell>
          <cell r="U135">
            <v>0</v>
          </cell>
          <cell r="V135">
            <v>3</v>
          </cell>
          <cell r="W135">
            <v>0</v>
          </cell>
          <cell r="X135">
            <v>100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150294000</v>
          </cell>
        </row>
        <row r="136">
          <cell r="C136" t="str">
            <v>WCFA000205</v>
          </cell>
          <cell r="D136" t="str">
            <v>SE</v>
          </cell>
          <cell r="E136" t="str">
            <v>Grace Oboh</v>
          </cell>
          <cell r="F136" t="str">
            <v>Bronze</v>
          </cell>
          <cell r="G136">
            <v>90</v>
          </cell>
          <cell r="H136">
            <v>0</v>
          </cell>
          <cell r="I136">
            <v>0</v>
          </cell>
          <cell r="J136">
            <v>25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44</v>
          </cell>
          <cell r="P136">
            <v>1</v>
          </cell>
          <cell r="Q136">
            <v>5</v>
          </cell>
          <cell r="R136">
            <v>0</v>
          </cell>
          <cell r="S136">
            <v>0</v>
          </cell>
          <cell r="T136">
            <v>0</v>
          </cell>
          <cell r="U136">
            <v>3</v>
          </cell>
          <cell r="V136">
            <v>0</v>
          </cell>
          <cell r="W136">
            <v>2</v>
          </cell>
          <cell r="X136">
            <v>10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20255500</v>
          </cell>
        </row>
        <row r="137">
          <cell r="C137" t="str">
            <v>WCFA000204</v>
          </cell>
          <cell r="D137" t="str">
            <v>SE</v>
          </cell>
          <cell r="E137" t="str">
            <v>Florence Mofe</v>
          </cell>
          <cell r="F137" t="str">
            <v>Bronze</v>
          </cell>
          <cell r="G137">
            <v>80</v>
          </cell>
          <cell r="H137">
            <v>0</v>
          </cell>
          <cell r="I137">
            <v>0</v>
          </cell>
          <cell r="J137">
            <v>40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30</v>
          </cell>
          <cell r="P137">
            <v>0</v>
          </cell>
          <cell r="Q137">
            <v>2</v>
          </cell>
          <cell r="R137">
            <v>0</v>
          </cell>
          <cell r="S137">
            <v>0</v>
          </cell>
          <cell r="T137">
            <v>0</v>
          </cell>
          <cell r="U137">
            <v>1</v>
          </cell>
          <cell r="V137">
            <v>0</v>
          </cell>
          <cell r="W137">
            <v>1</v>
          </cell>
          <cell r="X137">
            <v>6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19057500</v>
          </cell>
        </row>
        <row r="138">
          <cell r="C138" t="str">
            <v>WCFA000203</v>
          </cell>
          <cell r="D138" t="str">
            <v>SE</v>
          </cell>
          <cell r="E138" t="str">
            <v>Clara Ohwaga</v>
          </cell>
          <cell r="F138" t="str">
            <v>Bronze</v>
          </cell>
          <cell r="G138">
            <v>90</v>
          </cell>
          <cell r="H138">
            <v>0</v>
          </cell>
          <cell r="I138">
            <v>0</v>
          </cell>
          <cell r="J138">
            <v>30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38</v>
          </cell>
          <cell r="P138">
            <v>1</v>
          </cell>
          <cell r="Q138">
            <v>5</v>
          </cell>
          <cell r="R138">
            <v>0</v>
          </cell>
          <cell r="S138">
            <v>0</v>
          </cell>
          <cell r="T138">
            <v>0</v>
          </cell>
          <cell r="U138">
            <v>3</v>
          </cell>
          <cell r="V138">
            <v>1</v>
          </cell>
          <cell r="W138">
            <v>2</v>
          </cell>
          <cell r="X138">
            <v>10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20293500</v>
          </cell>
        </row>
        <row r="139">
          <cell r="C139" t="str">
            <v>WCFA000200</v>
          </cell>
          <cell r="D139" t="str">
            <v>SE</v>
          </cell>
          <cell r="E139" t="str">
            <v>Victoria Agbajo</v>
          </cell>
          <cell r="F139" t="str">
            <v>Bronze</v>
          </cell>
          <cell r="G139">
            <v>90</v>
          </cell>
          <cell r="H139">
            <v>0</v>
          </cell>
          <cell r="I139">
            <v>0</v>
          </cell>
          <cell r="J139">
            <v>30</v>
          </cell>
          <cell r="K139">
            <v>0</v>
          </cell>
          <cell r="L139">
            <v>1</v>
          </cell>
          <cell r="M139">
            <v>0</v>
          </cell>
          <cell r="N139">
            <v>0</v>
          </cell>
          <cell r="O139">
            <v>37</v>
          </cell>
          <cell r="P139">
            <v>0</v>
          </cell>
          <cell r="Q139">
            <v>6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2</v>
          </cell>
          <cell r="W139">
            <v>2</v>
          </cell>
          <cell r="X139">
            <v>11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20255500</v>
          </cell>
        </row>
        <row r="140">
          <cell r="C140" t="str">
            <v>WCFA000198</v>
          </cell>
          <cell r="D140" t="str">
            <v>SE</v>
          </cell>
          <cell r="E140" t="str">
            <v>Stella Omoshowafa</v>
          </cell>
          <cell r="F140" t="str">
            <v>Bronze</v>
          </cell>
          <cell r="G140">
            <v>90</v>
          </cell>
          <cell r="H140">
            <v>0</v>
          </cell>
          <cell r="I140">
            <v>0</v>
          </cell>
          <cell r="J140">
            <v>25</v>
          </cell>
          <cell r="K140">
            <v>0</v>
          </cell>
          <cell r="L140">
            <v>1</v>
          </cell>
          <cell r="M140">
            <v>0</v>
          </cell>
          <cell r="N140">
            <v>0</v>
          </cell>
          <cell r="O140">
            <v>36</v>
          </cell>
          <cell r="P140">
            <v>0</v>
          </cell>
          <cell r="Q140">
            <v>10</v>
          </cell>
          <cell r="R140">
            <v>0</v>
          </cell>
          <cell r="S140">
            <v>0</v>
          </cell>
          <cell r="T140">
            <v>0</v>
          </cell>
          <cell r="U140">
            <v>3</v>
          </cell>
          <cell r="V140">
            <v>1</v>
          </cell>
          <cell r="W140">
            <v>2</v>
          </cell>
          <cell r="X140">
            <v>12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19748500</v>
          </cell>
        </row>
        <row r="141">
          <cell r="C141" t="str">
            <v>WCFA000197</v>
          </cell>
          <cell r="D141" t="str">
            <v>SE</v>
          </cell>
          <cell r="E141" t="str">
            <v>Roseline Afor</v>
          </cell>
          <cell r="F141" t="str">
            <v>Bronze</v>
          </cell>
          <cell r="G141">
            <v>90</v>
          </cell>
          <cell r="H141">
            <v>0</v>
          </cell>
          <cell r="I141">
            <v>0</v>
          </cell>
          <cell r="J141">
            <v>27</v>
          </cell>
          <cell r="K141">
            <v>0</v>
          </cell>
          <cell r="L141">
            <v>1</v>
          </cell>
          <cell r="M141">
            <v>0</v>
          </cell>
          <cell r="N141">
            <v>0</v>
          </cell>
          <cell r="O141">
            <v>35</v>
          </cell>
          <cell r="P141">
            <v>1</v>
          </cell>
          <cell r="Q141">
            <v>5</v>
          </cell>
          <cell r="R141">
            <v>0</v>
          </cell>
          <cell r="S141">
            <v>0</v>
          </cell>
          <cell r="T141">
            <v>0</v>
          </cell>
          <cell r="U141">
            <v>3</v>
          </cell>
          <cell r="V141">
            <v>1</v>
          </cell>
          <cell r="W141">
            <v>2</v>
          </cell>
          <cell r="X141">
            <v>15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19935500</v>
          </cell>
        </row>
        <row r="142">
          <cell r="C142" t="str">
            <v>WCFA000195</v>
          </cell>
          <cell r="D142" t="str">
            <v>SE</v>
          </cell>
          <cell r="E142" t="str">
            <v>Maria Ogbe</v>
          </cell>
          <cell r="F142" t="str">
            <v>Platinum</v>
          </cell>
          <cell r="G142">
            <v>700</v>
          </cell>
          <cell r="H142">
            <v>0</v>
          </cell>
          <cell r="I142">
            <v>0</v>
          </cell>
          <cell r="J142">
            <v>230</v>
          </cell>
          <cell r="K142">
            <v>0</v>
          </cell>
          <cell r="L142">
            <v>6</v>
          </cell>
          <cell r="M142">
            <v>0</v>
          </cell>
          <cell r="N142">
            <v>0</v>
          </cell>
          <cell r="O142">
            <v>272</v>
          </cell>
          <cell r="P142">
            <v>2</v>
          </cell>
          <cell r="Q142">
            <v>55</v>
          </cell>
          <cell r="R142">
            <v>10</v>
          </cell>
          <cell r="S142">
            <v>0</v>
          </cell>
          <cell r="T142">
            <v>0</v>
          </cell>
          <cell r="U142">
            <v>4</v>
          </cell>
          <cell r="V142">
            <v>6</v>
          </cell>
          <cell r="W142">
            <v>10</v>
          </cell>
          <cell r="X142">
            <v>105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157798000</v>
          </cell>
        </row>
        <row r="143">
          <cell r="C143" t="str">
            <v>WCFA000194</v>
          </cell>
          <cell r="D143" t="str">
            <v>SE</v>
          </cell>
          <cell r="E143" t="str">
            <v>Maria Asakpa(Warri)</v>
          </cell>
          <cell r="F143" t="str">
            <v>Silver</v>
          </cell>
          <cell r="G143">
            <v>140</v>
          </cell>
          <cell r="H143">
            <v>0</v>
          </cell>
          <cell r="I143">
            <v>0</v>
          </cell>
          <cell r="J143">
            <v>37</v>
          </cell>
          <cell r="K143">
            <v>0</v>
          </cell>
          <cell r="L143">
            <v>3</v>
          </cell>
          <cell r="M143">
            <v>0</v>
          </cell>
          <cell r="N143">
            <v>0</v>
          </cell>
          <cell r="O143">
            <v>60</v>
          </cell>
          <cell r="P143">
            <v>1</v>
          </cell>
          <cell r="Q143">
            <v>12</v>
          </cell>
          <cell r="R143">
            <v>4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8</v>
          </cell>
          <cell r="X143">
            <v>15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30775000</v>
          </cell>
        </row>
        <row r="144">
          <cell r="C144" t="str">
            <v>WCFA000193</v>
          </cell>
          <cell r="D144" t="str">
            <v>SE</v>
          </cell>
          <cell r="E144" t="str">
            <v>Lydia Omanze</v>
          </cell>
          <cell r="F144" t="str">
            <v>Silver</v>
          </cell>
          <cell r="G144">
            <v>120</v>
          </cell>
          <cell r="H144">
            <v>0</v>
          </cell>
          <cell r="I144">
            <v>0</v>
          </cell>
          <cell r="J144">
            <v>10</v>
          </cell>
          <cell r="K144">
            <v>0</v>
          </cell>
          <cell r="L144">
            <v>2</v>
          </cell>
          <cell r="M144">
            <v>0</v>
          </cell>
          <cell r="N144">
            <v>0</v>
          </cell>
          <cell r="O144">
            <v>70</v>
          </cell>
          <cell r="P144">
            <v>2</v>
          </cell>
          <cell r="Q144">
            <v>8</v>
          </cell>
          <cell r="R144">
            <v>0</v>
          </cell>
          <cell r="S144">
            <v>0</v>
          </cell>
          <cell r="T144">
            <v>0</v>
          </cell>
          <cell r="U144">
            <v>4</v>
          </cell>
          <cell r="V144">
            <v>6</v>
          </cell>
          <cell r="W144">
            <v>5</v>
          </cell>
          <cell r="X144">
            <v>13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25175000</v>
          </cell>
        </row>
        <row r="145">
          <cell r="C145" t="str">
            <v>WCFA000190</v>
          </cell>
          <cell r="D145" t="str">
            <v>SE</v>
          </cell>
          <cell r="E145" t="str">
            <v>Felicia Oji</v>
          </cell>
          <cell r="F145" t="str">
            <v>Gold</v>
          </cell>
          <cell r="G145">
            <v>300</v>
          </cell>
          <cell r="H145">
            <v>0</v>
          </cell>
          <cell r="I145">
            <v>0</v>
          </cell>
          <cell r="J145">
            <v>120</v>
          </cell>
          <cell r="K145">
            <v>0</v>
          </cell>
          <cell r="L145">
            <v>1</v>
          </cell>
          <cell r="M145">
            <v>0</v>
          </cell>
          <cell r="N145">
            <v>0</v>
          </cell>
          <cell r="O145">
            <v>90</v>
          </cell>
          <cell r="P145">
            <v>1</v>
          </cell>
          <cell r="Q145">
            <v>30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5</v>
          </cell>
          <cell r="W145">
            <v>7</v>
          </cell>
          <cell r="X145">
            <v>46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68040000</v>
          </cell>
        </row>
        <row r="146">
          <cell r="C146" t="str">
            <v>SWC1275</v>
          </cell>
          <cell r="D146" t="str">
            <v>SE</v>
          </cell>
          <cell r="E146" t="str">
            <v>Igere Richard</v>
          </cell>
          <cell r="F146" t="str">
            <v>Bronze</v>
          </cell>
          <cell r="G146">
            <v>115</v>
          </cell>
          <cell r="H146">
            <v>0</v>
          </cell>
          <cell r="I146">
            <v>0</v>
          </cell>
          <cell r="J146">
            <v>37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56</v>
          </cell>
          <cell r="P146">
            <v>1</v>
          </cell>
          <cell r="Q146">
            <v>7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2</v>
          </cell>
          <cell r="W146">
            <v>2</v>
          </cell>
          <cell r="X146">
            <v>10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26432000</v>
          </cell>
        </row>
        <row r="147">
          <cell r="C147" t="str">
            <v>SWC1388</v>
          </cell>
          <cell r="D147" t="str">
            <v>SE</v>
          </cell>
          <cell r="E147" t="str">
            <v>Igwe Stores</v>
          </cell>
          <cell r="F147" t="str">
            <v>Silver</v>
          </cell>
          <cell r="G147">
            <v>200</v>
          </cell>
          <cell r="H147">
            <v>0</v>
          </cell>
          <cell r="I147">
            <v>0</v>
          </cell>
          <cell r="J147">
            <v>83</v>
          </cell>
          <cell r="K147">
            <v>0</v>
          </cell>
          <cell r="L147">
            <v>11</v>
          </cell>
          <cell r="M147">
            <v>0</v>
          </cell>
          <cell r="N147">
            <v>0</v>
          </cell>
          <cell r="O147">
            <v>80</v>
          </cell>
          <cell r="P147">
            <v>0</v>
          </cell>
          <cell r="Q147">
            <v>13</v>
          </cell>
          <cell r="R147">
            <v>4</v>
          </cell>
          <cell r="S147">
            <v>0</v>
          </cell>
          <cell r="T147">
            <v>0</v>
          </cell>
          <cell r="U147">
            <v>0</v>
          </cell>
          <cell r="V147">
            <v>2</v>
          </cell>
          <cell r="W147">
            <v>2</v>
          </cell>
          <cell r="X147">
            <v>5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46374000</v>
          </cell>
        </row>
        <row r="148">
          <cell r="C148" t="str">
            <v>WCFA000143</v>
          </cell>
          <cell r="D148" t="str">
            <v>SE</v>
          </cell>
          <cell r="E148" t="str">
            <v>James Okochi</v>
          </cell>
          <cell r="F148" t="str">
            <v>Platinum Plus</v>
          </cell>
          <cell r="G148">
            <v>1100</v>
          </cell>
          <cell r="H148">
            <v>0</v>
          </cell>
          <cell r="I148">
            <v>0</v>
          </cell>
          <cell r="J148">
            <v>350</v>
          </cell>
          <cell r="K148">
            <v>3</v>
          </cell>
          <cell r="L148">
            <v>10</v>
          </cell>
          <cell r="M148">
            <v>0</v>
          </cell>
          <cell r="N148">
            <v>0</v>
          </cell>
          <cell r="O148">
            <v>400</v>
          </cell>
          <cell r="P148">
            <v>1</v>
          </cell>
          <cell r="Q148">
            <v>1</v>
          </cell>
          <cell r="R148">
            <v>100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235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244652000</v>
          </cell>
        </row>
        <row r="149">
          <cell r="C149" t="str">
            <v>WCFA000139</v>
          </cell>
          <cell r="D149" t="str">
            <v>SE</v>
          </cell>
          <cell r="E149" t="str">
            <v>Damian Eziekwu</v>
          </cell>
          <cell r="F149" t="str">
            <v>Platinum Plus</v>
          </cell>
          <cell r="G149">
            <v>1043</v>
          </cell>
          <cell r="H149">
            <v>0</v>
          </cell>
          <cell r="I149">
            <v>0</v>
          </cell>
          <cell r="J149">
            <v>217</v>
          </cell>
          <cell r="K149">
            <v>10</v>
          </cell>
          <cell r="L149">
            <v>15</v>
          </cell>
          <cell r="M149">
            <v>0</v>
          </cell>
          <cell r="N149">
            <v>0</v>
          </cell>
          <cell r="O149">
            <v>400</v>
          </cell>
          <cell r="P149">
            <v>2</v>
          </cell>
          <cell r="Q149">
            <v>5</v>
          </cell>
          <cell r="R149">
            <v>150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4</v>
          </cell>
          <cell r="X149">
            <v>240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221636000</v>
          </cell>
        </row>
        <row r="150">
          <cell r="C150" t="str">
            <v>SWC1989</v>
          </cell>
          <cell r="D150" t="str">
            <v>SE</v>
          </cell>
          <cell r="E150" t="str">
            <v>Ufuanyaegbunam Okechukwu</v>
          </cell>
          <cell r="F150" t="str">
            <v>Gold</v>
          </cell>
          <cell r="G150">
            <v>250</v>
          </cell>
          <cell r="H150">
            <v>0</v>
          </cell>
          <cell r="I150">
            <v>0</v>
          </cell>
          <cell r="J150">
            <v>92</v>
          </cell>
          <cell r="K150">
            <v>0</v>
          </cell>
          <cell r="L150">
            <v>1</v>
          </cell>
          <cell r="M150">
            <v>0</v>
          </cell>
          <cell r="N150">
            <v>0</v>
          </cell>
          <cell r="O150">
            <v>65</v>
          </cell>
          <cell r="P150">
            <v>0</v>
          </cell>
          <cell r="Q150">
            <v>2</v>
          </cell>
          <cell r="R150">
            <v>30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60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55109000</v>
          </cell>
        </row>
        <row r="151">
          <cell r="C151" t="str">
            <v>SWC1252</v>
          </cell>
          <cell r="D151" t="str">
            <v>SE</v>
          </cell>
          <cell r="E151" t="str">
            <v>Ugochukwu Ezeja</v>
          </cell>
          <cell r="F151" t="str">
            <v>Platinum Plus</v>
          </cell>
          <cell r="G151">
            <v>950</v>
          </cell>
          <cell r="H151">
            <v>0</v>
          </cell>
          <cell r="I151">
            <v>0</v>
          </cell>
          <cell r="J151">
            <v>300</v>
          </cell>
          <cell r="K151">
            <v>2</v>
          </cell>
          <cell r="L151">
            <v>7</v>
          </cell>
          <cell r="M151">
            <v>0</v>
          </cell>
          <cell r="N151">
            <v>0</v>
          </cell>
          <cell r="O151">
            <v>300</v>
          </cell>
          <cell r="P151">
            <v>1</v>
          </cell>
          <cell r="Q151">
            <v>2</v>
          </cell>
          <cell r="R151">
            <v>104</v>
          </cell>
          <cell r="S151">
            <v>0</v>
          </cell>
          <cell r="T151">
            <v>0</v>
          </cell>
          <cell r="U151">
            <v>0</v>
          </cell>
          <cell r="V151">
            <v>4</v>
          </cell>
          <cell r="W151">
            <v>2</v>
          </cell>
          <cell r="X151">
            <v>228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208026000</v>
          </cell>
        </row>
        <row r="152">
          <cell r="C152" t="str">
            <v>SWC3000</v>
          </cell>
          <cell r="D152" t="str">
            <v>SE</v>
          </cell>
          <cell r="E152" t="str">
            <v>Elizabeth Egbeomah</v>
          </cell>
          <cell r="F152" t="str">
            <v>Gold</v>
          </cell>
          <cell r="G152">
            <v>200</v>
          </cell>
          <cell r="H152">
            <v>0</v>
          </cell>
          <cell r="I152">
            <v>0</v>
          </cell>
          <cell r="J152">
            <v>102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60</v>
          </cell>
          <cell r="P152">
            <v>2</v>
          </cell>
          <cell r="Q152">
            <v>7</v>
          </cell>
          <cell r="R152">
            <v>1</v>
          </cell>
          <cell r="S152">
            <v>0</v>
          </cell>
          <cell r="T152">
            <v>0</v>
          </cell>
          <cell r="U152">
            <v>3</v>
          </cell>
          <cell r="V152">
            <v>2</v>
          </cell>
          <cell r="W152">
            <v>3</v>
          </cell>
          <cell r="X152">
            <v>20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47028500</v>
          </cell>
        </row>
        <row r="153">
          <cell r="C153" t="str">
            <v>WCPA000144</v>
          </cell>
          <cell r="D153" t="str">
            <v>SE</v>
          </cell>
          <cell r="E153" t="str">
            <v>FRIDAY BASSEY</v>
          </cell>
          <cell r="F153" t="str">
            <v>Silver</v>
          </cell>
          <cell r="G153">
            <v>125</v>
          </cell>
          <cell r="H153">
            <v>0</v>
          </cell>
          <cell r="I153">
            <v>0</v>
          </cell>
          <cell r="J153">
            <v>60</v>
          </cell>
          <cell r="K153">
            <v>1</v>
          </cell>
          <cell r="L153">
            <v>9</v>
          </cell>
          <cell r="M153">
            <v>0</v>
          </cell>
          <cell r="N153">
            <v>0</v>
          </cell>
          <cell r="O153">
            <v>40</v>
          </cell>
          <cell r="P153">
            <v>0</v>
          </cell>
          <cell r="Q153">
            <v>1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4</v>
          </cell>
          <cell r="X153">
            <v>10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29128000</v>
          </cell>
        </row>
        <row r="154">
          <cell r="C154" t="str">
            <v>SEC003986</v>
          </cell>
          <cell r="D154" t="str">
            <v>SE</v>
          </cell>
          <cell r="E154" t="str">
            <v>Elijah James Udoh</v>
          </cell>
          <cell r="F154" t="str">
            <v>Bronze</v>
          </cell>
          <cell r="G154">
            <v>125</v>
          </cell>
          <cell r="H154">
            <v>0</v>
          </cell>
          <cell r="I154">
            <v>0</v>
          </cell>
          <cell r="J154">
            <v>16</v>
          </cell>
          <cell r="K154">
            <v>1</v>
          </cell>
          <cell r="L154">
            <v>10</v>
          </cell>
          <cell r="M154">
            <v>0</v>
          </cell>
          <cell r="N154">
            <v>0</v>
          </cell>
          <cell r="O154">
            <v>60</v>
          </cell>
          <cell r="P154">
            <v>0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9</v>
          </cell>
          <cell r="X154">
            <v>28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26368000</v>
          </cell>
        </row>
        <row r="155">
          <cell r="C155" t="str">
            <v>WCPA000143</v>
          </cell>
          <cell r="D155" t="str">
            <v>SE</v>
          </cell>
          <cell r="E155" t="str">
            <v>ISIDORE NKANTA</v>
          </cell>
          <cell r="F155" t="str">
            <v>Silver</v>
          </cell>
          <cell r="G155">
            <v>130</v>
          </cell>
          <cell r="H155">
            <v>0</v>
          </cell>
          <cell r="I155">
            <v>0</v>
          </cell>
          <cell r="J155">
            <v>50</v>
          </cell>
          <cell r="K155">
            <v>1</v>
          </cell>
          <cell r="L155">
            <v>10</v>
          </cell>
          <cell r="M155">
            <v>0</v>
          </cell>
          <cell r="N155">
            <v>0</v>
          </cell>
          <cell r="O155">
            <v>30</v>
          </cell>
          <cell r="P155">
            <v>2</v>
          </cell>
          <cell r="Q155">
            <v>3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9</v>
          </cell>
          <cell r="X155">
            <v>25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28672000</v>
          </cell>
        </row>
        <row r="156">
          <cell r="C156" t="str">
            <v>WCPA000139</v>
          </cell>
          <cell r="D156" t="str">
            <v>SE</v>
          </cell>
          <cell r="E156" t="str">
            <v>IME B. EKPO</v>
          </cell>
          <cell r="F156" t="str">
            <v>Silver</v>
          </cell>
          <cell r="G156">
            <v>170</v>
          </cell>
          <cell r="H156">
            <v>0</v>
          </cell>
          <cell r="I156">
            <v>0</v>
          </cell>
          <cell r="J156">
            <v>65</v>
          </cell>
          <cell r="K156">
            <v>1</v>
          </cell>
          <cell r="L156">
            <v>15</v>
          </cell>
          <cell r="M156">
            <v>0</v>
          </cell>
          <cell r="N156">
            <v>0</v>
          </cell>
          <cell r="O156">
            <v>40</v>
          </cell>
          <cell r="P156">
            <v>0</v>
          </cell>
          <cell r="Q156">
            <v>1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2</v>
          </cell>
          <cell r="W156">
            <v>3</v>
          </cell>
          <cell r="X156">
            <v>43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37800000</v>
          </cell>
        </row>
        <row r="157">
          <cell r="C157" t="str">
            <v>SEC001390</v>
          </cell>
          <cell r="D157" t="str">
            <v>SE</v>
          </cell>
          <cell r="E157" t="str">
            <v>IME ELIJAH</v>
          </cell>
          <cell r="F157" t="str">
            <v>Bronze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</row>
        <row r="158">
          <cell r="C158" t="str">
            <v>SEC001235</v>
          </cell>
          <cell r="D158" t="str">
            <v>SE</v>
          </cell>
          <cell r="E158" t="str">
            <v>Aniekan Napoleon</v>
          </cell>
          <cell r="F158" t="str">
            <v>Silver</v>
          </cell>
          <cell r="G158">
            <v>200</v>
          </cell>
          <cell r="H158">
            <v>0</v>
          </cell>
          <cell r="I158">
            <v>0</v>
          </cell>
          <cell r="J158">
            <v>82</v>
          </cell>
          <cell r="K158">
            <v>1</v>
          </cell>
          <cell r="L158">
            <v>9</v>
          </cell>
          <cell r="M158">
            <v>0</v>
          </cell>
          <cell r="N158">
            <v>0</v>
          </cell>
          <cell r="O158">
            <v>70</v>
          </cell>
          <cell r="P158">
            <v>0</v>
          </cell>
          <cell r="Q158">
            <v>10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</v>
          </cell>
          <cell r="X158">
            <v>25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46151000</v>
          </cell>
        </row>
        <row r="159">
          <cell r="C159" t="str">
            <v>PWCPP000306</v>
          </cell>
          <cell r="D159" t="str">
            <v>SE</v>
          </cell>
          <cell r="E159" t="str">
            <v>Jacob Ekpo</v>
          </cell>
          <cell r="F159" t="str">
            <v>Bronze</v>
          </cell>
          <cell r="G159">
            <v>80</v>
          </cell>
          <cell r="H159">
            <v>0</v>
          </cell>
          <cell r="I159">
            <v>0</v>
          </cell>
          <cell r="J159">
            <v>40</v>
          </cell>
          <cell r="K159">
            <v>1</v>
          </cell>
          <cell r="L159">
            <v>5</v>
          </cell>
          <cell r="M159">
            <v>0</v>
          </cell>
          <cell r="N159">
            <v>0</v>
          </cell>
          <cell r="O159">
            <v>21</v>
          </cell>
          <cell r="P159">
            <v>0</v>
          </cell>
          <cell r="Q159">
            <v>1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2</v>
          </cell>
          <cell r="X159">
            <v>10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18612000</v>
          </cell>
        </row>
        <row r="160">
          <cell r="C160" t="str">
            <v>WCPA000152</v>
          </cell>
          <cell r="D160" t="str">
            <v>SE</v>
          </cell>
          <cell r="E160" t="str">
            <v>CHUKWUDI ASIEGBU</v>
          </cell>
          <cell r="F160" t="str">
            <v>Silver</v>
          </cell>
          <cell r="G160">
            <v>170</v>
          </cell>
          <cell r="H160">
            <v>0</v>
          </cell>
          <cell r="I160">
            <v>0</v>
          </cell>
          <cell r="J160">
            <v>75</v>
          </cell>
          <cell r="K160">
            <v>2</v>
          </cell>
          <cell r="L160">
            <v>7</v>
          </cell>
          <cell r="M160">
            <v>1</v>
          </cell>
          <cell r="N160">
            <v>0</v>
          </cell>
          <cell r="O160">
            <v>40</v>
          </cell>
          <cell r="P160">
            <v>5</v>
          </cell>
          <cell r="Q160">
            <v>5</v>
          </cell>
          <cell r="R160">
            <v>0</v>
          </cell>
          <cell r="S160">
            <v>0</v>
          </cell>
          <cell r="T160">
            <v>0</v>
          </cell>
          <cell r="U160">
            <v>5</v>
          </cell>
          <cell r="V160">
            <v>5</v>
          </cell>
          <cell r="W160">
            <v>5</v>
          </cell>
          <cell r="X160">
            <v>20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38172500</v>
          </cell>
        </row>
        <row r="161">
          <cell r="C161" t="str">
            <v>WCPA000148</v>
          </cell>
          <cell r="D161" t="str">
            <v>SE</v>
          </cell>
          <cell r="E161" t="str">
            <v>JOSEPH EZEH</v>
          </cell>
          <cell r="F161" t="str">
            <v>Bronze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</row>
        <row r="162">
          <cell r="C162" t="str">
            <v>WCPA000042</v>
          </cell>
          <cell r="D162" t="str">
            <v>SE</v>
          </cell>
          <cell r="E162" t="str">
            <v>OKEY EZUNAGU</v>
          </cell>
          <cell r="F162" t="str">
            <v>Silver</v>
          </cell>
          <cell r="G162">
            <v>170</v>
          </cell>
          <cell r="H162">
            <v>0</v>
          </cell>
          <cell r="I162">
            <v>0</v>
          </cell>
          <cell r="J162">
            <v>60</v>
          </cell>
          <cell r="K162">
            <v>1</v>
          </cell>
          <cell r="L162">
            <v>2</v>
          </cell>
          <cell r="M162">
            <v>0</v>
          </cell>
          <cell r="N162">
            <v>0</v>
          </cell>
          <cell r="O162">
            <v>71</v>
          </cell>
          <cell r="P162">
            <v>4</v>
          </cell>
          <cell r="Q162">
            <v>4</v>
          </cell>
          <cell r="R162">
            <v>0</v>
          </cell>
          <cell r="S162">
            <v>0</v>
          </cell>
          <cell r="T162">
            <v>0</v>
          </cell>
          <cell r="U162">
            <v>3</v>
          </cell>
          <cell r="V162">
            <v>2</v>
          </cell>
          <cell r="W162">
            <v>3</v>
          </cell>
          <cell r="X162">
            <v>20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38941500</v>
          </cell>
        </row>
        <row r="163">
          <cell r="C163" t="str">
            <v>WCPA000028</v>
          </cell>
          <cell r="D163" t="str">
            <v>SE</v>
          </cell>
          <cell r="E163" t="str">
            <v>IGNATUS OKAFOR</v>
          </cell>
          <cell r="F163" t="str">
            <v>Silver</v>
          </cell>
          <cell r="G163">
            <v>170</v>
          </cell>
          <cell r="H163">
            <v>0</v>
          </cell>
          <cell r="I163">
            <v>0</v>
          </cell>
          <cell r="J163">
            <v>60</v>
          </cell>
          <cell r="K163">
            <v>1</v>
          </cell>
          <cell r="L163">
            <v>5</v>
          </cell>
          <cell r="M163">
            <v>0</v>
          </cell>
          <cell r="N163">
            <v>0</v>
          </cell>
          <cell r="O163">
            <v>51</v>
          </cell>
          <cell r="P163">
            <v>8</v>
          </cell>
          <cell r="Q163">
            <v>2</v>
          </cell>
          <cell r="R163">
            <v>0</v>
          </cell>
          <cell r="S163">
            <v>0</v>
          </cell>
          <cell r="T163">
            <v>0</v>
          </cell>
          <cell r="U163">
            <v>1</v>
          </cell>
          <cell r="V163">
            <v>1</v>
          </cell>
          <cell r="W163">
            <v>1</v>
          </cell>
          <cell r="X163">
            <v>40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38750500</v>
          </cell>
        </row>
        <row r="164">
          <cell r="C164" t="str">
            <v>WCPA000026</v>
          </cell>
          <cell r="D164" t="str">
            <v>SE</v>
          </cell>
          <cell r="E164" t="str">
            <v>JUDE ANYANWU</v>
          </cell>
          <cell r="F164" t="str">
            <v>Silver</v>
          </cell>
          <cell r="G164">
            <v>150</v>
          </cell>
          <cell r="H164">
            <v>0</v>
          </cell>
          <cell r="I164">
            <v>0</v>
          </cell>
          <cell r="J164">
            <v>42</v>
          </cell>
          <cell r="K164">
            <v>1</v>
          </cell>
          <cell r="L164">
            <v>13</v>
          </cell>
          <cell r="M164">
            <v>0</v>
          </cell>
          <cell r="N164">
            <v>0</v>
          </cell>
          <cell r="O164">
            <v>48</v>
          </cell>
          <cell r="P164">
            <v>0</v>
          </cell>
          <cell r="Q164">
            <v>3</v>
          </cell>
          <cell r="R164">
            <v>0</v>
          </cell>
          <cell r="S164">
            <v>0</v>
          </cell>
          <cell r="T164">
            <v>0</v>
          </cell>
          <cell r="U164">
            <v>3</v>
          </cell>
          <cell r="V164">
            <v>1</v>
          </cell>
          <cell r="W164">
            <v>8</v>
          </cell>
          <cell r="X164">
            <v>31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32168500</v>
          </cell>
        </row>
        <row r="165">
          <cell r="C165" t="str">
            <v>WCPA000025</v>
          </cell>
          <cell r="D165" t="str">
            <v>SE</v>
          </cell>
          <cell r="E165" t="str">
            <v>NZE C.N. OKONKWO</v>
          </cell>
          <cell r="F165" t="str">
            <v>Gold</v>
          </cell>
          <cell r="G165">
            <v>300</v>
          </cell>
          <cell r="H165">
            <v>0</v>
          </cell>
          <cell r="I165">
            <v>0</v>
          </cell>
          <cell r="J165">
            <v>60</v>
          </cell>
          <cell r="K165">
            <v>1</v>
          </cell>
          <cell r="L165">
            <v>10</v>
          </cell>
          <cell r="M165">
            <v>1</v>
          </cell>
          <cell r="N165">
            <v>0</v>
          </cell>
          <cell r="O165">
            <v>76</v>
          </cell>
          <cell r="P165">
            <v>30</v>
          </cell>
          <cell r="Q165">
            <v>10</v>
          </cell>
          <cell r="R165">
            <v>0</v>
          </cell>
          <cell r="S165">
            <v>0</v>
          </cell>
          <cell r="T165">
            <v>0</v>
          </cell>
          <cell r="U165">
            <v>5</v>
          </cell>
          <cell r="V165">
            <v>10</v>
          </cell>
          <cell r="W165">
            <v>17</v>
          </cell>
          <cell r="X165">
            <v>80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63543500</v>
          </cell>
        </row>
        <row r="166">
          <cell r="C166" t="str">
            <v>WCPA000024</v>
          </cell>
          <cell r="D166" t="str">
            <v>SE</v>
          </cell>
          <cell r="E166" t="str">
            <v>JONAS DIKE</v>
          </cell>
          <cell r="F166" t="str">
            <v>Gold</v>
          </cell>
          <cell r="G166">
            <v>360</v>
          </cell>
          <cell r="H166">
            <v>0</v>
          </cell>
          <cell r="I166">
            <v>0</v>
          </cell>
          <cell r="J166">
            <v>80</v>
          </cell>
          <cell r="K166">
            <v>5</v>
          </cell>
          <cell r="L166">
            <v>10</v>
          </cell>
          <cell r="M166">
            <v>1</v>
          </cell>
          <cell r="N166">
            <v>0</v>
          </cell>
          <cell r="O166">
            <v>120</v>
          </cell>
          <cell r="P166">
            <v>75</v>
          </cell>
          <cell r="Q166">
            <v>6</v>
          </cell>
          <cell r="R166">
            <v>0</v>
          </cell>
          <cell r="S166">
            <v>0</v>
          </cell>
          <cell r="T166">
            <v>0</v>
          </cell>
          <cell r="U166">
            <v>3</v>
          </cell>
          <cell r="V166">
            <v>5</v>
          </cell>
          <cell r="W166">
            <v>10</v>
          </cell>
          <cell r="X166">
            <v>45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82439500</v>
          </cell>
        </row>
        <row r="167">
          <cell r="C167" t="str">
            <v>WCPA000156</v>
          </cell>
          <cell r="D167" t="str">
            <v>SE</v>
          </cell>
          <cell r="E167" t="str">
            <v>INNOCENT &amp; SON</v>
          </cell>
          <cell r="F167" t="str">
            <v>Silver</v>
          </cell>
          <cell r="G167">
            <v>80</v>
          </cell>
          <cell r="H167">
            <v>0</v>
          </cell>
          <cell r="I167">
            <v>0</v>
          </cell>
          <cell r="J167">
            <v>22</v>
          </cell>
          <cell r="K167">
            <v>1</v>
          </cell>
          <cell r="L167">
            <v>5</v>
          </cell>
          <cell r="M167">
            <v>0</v>
          </cell>
          <cell r="N167">
            <v>0</v>
          </cell>
          <cell r="O167">
            <v>20</v>
          </cell>
          <cell r="P167">
            <v>0</v>
          </cell>
          <cell r="Q167">
            <v>5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1</v>
          </cell>
          <cell r="W167">
            <v>1</v>
          </cell>
          <cell r="X167">
            <v>25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17248000</v>
          </cell>
        </row>
        <row r="168">
          <cell r="C168" t="str">
            <v>WCPA000155</v>
          </cell>
          <cell r="D168" t="str">
            <v>SE</v>
          </cell>
          <cell r="E168" t="str">
            <v>ABUBAKAR &amp; SON</v>
          </cell>
          <cell r="F168" t="str">
            <v>Silver</v>
          </cell>
          <cell r="G168">
            <v>185</v>
          </cell>
          <cell r="H168">
            <v>0</v>
          </cell>
          <cell r="I168">
            <v>0</v>
          </cell>
          <cell r="J168">
            <v>36</v>
          </cell>
          <cell r="K168">
            <v>1</v>
          </cell>
          <cell r="L168">
            <v>20</v>
          </cell>
          <cell r="M168">
            <v>0</v>
          </cell>
          <cell r="N168">
            <v>0</v>
          </cell>
          <cell r="O168">
            <v>78</v>
          </cell>
          <cell r="P168">
            <v>0</v>
          </cell>
          <cell r="Q168">
            <v>15</v>
          </cell>
          <cell r="R168">
            <v>0</v>
          </cell>
          <cell r="S168">
            <v>0</v>
          </cell>
          <cell r="T168">
            <v>0</v>
          </cell>
          <cell r="U168">
            <v>1</v>
          </cell>
          <cell r="V168">
            <v>1</v>
          </cell>
          <cell r="W168">
            <v>2</v>
          </cell>
          <cell r="X168">
            <v>31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40072500</v>
          </cell>
        </row>
        <row r="169">
          <cell r="C169" t="str">
            <v>SEC001788</v>
          </cell>
          <cell r="D169" t="str">
            <v>SE</v>
          </cell>
          <cell r="E169" t="str">
            <v>EMEKA UDEMBA</v>
          </cell>
          <cell r="F169" t="str">
            <v>Bronze</v>
          </cell>
          <cell r="G169">
            <v>90</v>
          </cell>
          <cell r="H169">
            <v>0</v>
          </cell>
          <cell r="I169">
            <v>0</v>
          </cell>
          <cell r="J169">
            <v>40</v>
          </cell>
          <cell r="K169">
            <v>1</v>
          </cell>
          <cell r="L169">
            <v>5</v>
          </cell>
          <cell r="M169">
            <v>0</v>
          </cell>
          <cell r="N169">
            <v>0</v>
          </cell>
          <cell r="O169">
            <v>22</v>
          </cell>
          <cell r="P169">
            <v>3</v>
          </cell>
          <cell r="Q169">
            <v>2</v>
          </cell>
          <cell r="R169">
            <v>0</v>
          </cell>
          <cell r="S169">
            <v>0</v>
          </cell>
          <cell r="T169">
            <v>0</v>
          </cell>
          <cell r="U169">
            <v>1</v>
          </cell>
          <cell r="V169">
            <v>1</v>
          </cell>
          <cell r="W169">
            <v>0</v>
          </cell>
          <cell r="X169">
            <v>15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20742500</v>
          </cell>
        </row>
        <row r="170">
          <cell r="C170" t="str">
            <v>PWCPP000526</v>
          </cell>
          <cell r="D170" t="str">
            <v>SE</v>
          </cell>
          <cell r="E170" t="str">
            <v>Anthony Ikeagwu</v>
          </cell>
          <cell r="F170" t="str">
            <v>Silver</v>
          </cell>
          <cell r="G170">
            <v>120</v>
          </cell>
          <cell r="H170">
            <v>0</v>
          </cell>
          <cell r="I170">
            <v>0</v>
          </cell>
          <cell r="J170">
            <v>35</v>
          </cell>
          <cell r="K170">
            <v>1</v>
          </cell>
          <cell r="L170">
            <v>20</v>
          </cell>
          <cell r="M170">
            <v>0</v>
          </cell>
          <cell r="N170">
            <v>0</v>
          </cell>
          <cell r="O170">
            <v>15</v>
          </cell>
          <cell r="P170">
            <v>0</v>
          </cell>
          <cell r="Q170">
            <v>5</v>
          </cell>
          <cell r="R170">
            <v>0</v>
          </cell>
          <cell r="S170">
            <v>0</v>
          </cell>
          <cell r="T170">
            <v>0</v>
          </cell>
          <cell r="U170">
            <v>3</v>
          </cell>
          <cell r="V170">
            <v>2</v>
          </cell>
          <cell r="W170">
            <v>9</v>
          </cell>
          <cell r="X170">
            <v>30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24386500</v>
          </cell>
        </row>
        <row r="171">
          <cell r="C171" t="str">
            <v>PWCPP000460</v>
          </cell>
          <cell r="D171" t="str">
            <v>SE</v>
          </cell>
          <cell r="E171" t="str">
            <v>Too Good</v>
          </cell>
          <cell r="F171" t="str">
            <v>Gold</v>
          </cell>
          <cell r="G171">
            <v>280</v>
          </cell>
          <cell r="H171">
            <v>0</v>
          </cell>
          <cell r="I171">
            <v>0</v>
          </cell>
          <cell r="J171">
            <v>40</v>
          </cell>
          <cell r="K171">
            <v>1</v>
          </cell>
          <cell r="L171">
            <v>10</v>
          </cell>
          <cell r="M171">
            <v>1</v>
          </cell>
          <cell r="N171">
            <v>0</v>
          </cell>
          <cell r="O171">
            <v>55</v>
          </cell>
          <cell r="P171">
            <v>0</v>
          </cell>
          <cell r="Q171">
            <v>22</v>
          </cell>
          <cell r="R171">
            <v>0</v>
          </cell>
          <cell r="S171">
            <v>0</v>
          </cell>
          <cell r="T171">
            <v>0</v>
          </cell>
          <cell r="U171">
            <v>14</v>
          </cell>
          <cell r="V171">
            <v>20</v>
          </cell>
          <cell r="W171">
            <v>37</v>
          </cell>
          <cell r="X171">
            <v>80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52226000</v>
          </cell>
        </row>
        <row r="172">
          <cell r="C172" t="str">
            <v>SEC003627</v>
          </cell>
          <cell r="D172" t="str">
            <v>SE</v>
          </cell>
          <cell r="E172" t="str">
            <v>Dickson Maduekwe</v>
          </cell>
          <cell r="F172" t="str">
            <v>Bronze</v>
          </cell>
          <cell r="G172">
            <v>80</v>
          </cell>
          <cell r="H172">
            <v>0</v>
          </cell>
          <cell r="I172">
            <v>0</v>
          </cell>
          <cell r="J172">
            <v>30</v>
          </cell>
          <cell r="K172">
            <v>0</v>
          </cell>
          <cell r="L172">
            <v>5</v>
          </cell>
          <cell r="M172">
            <v>0</v>
          </cell>
          <cell r="N172">
            <v>0</v>
          </cell>
          <cell r="O172">
            <v>25</v>
          </cell>
          <cell r="P172">
            <v>8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2</v>
          </cell>
          <cell r="X172">
            <v>10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18649000</v>
          </cell>
        </row>
        <row r="173">
          <cell r="C173" t="str">
            <v>SEC003370</v>
          </cell>
          <cell r="D173" t="str">
            <v>SE</v>
          </cell>
          <cell r="E173" t="str">
            <v>Alaeze Godwin</v>
          </cell>
          <cell r="F173" t="str">
            <v>Gold</v>
          </cell>
          <cell r="G173">
            <v>300</v>
          </cell>
          <cell r="H173">
            <v>0</v>
          </cell>
          <cell r="I173">
            <v>0</v>
          </cell>
          <cell r="J173">
            <v>20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170</v>
          </cell>
          <cell r="P173">
            <v>30</v>
          </cell>
          <cell r="Q173">
            <v>2</v>
          </cell>
          <cell r="R173">
            <v>0</v>
          </cell>
          <cell r="S173">
            <v>0</v>
          </cell>
          <cell r="T173">
            <v>0</v>
          </cell>
          <cell r="U173">
            <v>2</v>
          </cell>
          <cell r="V173">
            <v>3</v>
          </cell>
          <cell r="W173">
            <v>31</v>
          </cell>
          <cell r="X173">
            <v>40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64443000</v>
          </cell>
        </row>
        <row r="174">
          <cell r="C174" t="str">
            <v>WCPA000123</v>
          </cell>
          <cell r="D174" t="str">
            <v>SE</v>
          </cell>
          <cell r="E174" t="str">
            <v>Obi Eze &amp; Company Nig Limited</v>
          </cell>
          <cell r="F174" t="str">
            <v>Silver</v>
          </cell>
          <cell r="G174">
            <v>150</v>
          </cell>
          <cell r="H174">
            <v>0</v>
          </cell>
          <cell r="I174">
            <v>0</v>
          </cell>
          <cell r="J174">
            <v>8</v>
          </cell>
          <cell r="K174">
            <v>0</v>
          </cell>
          <cell r="L174">
            <v>3</v>
          </cell>
          <cell r="M174">
            <v>0</v>
          </cell>
          <cell r="N174">
            <v>0</v>
          </cell>
          <cell r="O174">
            <v>80</v>
          </cell>
          <cell r="P174">
            <v>20</v>
          </cell>
          <cell r="Q174">
            <v>1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2</v>
          </cell>
          <cell r="W174">
            <v>5</v>
          </cell>
          <cell r="X174">
            <v>30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32954500</v>
          </cell>
        </row>
        <row r="175">
          <cell r="C175" t="str">
            <v>WCPA000111</v>
          </cell>
          <cell r="D175" t="str">
            <v>SE</v>
          </cell>
          <cell r="E175" t="str">
            <v>PHILIP NWEKE</v>
          </cell>
          <cell r="F175" t="str">
            <v>Platinum</v>
          </cell>
          <cell r="G175">
            <v>550</v>
          </cell>
          <cell r="H175">
            <v>0</v>
          </cell>
          <cell r="I175">
            <v>0</v>
          </cell>
          <cell r="J175">
            <v>40</v>
          </cell>
          <cell r="K175">
            <v>5</v>
          </cell>
          <cell r="L175">
            <v>4</v>
          </cell>
          <cell r="M175">
            <v>0</v>
          </cell>
          <cell r="N175">
            <v>0</v>
          </cell>
          <cell r="O175">
            <v>210</v>
          </cell>
          <cell r="P175">
            <v>100</v>
          </cell>
          <cell r="Q175">
            <v>10</v>
          </cell>
          <cell r="R175">
            <v>8</v>
          </cell>
          <cell r="S175">
            <v>0</v>
          </cell>
          <cell r="T175">
            <v>0</v>
          </cell>
          <cell r="U175">
            <v>5</v>
          </cell>
          <cell r="V175">
            <v>8</v>
          </cell>
          <cell r="W175">
            <v>10</v>
          </cell>
          <cell r="X175">
            <v>150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120183500</v>
          </cell>
        </row>
        <row r="176">
          <cell r="C176" t="str">
            <v>WCPA000104</v>
          </cell>
          <cell r="D176" t="str">
            <v>SE</v>
          </cell>
          <cell r="E176" t="str">
            <v>MENSU BOSS</v>
          </cell>
          <cell r="F176" t="str">
            <v>Platinum Plus</v>
          </cell>
          <cell r="G176">
            <v>1300</v>
          </cell>
          <cell r="H176">
            <v>0</v>
          </cell>
          <cell r="I176">
            <v>0</v>
          </cell>
          <cell r="J176">
            <v>100</v>
          </cell>
          <cell r="K176">
            <v>5</v>
          </cell>
          <cell r="L176">
            <v>5</v>
          </cell>
          <cell r="M176">
            <v>0</v>
          </cell>
          <cell r="N176">
            <v>0</v>
          </cell>
          <cell r="O176">
            <v>900</v>
          </cell>
          <cell r="P176">
            <v>110</v>
          </cell>
          <cell r="Q176">
            <v>10</v>
          </cell>
          <cell r="R176">
            <v>20</v>
          </cell>
          <cell r="S176">
            <v>0</v>
          </cell>
          <cell r="T176">
            <v>0</v>
          </cell>
          <cell r="U176">
            <v>5</v>
          </cell>
          <cell r="V176">
            <v>10</v>
          </cell>
          <cell r="W176">
            <v>55</v>
          </cell>
          <cell r="X176">
            <v>80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291207500</v>
          </cell>
        </row>
        <row r="177">
          <cell r="C177" t="str">
            <v>WCPA000101</v>
          </cell>
          <cell r="D177" t="str">
            <v>SE</v>
          </cell>
          <cell r="E177" t="str">
            <v>CHIDI EKE</v>
          </cell>
          <cell r="F177" t="str">
            <v>Platinum</v>
          </cell>
          <cell r="G177">
            <v>680</v>
          </cell>
          <cell r="H177">
            <v>0</v>
          </cell>
          <cell r="I177">
            <v>0</v>
          </cell>
          <cell r="J177">
            <v>50</v>
          </cell>
          <cell r="K177">
            <v>5</v>
          </cell>
          <cell r="L177">
            <v>5</v>
          </cell>
          <cell r="M177">
            <v>0</v>
          </cell>
          <cell r="N177">
            <v>0</v>
          </cell>
          <cell r="O177">
            <v>410</v>
          </cell>
          <cell r="P177">
            <v>70</v>
          </cell>
          <cell r="Q177">
            <v>5</v>
          </cell>
          <cell r="R177">
            <v>5</v>
          </cell>
          <cell r="S177">
            <v>0</v>
          </cell>
          <cell r="T177">
            <v>0</v>
          </cell>
          <cell r="U177">
            <v>5</v>
          </cell>
          <cell r="V177">
            <v>5</v>
          </cell>
          <cell r="W177">
            <v>35</v>
          </cell>
          <cell r="X177">
            <v>85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150042500</v>
          </cell>
        </row>
        <row r="178">
          <cell r="C178" t="str">
            <v>PWCPP000344</v>
          </cell>
          <cell r="D178" t="str">
            <v>SE</v>
          </cell>
          <cell r="E178" t="str">
            <v>O C C</v>
          </cell>
          <cell r="F178" t="str">
            <v>Platinum</v>
          </cell>
          <cell r="G178">
            <v>700</v>
          </cell>
          <cell r="H178">
            <v>0</v>
          </cell>
          <cell r="I178">
            <v>0</v>
          </cell>
          <cell r="J178">
            <v>30</v>
          </cell>
          <cell r="K178">
            <v>5</v>
          </cell>
          <cell r="L178">
            <v>5</v>
          </cell>
          <cell r="M178">
            <v>0</v>
          </cell>
          <cell r="N178">
            <v>0</v>
          </cell>
          <cell r="O178">
            <v>480</v>
          </cell>
          <cell r="P178">
            <v>42</v>
          </cell>
          <cell r="Q178">
            <v>10</v>
          </cell>
          <cell r="R178">
            <v>2</v>
          </cell>
          <cell r="S178">
            <v>0</v>
          </cell>
          <cell r="T178">
            <v>0</v>
          </cell>
          <cell r="U178">
            <v>2</v>
          </cell>
          <cell r="V178">
            <v>2</v>
          </cell>
          <cell r="W178">
            <v>52</v>
          </cell>
          <cell r="X178">
            <v>70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152561000</v>
          </cell>
        </row>
        <row r="179">
          <cell r="C179" t="str">
            <v>SEC003981</v>
          </cell>
          <cell r="D179" t="str">
            <v>SE</v>
          </cell>
          <cell r="E179" t="str">
            <v>Uche Duru</v>
          </cell>
          <cell r="F179" t="str">
            <v>Bronze</v>
          </cell>
          <cell r="G179">
            <v>100</v>
          </cell>
          <cell r="H179">
            <v>0</v>
          </cell>
          <cell r="I179">
            <v>0</v>
          </cell>
          <cell r="J179">
            <v>15</v>
          </cell>
          <cell r="K179">
            <v>0</v>
          </cell>
          <cell r="L179">
            <v>1</v>
          </cell>
          <cell r="M179">
            <v>0</v>
          </cell>
          <cell r="N179">
            <v>0</v>
          </cell>
          <cell r="O179">
            <v>49</v>
          </cell>
          <cell r="P179">
            <v>1</v>
          </cell>
          <cell r="Q179">
            <v>1</v>
          </cell>
          <cell r="R179">
            <v>0</v>
          </cell>
          <cell r="S179">
            <v>0</v>
          </cell>
          <cell r="T179">
            <v>0</v>
          </cell>
          <cell r="U179">
            <v>1</v>
          </cell>
          <cell r="V179">
            <v>1</v>
          </cell>
          <cell r="W179">
            <v>21</v>
          </cell>
          <cell r="X179">
            <v>10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20277500</v>
          </cell>
        </row>
        <row r="180">
          <cell r="C180" t="str">
            <v>SEC003690</v>
          </cell>
          <cell r="D180" t="str">
            <v>SE</v>
          </cell>
          <cell r="E180" t="str">
            <v>Francis Nwani</v>
          </cell>
          <cell r="F180" t="str">
            <v>Bronze</v>
          </cell>
          <cell r="G180">
            <v>130</v>
          </cell>
          <cell r="H180">
            <v>0</v>
          </cell>
          <cell r="I180">
            <v>0</v>
          </cell>
          <cell r="J180">
            <v>19</v>
          </cell>
          <cell r="K180">
            <v>0</v>
          </cell>
          <cell r="L180">
            <v>2</v>
          </cell>
          <cell r="M180">
            <v>0</v>
          </cell>
          <cell r="N180">
            <v>0</v>
          </cell>
          <cell r="O180">
            <v>77</v>
          </cell>
          <cell r="P180">
            <v>3</v>
          </cell>
          <cell r="Q180">
            <v>1</v>
          </cell>
          <cell r="R180">
            <v>0</v>
          </cell>
          <cell r="S180">
            <v>0</v>
          </cell>
          <cell r="T180">
            <v>0</v>
          </cell>
          <cell r="U180">
            <v>3</v>
          </cell>
          <cell r="V180">
            <v>3</v>
          </cell>
          <cell r="W180">
            <v>2</v>
          </cell>
          <cell r="X180">
            <v>20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28626500</v>
          </cell>
        </row>
        <row r="181">
          <cell r="C181" t="str">
            <v>WCPA000087</v>
          </cell>
          <cell r="D181" t="str">
            <v>SE</v>
          </cell>
          <cell r="E181" t="str">
            <v>FIDELIS ONAH</v>
          </cell>
          <cell r="F181" t="str">
            <v>Silver</v>
          </cell>
          <cell r="G181">
            <v>120</v>
          </cell>
          <cell r="H181">
            <v>0</v>
          </cell>
          <cell r="I181">
            <v>0</v>
          </cell>
          <cell r="J181">
            <v>3</v>
          </cell>
          <cell r="K181">
            <v>10</v>
          </cell>
          <cell r="L181">
            <v>4</v>
          </cell>
          <cell r="M181">
            <v>0</v>
          </cell>
          <cell r="N181">
            <v>10</v>
          </cell>
          <cell r="O181">
            <v>44</v>
          </cell>
          <cell r="P181">
            <v>10</v>
          </cell>
          <cell r="Q181">
            <v>2</v>
          </cell>
          <cell r="R181">
            <v>2</v>
          </cell>
          <cell r="S181">
            <v>0</v>
          </cell>
          <cell r="T181">
            <v>0</v>
          </cell>
          <cell r="U181">
            <v>5</v>
          </cell>
          <cell r="V181">
            <v>5</v>
          </cell>
          <cell r="W181">
            <v>5</v>
          </cell>
          <cell r="X181">
            <v>20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22985500</v>
          </cell>
        </row>
        <row r="182">
          <cell r="C182" t="str">
            <v>WCPA000085</v>
          </cell>
          <cell r="D182" t="str">
            <v>SE</v>
          </cell>
          <cell r="E182" t="str">
            <v>DENNIS EYA</v>
          </cell>
          <cell r="F182" t="str">
            <v>Platinum</v>
          </cell>
          <cell r="G182">
            <v>1050</v>
          </cell>
          <cell r="H182">
            <v>0</v>
          </cell>
          <cell r="I182">
            <v>0</v>
          </cell>
          <cell r="J182">
            <v>40</v>
          </cell>
          <cell r="K182">
            <v>70</v>
          </cell>
          <cell r="L182">
            <v>5</v>
          </cell>
          <cell r="M182">
            <v>0</v>
          </cell>
          <cell r="N182">
            <v>120</v>
          </cell>
          <cell r="O182">
            <v>430</v>
          </cell>
          <cell r="P182">
            <v>83</v>
          </cell>
          <cell r="Q182">
            <v>2</v>
          </cell>
          <cell r="R182">
            <v>10</v>
          </cell>
          <cell r="S182">
            <v>0</v>
          </cell>
          <cell r="T182">
            <v>0</v>
          </cell>
          <cell r="U182">
            <v>10</v>
          </cell>
          <cell r="V182">
            <v>10</v>
          </cell>
          <cell r="W182">
            <v>10</v>
          </cell>
          <cell r="X182">
            <v>260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209525000</v>
          </cell>
        </row>
        <row r="183">
          <cell r="C183" t="str">
            <v>SEC001112</v>
          </cell>
          <cell r="D183" t="str">
            <v>SE</v>
          </cell>
          <cell r="E183" t="str">
            <v>ODO MARTIN</v>
          </cell>
          <cell r="F183" t="str">
            <v>Silver</v>
          </cell>
          <cell r="G183">
            <v>140</v>
          </cell>
          <cell r="H183">
            <v>0</v>
          </cell>
          <cell r="I183">
            <v>0</v>
          </cell>
          <cell r="J183">
            <v>1</v>
          </cell>
          <cell r="K183">
            <v>5</v>
          </cell>
          <cell r="L183">
            <v>2</v>
          </cell>
          <cell r="M183">
            <v>0</v>
          </cell>
          <cell r="N183">
            <v>10</v>
          </cell>
          <cell r="O183">
            <v>46</v>
          </cell>
          <cell r="P183">
            <v>7</v>
          </cell>
          <cell r="Q183">
            <v>2</v>
          </cell>
          <cell r="R183">
            <v>2</v>
          </cell>
          <cell r="S183">
            <v>0</v>
          </cell>
          <cell r="T183">
            <v>0</v>
          </cell>
          <cell r="U183">
            <v>5</v>
          </cell>
          <cell r="V183">
            <v>5</v>
          </cell>
          <cell r="W183">
            <v>5</v>
          </cell>
          <cell r="X183">
            <v>50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26555500</v>
          </cell>
        </row>
        <row r="184">
          <cell r="C184" t="str">
            <v>PWCPP000304</v>
          </cell>
          <cell r="D184" t="str">
            <v>SE</v>
          </cell>
          <cell r="E184" t="str">
            <v>SAMUEL IWEKA</v>
          </cell>
          <cell r="F184" t="str">
            <v>Silver</v>
          </cell>
          <cell r="G184">
            <v>160</v>
          </cell>
          <cell r="H184">
            <v>0</v>
          </cell>
          <cell r="I184">
            <v>0</v>
          </cell>
          <cell r="J184">
            <v>2</v>
          </cell>
          <cell r="K184">
            <v>6</v>
          </cell>
          <cell r="L184">
            <v>2</v>
          </cell>
          <cell r="M184">
            <v>0</v>
          </cell>
          <cell r="N184">
            <v>10</v>
          </cell>
          <cell r="O184">
            <v>80</v>
          </cell>
          <cell r="P184">
            <v>31</v>
          </cell>
          <cell r="Q184">
            <v>2</v>
          </cell>
          <cell r="R184">
            <v>2</v>
          </cell>
          <cell r="S184">
            <v>0</v>
          </cell>
          <cell r="T184">
            <v>0</v>
          </cell>
          <cell r="U184">
            <v>5</v>
          </cell>
          <cell r="V184">
            <v>5</v>
          </cell>
          <cell r="W184">
            <v>5</v>
          </cell>
          <cell r="X184">
            <v>10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33555500</v>
          </cell>
        </row>
        <row r="185">
          <cell r="C185" t="str">
            <v>WCPA000091</v>
          </cell>
          <cell r="D185" t="str">
            <v>SE</v>
          </cell>
          <cell r="E185" t="str">
            <v>JOHN ANIEGBOKA</v>
          </cell>
          <cell r="F185" t="str">
            <v>Bronze</v>
          </cell>
          <cell r="G185">
            <v>70</v>
          </cell>
          <cell r="H185">
            <v>0</v>
          </cell>
          <cell r="I185">
            <v>0</v>
          </cell>
          <cell r="J185">
            <v>1</v>
          </cell>
          <cell r="K185">
            <v>0</v>
          </cell>
          <cell r="L185">
            <v>5</v>
          </cell>
          <cell r="M185">
            <v>0</v>
          </cell>
          <cell r="N185">
            <v>0</v>
          </cell>
          <cell r="O185">
            <v>45</v>
          </cell>
          <cell r="P185">
            <v>1</v>
          </cell>
          <cell r="Q185">
            <v>1</v>
          </cell>
          <cell r="R185">
            <v>0</v>
          </cell>
          <cell r="S185">
            <v>0</v>
          </cell>
          <cell r="T185">
            <v>0</v>
          </cell>
          <cell r="U185">
            <v>2</v>
          </cell>
          <cell r="V185">
            <v>3</v>
          </cell>
          <cell r="W185">
            <v>2</v>
          </cell>
          <cell r="X185">
            <v>10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14587000</v>
          </cell>
        </row>
        <row r="186">
          <cell r="C186" t="str">
            <v>WCPA000090</v>
          </cell>
          <cell r="D186" t="str">
            <v>SE</v>
          </cell>
          <cell r="E186" t="str">
            <v>MONICA NNABUCHI</v>
          </cell>
          <cell r="F186" t="str">
            <v>Silver</v>
          </cell>
          <cell r="G186">
            <v>200</v>
          </cell>
          <cell r="H186">
            <v>0</v>
          </cell>
          <cell r="I186">
            <v>0</v>
          </cell>
          <cell r="J186">
            <v>1</v>
          </cell>
          <cell r="K186">
            <v>0</v>
          </cell>
          <cell r="L186">
            <v>1</v>
          </cell>
          <cell r="M186">
            <v>0</v>
          </cell>
          <cell r="N186">
            <v>2</v>
          </cell>
          <cell r="O186">
            <v>130</v>
          </cell>
          <cell r="P186">
            <v>20</v>
          </cell>
          <cell r="Q186">
            <v>1</v>
          </cell>
          <cell r="R186">
            <v>0</v>
          </cell>
          <cell r="S186">
            <v>0</v>
          </cell>
          <cell r="T186">
            <v>0</v>
          </cell>
          <cell r="U186">
            <v>5</v>
          </cell>
          <cell r="V186">
            <v>5</v>
          </cell>
          <cell r="W186">
            <v>5</v>
          </cell>
          <cell r="X186">
            <v>30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43224500</v>
          </cell>
        </row>
        <row r="187">
          <cell r="C187" t="str">
            <v>PWCPP000343</v>
          </cell>
          <cell r="D187" t="str">
            <v>SE</v>
          </cell>
          <cell r="E187" t="str">
            <v>Vincent Chikwendu</v>
          </cell>
          <cell r="F187" t="str">
            <v>Bronze</v>
          </cell>
          <cell r="G187">
            <v>70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5</v>
          </cell>
          <cell r="M187">
            <v>0</v>
          </cell>
          <cell r="N187">
            <v>0</v>
          </cell>
          <cell r="O187">
            <v>40</v>
          </cell>
          <cell r="P187">
            <v>6</v>
          </cell>
          <cell r="Q187">
            <v>1</v>
          </cell>
          <cell r="R187">
            <v>0</v>
          </cell>
          <cell r="S187">
            <v>0</v>
          </cell>
          <cell r="T187">
            <v>0</v>
          </cell>
          <cell r="U187">
            <v>3</v>
          </cell>
          <cell r="V187">
            <v>3</v>
          </cell>
          <cell r="W187">
            <v>3</v>
          </cell>
          <cell r="X187">
            <v>8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14583500</v>
          </cell>
        </row>
        <row r="188">
          <cell r="C188" t="str">
            <v>PWCPP000341</v>
          </cell>
          <cell r="D188" t="str">
            <v>SE</v>
          </cell>
          <cell r="E188" t="str">
            <v>Paul Ejikeme</v>
          </cell>
          <cell r="F188" t="str">
            <v>Bronze</v>
          </cell>
          <cell r="G188">
            <v>100</v>
          </cell>
          <cell r="H188">
            <v>0</v>
          </cell>
          <cell r="I188">
            <v>0</v>
          </cell>
          <cell r="J188">
            <v>1</v>
          </cell>
          <cell r="K188">
            <v>0</v>
          </cell>
          <cell r="L188">
            <v>5</v>
          </cell>
          <cell r="M188">
            <v>0</v>
          </cell>
          <cell r="N188">
            <v>6</v>
          </cell>
          <cell r="O188">
            <v>65</v>
          </cell>
          <cell r="P188">
            <v>5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3</v>
          </cell>
          <cell r="V188">
            <v>3</v>
          </cell>
          <cell r="W188">
            <v>2</v>
          </cell>
          <cell r="X188">
            <v>10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20719500</v>
          </cell>
        </row>
        <row r="189">
          <cell r="C189" t="str">
            <v>WCPA000078</v>
          </cell>
          <cell r="D189" t="str">
            <v>SE</v>
          </cell>
          <cell r="E189" t="str">
            <v>PATRICK NNEJI</v>
          </cell>
          <cell r="F189" t="str">
            <v>Silver</v>
          </cell>
          <cell r="G189">
            <v>200</v>
          </cell>
          <cell r="H189">
            <v>0</v>
          </cell>
          <cell r="I189">
            <v>0</v>
          </cell>
          <cell r="J189">
            <v>12</v>
          </cell>
          <cell r="K189">
            <v>0</v>
          </cell>
          <cell r="L189">
            <v>6</v>
          </cell>
          <cell r="M189">
            <v>0</v>
          </cell>
          <cell r="N189">
            <v>0</v>
          </cell>
          <cell r="O189">
            <v>120</v>
          </cell>
          <cell r="P189">
            <v>31</v>
          </cell>
          <cell r="Q189">
            <v>1</v>
          </cell>
          <cell r="R189">
            <v>0</v>
          </cell>
          <cell r="S189">
            <v>0</v>
          </cell>
          <cell r="T189">
            <v>0</v>
          </cell>
          <cell r="U189">
            <v>5</v>
          </cell>
          <cell r="V189">
            <v>5</v>
          </cell>
          <cell r="W189">
            <v>5</v>
          </cell>
          <cell r="X189">
            <v>15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44531500</v>
          </cell>
        </row>
        <row r="190">
          <cell r="C190" t="str">
            <v>WCPA000068</v>
          </cell>
          <cell r="D190" t="str">
            <v>SE</v>
          </cell>
          <cell r="E190" t="str">
            <v>AMAECHI ENEH</v>
          </cell>
          <cell r="F190" t="str">
            <v>Gold</v>
          </cell>
          <cell r="G190">
            <v>250</v>
          </cell>
          <cell r="H190">
            <v>0</v>
          </cell>
          <cell r="I190">
            <v>0</v>
          </cell>
          <cell r="J190">
            <v>3</v>
          </cell>
          <cell r="K190">
            <v>0</v>
          </cell>
          <cell r="L190">
            <v>3</v>
          </cell>
          <cell r="M190">
            <v>0</v>
          </cell>
          <cell r="N190">
            <v>0</v>
          </cell>
          <cell r="O190">
            <v>112</v>
          </cell>
          <cell r="P190">
            <v>47</v>
          </cell>
          <cell r="Q190">
            <v>2</v>
          </cell>
          <cell r="R190">
            <v>0</v>
          </cell>
          <cell r="S190">
            <v>0</v>
          </cell>
          <cell r="T190">
            <v>0</v>
          </cell>
          <cell r="U190">
            <v>3</v>
          </cell>
          <cell r="V190">
            <v>10</v>
          </cell>
          <cell r="W190">
            <v>10</v>
          </cell>
          <cell r="X190">
            <v>60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53560500</v>
          </cell>
        </row>
        <row r="191">
          <cell r="C191" t="str">
            <v>SEC001903</v>
          </cell>
          <cell r="D191" t="str">
            <v>SE</v>
          </cell>
          <cell r="E191" t="str">
            <v>Christian Mba</v>
          </cell>
          <cell r="F191" t="str">
            <v>Silver</v>
          </cell>
          <cell r="G191">
            <v>140</v>
          </cell>
          <cell r="H191">
            <v>0</v>
          </cell>
          <cell r="I191">
            <v>0</v>
          </cell>
          <cell r="J191">
            <v>2</v>
          </cell>
          <cell r="K191">
            <v>0</v>
          </cell>
          <cell r="L191">
            <v>3</v>
          </cell>
          <cell r="M191">
            <v>0</v>
          </cell>
          <cell r="N191">
            <v>0</v>
          </cell>
          <cell r="O191">
            <v>81</v>
          </cell>
          <cell r="P191">
            <v>11</v>
          </cell>
          <cell r="Q191">
            <v>1</v>
          </cell>
          <cell r="R191">
            <v>0</v>
          </cell>
          <cell r="S191">
            <v>0</v>
          </cell>
          <cell r="T191">
            <v>0</v>
          </cell>
          <cell r="U191">
            <v>2</v>
          </cell>
          <cell r="V191">
            <v>5</v>
          </cell>
          <cell r="W191">
            <v>5</v>
          </cell>
          <cell r="X191">
            <v>30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29713000</v>
          </cell>
        </row>
        <row r="192">
          <cell r="C192" t="str">
            <v>SEC003703</v>
          </cell>
          <cell r="D192" t="str">
            <v>SE</v>
          </cell>
          <cell r="E192" t="str">
            <v>Reference Super Stores</v>
          </cell>
          <cell r="F192" t="str">
            <v>Bronze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</row>
        <row r="193">
          <cell r="C193" t="str">
            <v>SEC003374</v>
          </cell>
          <cell r="D193" t="str">
            <v>SE</v>
          </cell>
          <cell r="E193" t="str">
            <v>Onyekwere Eze Enterprise</v>
          </cell>
          <cell r="F193" t="str">
            <v>Silver</v>
          </cell>
          <cell r="G193">
            <v>120</v>
          </cell>
          <cell r="H193">
            <v>0</v>
          </cell>
          <cell r="I193">
            <v>0</v>
          </cell>
          <cell r="J193">
            <v>2</v>
          </cell>
          <cell r="K193">
            <v>3</v>
          </cell>
          <cell r="L193">
            <v>1</v>
          </cell>
          <cell r="M193">
            <v>0</v>
          </cell>
          <cell r="N193">
            <v>0</v>
          </cell>
          <cell r="O193">
            <v>20</v>
          </cell>
          <cell r="P193">
            <v>0</v>
          </cell>
          <cell r="Q193">
            <v>10</v>
          </cell>
          <cell r="R193">
            <v>0</v>
          </cell>
          <cell r="S193">
            <v>0</v>
          </cell>
          <cell r="T193">
            <v>0</v>
          </cell>
          <cell r="U193">
            <v>7</v>
          </cell>
          <cell r="V193">
            <v>2</v>
          </cell>
          <cell r="W193">
            <v>0</v>
          </cell>
          <cell r="X193">
            <v>75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22739500</v>
          </cell>
        </row>
        <row r="194">
          <cell r="C194" t="str">
            <v>SEC002767</v>
          </cell>
          <cell r="D194" t="str">
            <v>SE</v>
          </cell>
          <cell r="E194" t="str">
            <v>Alhaji Umoru Danbauchi</v>
          </cell>
          <cell r="F194" t="str">
            <v>Silver</v>
          </cell>
          <cell r="G194">
            <v>120</v>
          </cell>
          <cell r="H194">
            <v>0</v>
          </cell>
          <cell r="I194">
            <v>0</v>
          </cell>
          <cell r="J194">
            <v>1</v>
          </cell>
          <cell r="K194">
            <v>1</v>
          </cell>
          <cell r="L194">
            <v>1</v>
          </cell>
          <cell r="M194">
            <v>0</v>
          </cell>
          <cell r="N194">
            <v>1</v>
          </cell>
          <cell r="O194">
            <v>20</v>
          </cell>
          <cell r="P194">
            <v>0</v>
          </cell>
          <cell r="Q194">
            <v>5</v>
          </cell>
          <cell r="R194">
            <v>0</v>
          </cell>
          <cell r="S194">
            <v>0</v>
          </cell>
          <cell r="T194">
            <v>0</v>
          </cell>
          <cell r="U194">
            <v>1</v>
          </cell>
          <cell r="V194">
            <v>3</v>
          </cell>
          <cell r="W194">
            <v>3</v>
          </cell>
          <cell r="X194">
            <v>84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22810500</v>
          </cell>
        </row>
        <row r="195">
          <cell r="C195" t="str">
            <v>SEC002725</v>
          </cell>
          <cell r="D195" t="str">
            <v>SE</v>
          </cell>
          <cell r="E195" t="str">
            <v>George Ezema</v>
          </cell>
          <cell r="F195" t="str">
            <v>Silver</v>
          </cell>
          <cell r="G195">
            <v>150</v>
          </cell>
          <cell r="H195">
            <v>0</v>
          </cell>
          <cell r="I195">
            <v>0</v>
          </cell>
          <cell r="J195">
            <v>2</v>
          </cell>
          <cell r="K195">
            <v>2</v>
          </cell>
          <cell r="L195">
            <v>0</v>
          </cell>
          <cell r="M195">
            <v>0</v>
          </cell>
          <cell r="N195">
            <v>1</v>
          </cell>
          <cell r="O195">
            <v>50</v>
          </cell>
          <cell r="P195">
            <v>0</v>
          </cell>
          <cell r="Q195">
            <v>3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16</v>
          </cell>
          <cell r="W195">
            <v>1</v>
          </cell>
          <cell r="X195">
            <v>75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29046000</v>
          </cell>
        </row>
        <row r="196">
          <cell r="C196" t="str">
            <v>WCPA000181</v>
          </cell>
          <cell r="D196" t="str">
            <v>SE</v>
          </cell>
          <cell r="E196" t="str">
            <v>STEPHEN AMAMA</v>
          </cell>
          <cell r="F196" t="str">
            <v>Bronze</v>
          </cell>
          <cell r="G196">
            <v>100</v>
          </cell>
          <cell r="H196">
            <v>0</v>
          </cell>
          <cell r="I196">
            <v>0</v>
          </cell>
          <cell r="J196">
            <v>2</v>
          </cell>
          <cell r="K196">
            <v>2</v>
          </cell>
          <cell r="L196">
            <v>2</v>
          </cell>
          <cell r="M196">
            <v>0</v>
          </cell>
          <cell r="N196">
            <v>0</v>
          </cell>
          <cell r="O196">
            <v>10</v>
          </cell>
          <cell r="P196">
            <v>0</v>
          </cell>
          <cell r="Q196">
            <v>1</v>
          </cell>
          <cell r="R196">
            <v>0</v>
          </cell>
          <cell r="S196">
            <v>0</v>
          </cell>
          <cell r="T196">
            <v>0</v>
          </cell>
          <cell r="U196">
            <v>6</v>
          </cell>
          <cell r="V196">
            <v>6</v>
          </cell>
          <cell r="W196">
            <v>6</v>
          </cell>
          <cell r="X196">
            <v>65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17911000</v>
          </cell>
        </row>
        <row r="197">
          <cell r="C197" t="str">
            <v>WCPA000171</v>
          </cell>
          <cell r="D197" t="str">
            <v>SE</v>
          </cell>
          <cell r="E197" t="str">
            <v>Obinna Obi</v>
          </cell>
          <cell r="F197" t="str">
            <v>Silver</v>
          </cell>
          <cell r="G197">
            <v>220</v>
          </cell>
          <cell r="H197">
            <v>0</v>
          </cell>
          <cell r="I197">
            <v>0</v>
          </cell>
          <cell r="J197">
            <v>2</v>
          </cell>
          <cell r="K197">
            <v>2</v>
          </cell>
          <cell r="L197">
            <v>1</v>
          </cell>
          <cell r="M197">
            <v>0</v>
          </cell>
          <cell r="N197">
            <v>1</v>
          </cell>
          <cell r="O197">
            <v>46</v>
          </cell>
          <cell r="P197">
            <v>0</v>
          </cell>
          <cell r="Q197">
            <v>2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2</v>
          </cell>
          <cell r="W197">
            <v>22</v>
          </cell>
          <cell r="X197">
            <v>140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41335000</v>
          </cell>
        </row>
        <row r="198">
          <cell r="C198" t="str">
            <v>WCPA000169</v>
          </cell>
          <cell r="D198" t="str">
            <v>SE</v>
          </cell>
          <cell r="E198" t="str">
            <v>Charles Duru</v>
          </cell>
          <cell r="F198" t="str">
            <v>Bronze</v>
          </cell>
          <cell r="G198">
            <v>74</v>
          </cell>
          <cell r="H198">
            <v>0</v>
          </cell>
          <cell r="I198">
            <v>0</v>
          </cell>
          <cell r="J198">
            <v>1</v>
          </cell>
          <cell r="K198">
            <v>1</v>
          </cell>
          <cell r="L198">
            <v>1</v>
          </cell>
          <cell r="M198">
            <v>0</v>
          </cell>
          <cell r="N198">
            <v>3</v>
          </cell>
          <cell r="O198">
            <v>17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7</v>
          </cell>
          <cell r="V198">
            <v>8</v>
          </cell>
          <cell r="W198">
            <v>1</v>
          </cell>
          <cell r="X198">
            <v>35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13134500</v>
          </cell>
        </row>
        <row r="199">
          <cell r="C199" t="str">
            <v>WCPA000167</v>
          </cell>
          <cell r="D199" t="str">
            <v>SE</v>
          </cell>
          <cell r="E199" t="str">
            <v>Paul Abuchi</v>
          </cell>
          <cell r="F199" t="str">
            <v>Gold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</row>
        <row r="200">
          <cell r="C200" t="str">
            <v>SEC002092</v>
          </cell>
          <cell r="D200" t="str">
            <v>SE</v>
          </cell>
          <cell r="E200" t="str">
            <v>ALH HASSAN YAKUBU</v>
          </cell>
          <cell r="F200" t="str">
            <v>Silver</v>
          </cell>
          <cell r="G200">
            <v>200</v>
          </cell>
          <cell r="H200">
            <v>0</v>
          </cell>
          <cell r="I200">
            <v>0</v>
          </cell>
          <cell r="J200">
            <v>1</v>
          </cell>
          <cell r="K200">
            <v>2</v>
          </cell>
          <cell r="L200">
            <v>1</v>
          </cell>
          <cell r="M200">
            <v>0</v>
          </cell>
          <cell r="N200">
            <v>1</v>
          </cell>
          <cell r="O200">
            <v>32</v>
          </cell>
          <cell r="P200">
            <v>0</v>
          </cell>
          <cell r="Q200">
            <v>5</v>
          </cell>
          <cell r="R200">
            <v>0</v>
          </cell>
          <cell r="S200">
            <v>0</v>
          </cell>
          <cell r="T200">
            <v>0</v>
          </cell>
          <cell r="U200">
            <v>2</v>
          </cell>
          <cell r="V200">
            <v>3</v>
          </cell>
          <cell r="W200">
            <v>3</v>
          </cell>
          <cell r="X200">
            <v>150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38258000</v>
          </cell>
        </row>
        <row r="201">
          <cell r="C201" t="str">
            <v>SEC002091</v>
          </cell>
          <cell r="D201" t="str">
            <v>SE</v>
          </cell>
          <cell r="E201" t="str">
            <v>EMEKA EZE</v>
          </cell>
          <cell r="F201" t="str">
            <v>Platinum Plus</v>
          </cell>
          <cell r="G201">
            <v>1000</v>
          </cell>
          <cell r="H201">
            <v>0</v>
          </cell>
          <cell r="I201">
            <v>0</v>
          </cell>
          <cell r="J201">
            <v>2</v>
          </cell>
          <cell r="K201">
            <v>8</v>
          </cell>
          <cell r="L201">
            <v>5</v>
          </cell>
          <cell r="M201">
            <v>0</v>
          </cell>
          <cell r="N201">
            <v>53</v>
          </cell>
          <cell r="O201">
            <v>37</v>
          </cell>
          <cell r="P201">
            <v>0</v>
          </cell>
          <cell r="Q201">
            <v>65</v>
          </cell>
          <cell r="R201">
            <v>0</v>
          </cell>
          <cell r="S201">
            <v>0</v>
          </cell>
          <cell r="T201">
            <v>0</v>
          </cell>
          <cell r="U201">
            <v>5</v>
          </cell>
          <cell r="V201">
            <v>55</v>
          </cell>
          <cell r="W201">
            <v>0</v>
          </cell>
          <cell r="X201">
            <v>770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179929500</v>
          </cell>
        </row>
        <row r="202">
          <cell r="C202" t="str">
            <v>WCPA000163</v>
          </cell>
          <cell r="D202" t="str">
            <v>SE</v>
          </cell>
          <cell r="E202" t="str">
            <v>Mr. Romanus Ujah</v>
          </cell>
          <cell r="F202" t="str">
            <v>Bronze</v>
          </cell>
          <cell r="G202">
            <v>100</v>
          </cell>
          <cell r="H202">
            <v>0</v>
          </cell>
          <cell r="I202">
            <v>0</v>
          </cell>
          <cell r="J202">
            <v>2</v>
          </cell>
          <cell r="K202">
            <v>2</v>
          </cell>
          <cell r="L202">
            <v>2</v>
          </cell>
          <cell r="M202">
            <v>0</v>
          </cell>
          <cell r="N202">
            <v>1</v>
          </cell>
          <cell r="O202">
            <v>6</v>
          </cell>
          <cell r="P202">
            <v>0</v>
          </cell>
          <cell r="Q202">
            <v>2</v>
          </cell>
          <cell r="R202">
            <v>0</v>
          </cell>
          <cell r="S202">
            <v>0</v>
          </cell>
          <cell r="T202">
            <v>0</v>
          </cell>
          <cell r="U202">
            <v>7</v>
          </cell>
          <cell r="V202">
            <v>14</v>
          </cell>
          <cell r="W202">
            <v>20</v>
          </cell>
          <cell r="X202">
            <v>44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15914500</v>
          </cell>
        </row>
        <row r="203">
          <cell r="C203" t="str">
            <v>WCPA000161</v>
          </cell>
          <cell r="D203" t="str">
            <v>SE</v>
          </cell>
          <cell r="E203" t="str">
            <v>Alh Isah Musa</v>
          </cell>
          <cell r="F203" t="str">
            <v>Gold</v>
          </cell>
          <cell r="G203">
            <v>250</v>
          </cell>
          <cell r="H203">
            <v>0</v>
          </cell>
          <cell r="I203">
            <v>0</v>
          </cell>
          <cell r="J203">
            <v>2</v>
          </cell>
          <cell r="K203">
            <v>2</v>
          </cell>
          <cell r="L203">
            <v>3</v>
          </cell>
          <cell r="M203">
            <v>0</v>
          </cell>
          <cell r="N203">
            <v>3</v>
          </cell>
          <cell r="O203">
            <v>43</v>
          </cell>
          <cell r="P203">
            <v>0</v>
          </cell>
          <cell r="Q203">
            <v>10</v>
          </cell>
          <cell r="R203">
            <v>0</v>
          </cell>
          <cell r="S203">
            <v>0</v>
          </cell>
          <cell r="T203">
            <v>0</v>
          </cell>
          <cell r="U203">
            <v>2</v>
          </cell>
          <cell r="V203">
            <v>4</v>
          </cell>
          <cell r="W203">
            <v>53</v>
          </cell>
          <cell r="X203">
            <v>128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44146000</v>
          </cell>
        </row>
        <row r="204">
          <cell r="C204" t="str">
            <v>WCPA000159</v>
          </cell>
          <cell r="D204" t="str">
            <v>SE</v>
          </cell>
          <cell r="E204" t="str">
            <v>Alh Dahiru Baba</v>
          </cell>
          <cell r="F204" t="str">
            <v>Gold</v>
          </cell>
          <cell r="G204">
            <v>300</v>
          </cell>
          <cell r="H204">
            <v>0</v>
          </cell>
          <cell r="I204">
            <v>0</v>
          </cell>
          <cell r="J204">
            <v>2</v>
          </cell>
          <cell r="K204">
            <v>0</v>
          </cell>
          <cell r="L204">
            <v>3</v>
          </cell>
          <cell r="M204">
            <v>0</v>
          </cell>
          <cell r="N204">
            <v>3</v>
          </cell>
          <cell r="O204">
            <v>43</v>
          </cell>
          <cell r="P204">
            <v>0</v>
          </cell>
          <cell r="Q204">
            <v>10</v>
          </cell>
          <cell r="R204">
            <v>0</v>
          </cell>
          <cell r="S204">
            <v>0</v>
          </cell>
          <cell r="T204">
            <v>0</v>
          </cell>
          <cell r="U204">
            <v>2</v>
          </cell>
          <cell r="V204">
            <v>4</v>
          </cell>
          <cell r="W204">
            <v>33</v>
          </cell>
          <cell r="X204">
            <v>200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55072000</v>
          </cell>
        </row>
        <row r="205">
          <cell r="C205" t="str">
            <v>SEC003930</v>
          </cell>
          <cell r="D205" t="str">
            <v>SE</v>
          </cell>
          <cell r="E205" t="str">
            <v>Yahaya Mikiaru</v>
          </cell>
          <cell r="F205" t="str">
            <v>Bronze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</row>
        <row r="206">
          <cell r="C206" t="str">
            <v>WCPA000172</v>
          </cell>
          <cell r="D206" t="str">
            <v>SE</v>
          </cell>
          <cell r="E206" t="str">
            <v>Umar Bobo</v>
          </cell>
          <cell r="F206" t="str">
            <v>Platinum Plus</v>
          </cell>
          <cell r="G206">
            <v>1000</v>
          </cell>
          <cell r="H206">
            <v>0</v>
          </cell>
          <cell r="I206">
            <v>0</v>
          </cell>
          <cell r="J206">
            <v>2</v>
          </cell>
          <cell r="K206">
            <v>2</v>
          </cell>
          <cell r="L206">
            <v>5</v>
          </cell>
          <cell r="M206">
            <v>0</v>
          </cell>
          <cell r="N206">
            <v>52</v>
          </cell>
          <cell r="O206">
            <v>25</v>
          </cell>
          <cell r="P206">
            <v>0</v>
          </cell>
          <cell r="Q206">
            <v>39</v>
          </cell>
          <cell r="R206">
            <v>0</v>
          </cell>
          <cell r="S206">
            <v>0</v>
          </cell>
          <cell r="T206">
            <v>0</v>
          </cell>
          <cell r="U206">
            <v>10</v>
          </cell>
          <cell r="V206">
            <v>60</v>
          </cell>
          <cell r="W206">
            <v>100</v>
          </cell>
          <cell r="X206">
            <v>705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171356000</v>
          </cell>
        </row>
        <row r="207">
          <cell r="C207" t="str">
            <v>SEC002830</v>
          </cell>
          <cell r="D207" t="str">
            <v>SE</v>
          </cell>
          <cell r="E207" t="str">
            <v>Bashir Aliyu</v>
          </cell>
          <cell r="F207" t="str">
            <v>Silver</v>
          </cell>
          <cell r="G207">
            <v>120</v>
          </cell>
          <cell r="H207">
            <v>0</v>
          </cell>
          <cell r="I207">
            <v>0</v>
          </cell>
          <cell r="J207">
            <v>5</v>
          </cell>
          <cell r="K207">
            <v>1</v>
          </cell>
          <cell r="L207">
            <v>10</v>
          </cell>
          <cell r="M207">
            <v>1</v>
          </cell>
          <cell r="N207">
            <v>0</v>
          </cell>
          <cell r="O207">
            <v>35</v>
          </cell>
          <cell r="P207">
            <v>3</v>
          </cell>
          <cell r="Q207">
            <v>2</v>
          </cell>
          <cell r="R207">
            <v>0</v>
          </cell>
          <cell r="S207">
            <v>0</v>
          </cell>
          <cell r="T207">
            <v>0</v>
          </cell>
          <cell r="U207">
            <v>1</v>
          </cell>
          <cell r="V207">
            <v>2</v>
          </cell>
          <cell r="W207">
            <v>0</v>
          </cell>
          <cell r="X207">
            <v>60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24220500</v>
          </cell>
        </row>
        <row r="208">
          <cell r="C208" t="str">
            <v>WCPA000002</v>
          </cell>
          <cell r="D208" t="str">
            <v>SE</v>
          </cell>
          <cell r="E208" t="str">
            <v>Alhaji Ahmadu Adamu Abdulahi</v>
          </cell>
          <cell r="F208" t="str">
            <v>Silver</v>
          </cell>
          <cell r="G208">
            <v>120</v>
          </cell>
          <cell r="H208">
            <v>0</v>
          </cell>
          <cell r="I208">
            <v>0</v>
          </cell>
          <cell r="J208">
            <v>5</v>
          </cell>
          <cell r="K208">
            <v>1</v>
          </cell>
          <cell r="L208">
            <v>10</v>
          </cell>
          <cell r="M208">
            <v>1</v>
          </cell>
          <cell r="N208">
            <v>0</v>
          </cell>
          <cell r="O208">
            <v>41</v>
          </cell>
          <cell r="P208">
            <v>4</v>
          </cell>
          <cell r="Q208">
            <v>2</v>
          </cell>
          <cell r="R208">
            <v>0</v>
          </cell>
          <cell r="S208">
            <v>0</v>
          </cell>
          <cell r="T208">
            <v>0</v>
          </cell>
          <cell r="U208">
            <v>1</v>
          </cell>
          <cell r="V208">
            <v>2</v>
          </cell>
          <cell r="W208">
            <v>0</v>
          </cell>
          <cell r="X208">
            <v>53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24545500</v>
          </cell>
        </row>
        <row r="209">
          <cell r="C209" t="str">
            <v>PWCPP000511</v>
          </cell>
          <cell r="D209" t="str">
            <v>SE</v>
          </cell>
          <cell r="E209" t="str">
            <v>Ojuiyiowi Eze</v>
          </cell>
          <cell r="F209" t="str">
            <v>Gold</v>
          </cell>
          <cell r="G209">
            <v>250</v>
          </cell>
          <cell r="H209">
            <v>0</v>
          </cell>
          <cell r="I209">
            <v>0</v>
          </cell>
          <cell r="J209">
            <v>6</v>
          </cell>
          <cell r="K209">
            <v>1</v>
          </cell>
          <cell r="L209">
            <v>19</v>
          </cell>
          <cell r="M209">
            <v>1</v>
          </cell>
          <cell r="N209">
            <v>0</v>
          </cell>
          <cell r="O209">
            <v>92</v>
          </cell>
          <cell r="P209">
            <v>0</v>
          </cell>
          <cell r="Q209">
            <v>53</v>
          </cell>
          <cell r="R209">
            <v>0</v>
          </cell>
          <cell r="S209">
            <v>0</v>
          </cell>
          <cell r="T209">
            <v>0</v>
          </cell>
          <cell r="U209">
            <v>1</v>
          </cell>
          <cell r="V209">
            <v>3</v>
          </cell>
          <cell r="W209">
            <v>5</v>
          </cell>
          <cell r="X209">
            <v>69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50239500</v>
          </cell>
        </row>
        <row r="210">
          <cell r="C210" t="str">
            <v>WCPA000063</v>
          </cell>
          <cell r="D210" t="str">
            <v>SE</v>
          </cell>
          <cell r="E210" t="str">
            <v>CHIEF SIMON EMERE</v>
          </cell>
          <cell r="F210" t="str">
            <v>Platinum</v>
          </cell>
          <cell r="G210">
            <v>500</v>
          </cell>
          <cell r="H210">
            <v>0</v>
          </cell>
          <cell r="I210">
            <v>0</v>
          </cell>
          <cell r="J210">
            <v>6</v>
          </cell>
          <cell r="K210">
            <v>1</v>
          </cell>
          <cell r="L210">
            <v>2</v>
          </cell>
          <cell r="M210">
            <v>0</v>
          </cell>
          <cell r="N210">
            <v>0</v>
          </cell>
          <cell r="O210">
            <v>250</v>
          </cell>
          <cell r="P210">
            <v>4</v>
          </cell>
          <cell r="Q210">
            <v>2</v>
          </cell>
          <cell r="R210">
            <v>0</v>
          </cell>
          <cell r="S210">
            <v>0</v>
          </cell>
          <cell r="T210">
            <v>0</v>
          </cell>
          <cell r="U210">
            <v>1</v>
          </cell>
          <cell r="V210">
            <v>3</v>
          </cell>
          <cell r="W210">
            <v>2</v>
          </cell>
          <cell r="X210">
            <v>229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104728500</v>
          </cell>
        </row>
        <row r="211">
          <cell r="C211" t="str">
            <v>WCPA000061</v>
          </cell>
          <cell r="D211" t="str">
            <v>SE</v>
          </cell>
          <cell r="E211" t="str">
            <v>NDUBUISI ARIRIAHU</v>
          </cell>
          <cell r="F211" t="str">
            <v>Platinum</v>
          </cell>
          <cell r="G211">
            <v>500</v>
          </cell>
          <cell r="H211">
            <v>0</v>
          </cell>
          <cell r="I211">
            <v>0</v>
          </cell>
          <cell r="J211">
            <v>6</v>
          </cell>
          <cell r="K211">
            <v>1</v>
          </cell>
          <cell r="L211">
            <v>2</v>
          </cell>
          <cell r="M211">
            <v>0</v>
          </cell>
          <cell r="N211">
            <v>0</v>
          </cell>
          <cell r="O211">
            <v>250</v>
          </cell>
          <cell r="P211">
            <v>4</v>
          </cell>
          <cell r="Q211">
            <v>2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</v>
          </cell>
          <cell r="W211">
            <v>1</v>
          </cell>
          <cell r="X211">
            <v>231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104887000</v>
          </cell>
        </row>
        <row r="212">
          <cell r="C212" t="str">
            <v>WCPA000057</v>
          </cell>
          <cell r="D212" t="str">
            <v>SE</v>
          </cell>
          <cell r="E212" t="str">
            <v>EZEKWE OJIOFOR</v>
          </cell>
          <cell r="F212" t="str">
            <v>Silver</v>
          </cell>
          <cell r="G212">
            <v>120</v>
          </cell>
          <cell r="H212">
            <v>0</v>
          </cell>
          <cell r="I212">
            <v>0</v>
          </cell>
          <cell r="J212">
            <v>6</v>
          </cell>
          <cell r="K212">
            <v>1</v>
          </cell>
          <cell r="L212">
            <v>2</v>
          </cell>
          <cell r="M212">
            <v>0</v>
          </cell>
          <cell r="N212">
            <v>0</v>
          </cell>
          <cell r="O212">
            <v>72</v>
          </cell>
          <cell r="P212">
            <v>3</v>
          </cell>
          <cell r="Q212">
            <v>2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2</v>
          </cell>
          <cell r="W212">
            <v>0</v>
          </cell>
          <cell r="X212">
            <v>32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26048000</v>
          </cell>
        </row>
        <row r="213">
          <cell r="C213" t="str">
            <v>WCPA000019</v>
          </cell>
          <cell r="D213" t="str">
            <v>SE</v>
          </cell>
          <cell r="E213" t="str">
            <v>Donald Odimegwu</v>
          </cell>
          <cell r="F213" t="str">
            <v>Gold</v>
          </cell>
          <cell r="G213">
            <v>250</v>
          </cell>
          <cell r="H213">
            <v>0</v>
          </cell>
          <cell r="I213">
            <v>0</v>
          </cell>
          <cell r="J213">
            <v>9</v>
          </cell>
          <cell r="K213">
            <v>1</v>
          </cell>
          <cell r="L213">
            <v>10</v>
          </cell>
          <cell r="M213">
            <v>1</v>
          </cell>
          <cell r="N213">
            <v>0</v>
          </cell>
          <cell r="O213">
            <v>100</v>
          </cell>
          <cell r="P213">
            <v>4</v>
          </cell>
          <cell r="Q213">
            <v>2</v>
          </cell>
          <cell r="R213">
            <v>0</v>
          </cell>
          <cell r="S213">
            <v>0</v>
          </cell>
          <cell r="T213">
            <v>0</v>
          </cell>
          <cell r="U213">
            <v>1</v>
          </cell>
          <cell r="V213">
            <v>2</v>
          </cell>
          <cell r="W213">
            <v>0</v>
          </cell>
          <cell r="X213">
            <v>120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51755500</v>
          </cell>
        </row>
        <row r="214">
          <cell r="C214" t="str">
            <v>WCPA000006</v>
          </cell>
          <cell r="D214" t="str">
            <v>SE</v>
          </cell>
          <cell r="E214" t="str">
            <v>ADAMU YAKUBU</v>
          </cell>
          <cell r="F214" t="str">
            <v>Bronze</v>
          </cell>
          <cell r="G214">
            <v>100</v>
          </cell>
          <cell r="H214">
            <v>0</v>
          </cell>
          <cell r="I214">
            <v>0</v>
          </cell>
          <cell r="J214">
            <v>9</v>
          </cell>
          <cell r="K214">
            <v>1</v>
          </cell>
          <cell r="L214">
            <v>0</v>
          </cell>
          <cell r="M214">
            <v>1</v>
          </cell>
          <cell r="N214">
            <v>0</v>
          </cell>
          <cell r="O214">
            <v>40</v>
          </cell>
          <cell r="P214">
            <v>0</v>
          </cell>
          <cell r="Q214">
            <v>10</v>
          </cell>
          <cell r="R214">
            <v>0</v>
          </cell>
          <cell r="S214">
            <v>0</v>
          </cell>
          <cell r="T214">
            <v>0</v>
          </cell>
          <cell r="U214">
            <v>1</v>
          </cell>
          <cell r="V214">
            <v>2</v>
          </cell>
          <cell r="W214">
            <v>2</v>
          </cell>
          <cell r="X214">
            <v>34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20707500</v>
          </cell>
        </row>
        <row r="215">
          <cell r="C215" t="str">
            <v>WCPA000004</v>
          </cell>
          <cell r="D215" t="str">
            <v>SE</v>
          </cell>
          <cell r="E215" t="str">
            <v>ADAMU ADO</v>
          </cell>
          <cell r="F215" t="str">
            <v>Gold</v>
          </cell>
          <cell r="G215">
            <v>250</v>
          </cell>
          <cell r="H215">
            <v>0</v>
          </cell>
          <cell r="I215">
            <v>0</v>
          </cell>
          <cell r="J215">
            <v>10</v>
          </cell>
          <cell r="K215">
            <v>0</v>
          </cell>
          <cell r="L215">
            <v>10</v>
          </cell>
          <cell r="M215">
            <v>1</v>
          </cell>
          <cell r="N215">
            <v>0</v>
          </cell>
          <cell r="O215">
            <v>114</v>
          </cell>
          <cell r="P215">
            <v>3</v>
          </cell>
          <cell r="Q215">
            <v>7</v>
          </cell>
          <cell r="R215">
            <v>0</v>
          </cell>
          <cell r="S215">
            <v>0</v>
          </cell>
          <cell r="T215">
            <v>0</v>
          </cell>
          <cell r="U215">
            <v>1</v>
          </cell>
          <cell r="V215">
            <v>3</v>
          </cell>
          <cell r="W215">
            <v>0</v>
          </cell>
          <cell r="X215">
            <v>101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52271500</v>
          </cell>
        </row>
        <row r="216">
          <cell r="C216" t="str">
            <v>WCPA000001</v>
          </cell>
          <cell r="D216" t="str">
            <v>SE</v>
          </cell>
          <cell r="E216" t="str">
            <v>IBRAHIM ABDULAHI EDI</v>
          </cell>
          <cell r="F216" t="str">
            <v>Platinum</v>
          </cell>
          <cell r="G216">
            <v>510</v>
          </cell>
          <cell r="H216">
            <v>0</v>
          </cell>
          <cell r="I216">
            <v>0</v>
          </cell>
          <cell r="J216">
            <v>5</v>
          </cell>
          <cell r="K216">
            <v>0</v>
          </cell>
          <cell r="L216">
            <v>10</v>
          </cell>
          <cell r="M216">
            <v>3</v>
          </cell>
          <cell r="N216">
            <v>0</v>
          </cell>
          <cell r="O216">
            <v>200</v>
          </cell>
          <cell r="P216">
            <v>10</v>
          </cell>
          <cell r="Q216">
            <v>2</v>
          </cell>
          <cell r="R216">
            <v>0</v>
          </cell>
          <cell r="S216">
            <v>0</v>
          </cell>
          <cell r="T216">
            <v>0</v>
          </cell>
          <cell r="U216">
            <v>1</v>
          </cell>
          <cell r="V216">
            <v>3</v>
          </cell>
          <cell r="W216">
            <v>6</v>
          </cell>
          <cell r="X216">
            <v>270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104443500</v>
          </cell>
        </row>
        <row r="217">
          <cell r="C217" t="str">
            <v>SEC001205</v>
          </cell>
          <cell r="D217" t="str">
            <v>SE</v>
          </cell>
          <cell r="E217" t="str">
            <v>Alhaji Dauda Abdulsalam</v>
          </cell>
          <cell r="F217" t="str">
            <v>Bronze</v>
          </cell>
          <cell r="G217">
            <v>70</v>
          </cell>
          <cell r="H217">
            <v>0</v>
          </cell>
          <cell r="I217">
            <v>0</v>
          </cell>
          <cell r="J217">
            <v>5</v>
          </cell>
          <cell r="K217">
            <v>0</v>
          </cell>
          <cell r="L217">
            <v>2</v>
          </cell>
          <cell r="M217">
            <v>1</v>
          </cell>
          <cell r="N217">
            <v>0</v>
          </cell>
          <cell r="O217">
            <v>20</v>
          </cell>
          <cell r="P217">
            <v>2</v>
          </cell>
          <cell r="Q217">
            <v>9</v>
          </cell>
          <cell r="R217">
            <v>0</v>
          </cell>
          <cell r="S217">
            <v>0</v>
          </cell>
          <cell r="T217">
            <v>0</v>
          </cell>
          <cell r="U217">
            <v>1</v>
          </cell>
          <cell r="V217">
            <v>3</v>
          </cell>
          <cell r="W217">
            <v>3</v>
          </cell>
          <cell r="X217">
            <v>24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13920500</v>
          </cell>
        </row>
        <row r="218">
          <cell r="C218" t="str">
            <v>SEC003795</v>
          </cell>
          <cell r="D218" t="str">
            <v>SE</v>
          </cell>
          <cell r="E218" t="str">
            <v>Enojane Integrated Enterprises</v>
          </cell>
          <cell r="F218" t="str">
            <v>Bronze</v>
          </cell>
          <cell r="G218">
            <v>100</v>
          </cell>
          <cell r="H218">
            <v>0</v>
          </cell>
          <cell r="I218">
            <v>0</v>
          </cell>
          <cell r="J218">
            <v>4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79</v>
          </cell>
          <cell r="P218">
            <v>3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3</v>
          </cell>
          <cell r="W218">
            <v>0</v>
          </cell>
          <cell r="X218">
            <v>11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22404000</v>
          </cell>
        </row>
        <row r="219">
          <cell r="C219">
            <v>0</v>
          </cell>
          <cell r="D219">
            <v>0</v>
          </cell>
          <cell r="E219" t="str">
            <v>Ikechukwu Enterprise</v>
          </cell>
          <cell r="F219" t="str">
            <v>Silver</v>
          </cell>
          <cell r="G219">
            <v>120</v>
          </cell>
          <cell r="H219">
            <v>0</v>
          </cell>
          <cell r="I219">
            <v>0</v>
          </cell>
          <cell r="J219">
            <v>2</v>
          </cell>
          <cell r="K219">
            <v>3</v>
          </cell>
          <cell r="L219">
            <v>1</v>
          </cell>
          <cell r="M219">
            <v>0</v>
          </cell>
          <cell r="N219">
            <v>0</v>
          </cell>
          <cell r="O219">
            <v>20</v>
          </cell>
          <cell r="P219">
            <v>0</v>
          </cell>
          <cell r="Q219">
            <v>10</v>
          </cell>
          <cell r="R219">
            <v>0</v>
          </cell>
          <cell r="S219">
            <v>0</v>
          </cell>
          <cell r="T219">
            <v>0</v>
          </cell>
          <cell r="U219">
            <v>7</v>
          </cell>
          <cell r="V219">
            <v>2</v>
          </cell>
          <cell r="W219">
            <v>0</v>
          </cell>
          <cell r="X219">
            <v>75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22739500</v>
          </cell>
        </row>
        <row r="220">
          <cell r="C220" t="str">
            <v>MBC003337</v>
          </cell>
          <cell r="D220" t="str">
            <v>MB</v>
          </cell>
          <cell r="E220" t="str">
            <v>A U Supreme Ventures</v>
          </cell>
          <cell r="F220" t="str">
            <v>Gold</v>
          </cell>
          <cell r="G220">
            <v>250</v>
          </cell>
          <cell r="H220">
            <v>0</v>
          </cell>
          <cell r="I220">
            <v>0</v>
          </cell>
          <cell r="J220">
            <v>2</v>
          </cell>
          <cell r="K220">
            <v>10</v>
          </cell>
          <cell r="L220">
            <v>0</v>
          </cell>
          <cell r="M220">
            <v>5</v>
          </cell>
          <cell r="N220">
            <v>20</v>
          </cell>
          <cell r="O220">
            <v>20</v>
          </cell>
          <cell r="P220">
            <v>5</v>
          </cell>
          <cell r="Q220">
            <v>1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100</v>
          </cell>
          <cell r="W220">
            <v>17</v>
          </cell>
          <cell r="X220">
            <v>70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37519000</v>
          </cell>
        </row>
        <row r="221">
          <cell r="C221" t="str">
            <v>WCJA000035</v>
          </cell>
          <cell r="D221" t="str">
            <v>MB</v>
          </cell>
          <cell r="E221" t="str">
            <v>Cosmos Anyougu</v>
          </cell>
          <cell r="F221" t="str">
            <v>Bronze</v>
          </cell>
          <cell r="G221">
            <v>70</v>
          </cell>
          <cell r="H221">
            <v>0</v>
          </cell>
          <cell r="I221">
            <v>0</v>
          </cell>
          <cell r="J221">
            <v>2</v>
          </cell>
          <cell r="K221">
            <v>5</v>
          </cell>
          <cell r="L221">
            <v>0</v>
          </cell>
          <cell r="M221">
            <v>3</v>
          </cell>
          <cell r="N221">
            <v>10</v>
          </cell>
          <cell r="O221">
            <v>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30</v>
          </cell>
          <cell r="W221">
            <v>0</v>
          </cell>
          <cell r="X221">
            <v>10</v>
          </cell>
          <cell r="Y221">
            <v>5</v>
          </cell>
          <cell r="Z221">
            <v>0</v>
          </cell>
          <cell r="AA221">
            <v>0</v>
          </cell>
          <cell r="AB221">
            <v>0</v>
          </cell>
          <cell r="AC221">
            <v>9857000</v>
          </cell>
        </row>
        <row r="222">
          <cell r="C222" t="str">
            <v>WCJA000032</v>
          </cell>
          <cell r="D222" t="str">
            <v>MB</v>
          </cell>
          <cell r="E222" t="str">
            <v>Sunday Umeh</v>
          </cell>
          <cell r="F222" t="str">
            <v>Bronze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</row>
        <row r="223">
          <cell r="C223" t="str">
            <v>WCJA000048</v>
          </cell>
          <cell r="D223" t="str">
            <v>MB</v>
          </cell>
          <cell r="E223" t="str">
            <v>Saidu Isiaku</v>
          </cell>
          <cell r="F223" t="str">
            <v>Bronze</v>
          </cell>
          <cell r="G223">
            <v>70</v>
          </cell>
          <cell r="H223">
            <v>0</v>
          </cell>
          <cell r="I223">
            <v>0</v>
          </cell>
          <cell r="J223">
            <v>2</v>
          </cell>
          <cell r="K223">
            <v>5</v>
          </cell>
          <cell r="L223">
            <v>0</v>
          </cell>
          <cell r="M223">
            <v>3</v>
          </cell>
          <cell r="N223">
            <v>10</v>
          </cell>
          <cell r="O223">
            <v>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30</v>
          </cell>
          <cell r="W223">
            <v>0</v>
          </cell>
          <cell r="X223">
            <v>10</v>
          </cell>
          <cell r="Y223">
            <v>5</v>
          </cell>
          <cell r="Z223">
            <v>0</v>
          </cell>
          <cell r="AA223">
            <v>0</v>
          </cell>
          <cell r="AB223">
            <v>0</v>
          </cell>
          <cell r="AC223">
            <v>9857000</v>
          </cell>
        </row>
        <row r="224">
          <cell r="C224" t="str">
            <v>MBC001329</v>
          </cell>
          <cell r="D224" t="str">
            <v>MB</v>
          </cell>
          <cell r="E224" t="str">
            <v>Moses Everistos mokwa</v>
          </cell>
          <cell r="F224" t="str">
            <v>Silver</v>
          </cell>
          <cell r="G224">
            <v>150</v>
          </cell>
          <cell r="H224">
            <v>0</v>
          </cell>
          <cell r="I224">
            <v>0</v>
          </cell>
          <cell r="J224">
            <v>5</v>
          </cell>
          <cell r="K224">
            <v>10</v>
          </cell>
          <cell r="L224">
            <v>0</v>
          </cell>
          <cell r="M224">
            <v>5</v>
          </cell>
          <cell r="N224">
            <v>20</v>
          </cell>
          <cell r="O224">
            <v>20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40</v>
          </cell>
          <cell r="W224">
            <v>0</v>
          </cell>
          <cell r="X224">
            <v>30</v>
          </cell>
          <cell r="Y224">
            <v>20</v>
          </cell>
          <cell r="Z224">
            <v>0</v>
          </cell>
          <cell r="AA224">
            <v>0</v>
          </cell>
          <cell r="AB224">
            <v>0</v>
          </cell>
          <cell r="AC224">
            <v>22850000</v>
          </cell>
        </row>
        <row r="225">
          <cell r="C225" t="str">
            <v>WCJA000026</v>
          </cell>
          <cell r="D225" t="str">
            <v>MB</v>
          </cell>
          <cell r="E225" t="str">
            <v>Bafashi Galadima</v>
          </cell>
          <cell r="F225" t="str">
            <v>Silver</v>
          </cell>
          <cell r="G225">
            <v>130</v>
          </cell>
          <cell r="H225">
            <v>0</v>
          </cell>
          <cell r="I225">
            <v>0</v>
          </cell>
          <cell r="J225">
            <v>5</v>
          </cell>
          <cell r="K225">
            <v>10</v>
          </cell>
          <cell r="L225">
            <v>0</v>
          </cell>
          <cell r="M225">
            <v>5</v>
          </cell>
          <cell r="N225">
            <v>10</v>
          </cell>
          <cell r="O225">
            <v>10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40</v>
          </cell>
          <cell r="W225">
            <v>0</v>
          </cell>
          <cell r="X225">
            <v>30</v>
          </cell>
          <cell r="Y225">
            <v>20</v>
          </cell>
          <cell r="Z225">
            <v>0</v>
          </cell>
          <cell r="AA225">
            <v>0</v>
          </cell>
          <cell r="AB225">
            <v>0</v>
          </cell>
          <cell r="AC225">
            <v>19600000</v>
          </cell>
        </row>
        <row r="226">
          <cell r="C226" t="str">
            <v>WCJA000025</v>
          </cell>
          <cell r="D226" t="str">
            <v>MB</v>
          </cell>
          <cell r="E226" t="str">
            <v>Lawan Danfari</v>
          </cell>
          <cell r="F226" t="str">
            <v>Gold</v>
          </cell>
          <cell r="G226">
            <v>250</v>
          </cell>
          <cell r="H226">
            <v>0</v>
          </cell>
          <cell r="I226">
            <v>0</v>
          </cell>
          <cell r="J226">
            <v>30</v>
          </cell>
          <cell r="K226">
            <v>20</v>
          </cell>
          <cell r="L226">
            <v>0</v>
          </cell>
          <cell r="M226">
            <v>5</v>
          </cell>
          <cell r="N226">
            <v>5</v>
          </cell>
          <cell r="O226">
            <v>30</v>
          </cell>
          <cell r="P226">
            <v>0</v>
          </cell>
          <cell r="Q226">
            <v>5</v>
          </cell>
          <cell r="R226">
            <v>0</v>
          </cell>
          <cell r="S226">
            <v>5</v>
          </cell>
          <cell r="T226">
            <v>0</v>
          </cell>
          <cell r="U226">
            <v>0</v>
          </cell>
          <cell r="V226">
            <v>70</v>
          </cell>
          <cell r="W226">
            <v>0</v>
          </cell>
          <cell r="X226">
            <v>70</v>
          </cell>
          <cell r="Y226">
            <v>10</v>
          </cell>
          <cell r="Z226">
            <v>0</v>
          </cell>
          <cell r="AA226">
            <v>0</v>
          </cell>
          <cell r="AB226">
            <v>0</v>
          </cell>
          <cell r="AC226">
            <v>43215000</v>
          </cell>
        </row>
        <row r="227">
          <cell r="C227" t="str">
            <v>WCJA000019</v>
          </cell>
          <cell r="D227" t="str">
            <v>MB</v>
          </cell>
          <cell r="E227" t="str">
            <v>Abubakar Chairman</v>
          </cell>
          <cell r="F227" t="str">
            <v>Platinum</v>
          </cell>
          <cell r="G227">
            <v>500</v>
          </cell>
          <cell r="H227">
            <v>0</v>
          </cell>
          <cell r="I227">
            <v>0</v>
          </cell>
          <cell r="J227">
            <v>30</v>
          </cell>
          <cell r="K227">
            <v>50</v>
          </cell>
          <cell r="L227">
            <v>0</v>
          </cell>
          <cell r="M227">
            <v>10</v>
          </cell>
          <cell r="N227">
            <v>50</v>
          </cell>
          <cell r="O227">
            <v>100</v>
          </cell>
          <cell r="P227">
            <v>0</v>
          </cell>
          <cell r="Q227">
            <v>5</v>
          </cell>
          <cell r="R227">
            <v>0</v>
          </cell>
          <cell r="S227">
            <v>5</v>
          </cell>
          <cell r="T227">
            <v>0</v>
          </cell>
          <cell r="U227">
            <v>0</v>
          </cell>
          <cell r="V227">
            <v>100</v>
          </cell>
          <cell r="W227">
            <v>0</v>
          </cell>
          <cell r="X227">
            <v>150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87015000</v>
          </cell>
        </row>
        <row r="228">
          <cell r="C228" t="str">
            <v>WCJA000018</v>
          </cell>
          <cell r="D228" t="str">
            <v>MB</v>
          </cell>
          <cell r="E228" t="str">
            <v>Zakaria SO</v>
          </cell>
          <cell r="F228" t="str">
            <v>Gold</v>
          </cell>
          <cell r="G228">
            <v>250</v>
          </cell>
          <cell r="H228">
            <v>0</v>
          </cell>
          <cell r="I228">
            <v>0</v>
          </cell>
          <cell r="J228">
            <v>30</v>
          </cell>
          <cell r="K228">
            <v>20</v>
          </cell>
          <cell r="L228">
            <v>0</v>
          </cell>
          <cell r="M228">
            <v>5</v>
          </cell>
          <cell r="N228">
            <v>5</v>
          </cell>
          <cell r="O228">
            <v>30</v>
          </cell>
          <cell r="P228">
            <v>0</v>
          </cell>
          <cell r="Q228">
            <v>5</v>
          </cell>
          <cell r="R228">
            <v>0</v>
          </cell>
          <cell r="S228">
            <v>5</v>
          </cell>
          <cell r="T228">
            <v>0</v>
          </cell>
          <cell r="U228">
            <v>0</v>
          </cell>
          <cell r="V228">
            <v>70</v>
          </cell>
          <cell r="W228">
            <v>0</v>
          </cell>
          <cell r="X228">
            <v>70</v>
          </cell>
          <cell r="Y228">
            <v>10</v>
          </cell>
          <cell r="Z228">
            <v>0</v>
          </cell>
          <cell r="AA228">
            <v>0</v>
          </cell>
          <cell r="AB228">
            <v>0</v>
          </cell>
          <cell r="AC228">
            <v>43215000</v>
          </cell>
        </row>
        <row r="229">
          <cell r="C229" t="str">
            <v>MBC001360</v>
          </cell>
          <cell r="D229" t="str">
            <v>MB</v>
          </cell>
          <cell r="E229" t="str">
            <v>Danyaya Mohd</v>
          </cell>
          <cell r="F229" t="str">
            <v>Gold</v>
          </cell>
          <cell r="G229">
            <v>350</v>
          </cell>
          <cell r="H229">
            <v>0</v>
          </cell>
          <cell r="I229">
            <v>0</v>
          </cell>
          <cell r="J229">
            <v>50</v>
          </cell>
          <cell r="K229">
            <v>50</v>
          </cell>
          <cell r="L229">
            <v>0</v>
          </cell>
          <cell r="M229">
            <v>10</v>
          </cell>
          <cell r="N229">
            <v>0</v>
          </cell>
          <cell r="O229">
            <v>50</v>
          </cell>
          <cell r="P229">
            <v>50</v>
          </cell>
          <cell r="Q229">
            <v>5</v>
          </cell>
          <cell r="R229">
            <v>0</v>
          </cell>
          <cell r="S229">
            <v>5</v>
          </cell>
          <cell r="T229">
            <v>0</v>
          </cell>
          <cell r="U229">
            <v>0</v>
          </cell>
          <cell r="V229">
            <v>30</v>
          </cell>
          <cell r="W229">
            <v>0</v>
          </cell>
          <cell r="X229">
            <v>100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71725000</v>
          </cell>
        </row>
        <row r="230">
          <cell r="C230" t="str">
            <v>WCJA000332</v>
          </cell>
          <cell r="D230" t="str">
            <v>MB</v>
          </cell>
          <cell r="E230" t="str">
            <v>EMMANUEL ANI</v>
          </cell>
          <cell r="F230" t="str">
            <v>Silver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</row>
        <row r="231">
          <cell r="C231" t="str">
            <v>MBC003336</v>
          </cell>
          <cell r="D231" t="str">
            <v>MB</v>
          </cell>
          <cell r="E231" t="str">
            <v>JohnChido Ogbuabor</v>
          </cell>
          <cell r="F231" t="str">
            <v>Silver</v>
          </cell>
          <cell r="G231">
            <v>150</v>
          </cell>
          <cell r="H231">
            <v>0</v>
          </cell>
          <cell r="I231">
            <v>0</v>
          </cell>
          <cell r="J231">
            <v>5</v>
          </cell>
          <cell r="K231">
            <v>10</v>
          </cell>
          <cell r="L231">
            <v>0</v>
          </cell>
          <cell r="M231">
            <v>5</v>
          </cell>
          <cell r="N231">
            <v>20</v>
          </cell>
          <cell r="O231">
            <v>20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40</v>
          </cell>
          <cell r="W231">
            <v>0</v>
          </cell>
          <cell r="X231">
            <v>30</v>
          </cell>
          <cell r="Y231">
            <v>20</v>
          </cell>
          <cell r="Z231">
            <v>0</v>
          </cell>
          <cell r="AA231">
            <v>0</v>
          </cell>
          <cell r="AB231">
            <v>0</v>
          </cell>
          <cell r="AC231">
            <v>22850000</v>
          </cell>
        </row>
        <row r="232">
          <cell r="C232" t="str">
            <v>WCJA000031</v>
          </cell>
          <cell r="D232" t="str">
            <v>MB</v>
          </cell>
          <cell r="E232" t="str">
            <v>Ramatu Fatamoye</v>
          </cell>
          <cell r="F232" t="str">
            <v>Gold</v>
          </cell>
          <cell r="G232">
            <v>300</v>
          </cell>
          <cell r="H232">
            <v>0</v>
          </cell>
          <cell r="I232">
            <v>0</v>
          </cell>
          <cell r="J232">
            <v>30</v>
          </cell>
          <cell r="K232">
            <v>20</v>
          </cell>
          <cell r="L232">
            <v>0</v>
          </cell>
          <cell r="M232">
            <v>5</v>
          </cell>
          <cell r="N232">
            <v>5</v>
          </cell>
          <cell r="O232">
            <v>30</v>
          </cell>
          <cell r="P232">
            <v>0</v>
          </cell>
          <cell r="Q232">
            <v>5</v>
          </cell>
          <cell r="R232">
            <v>0</v>
          </cell>
          <cell r="S232">
            <v>5</v>
          </cell>
          <cell r="T232">
            <v>0</v>
          </cell>
          <cell r="U232">
            <v>0</v>
          </cell>
          <cell r="V232">
            <v>120</v>
          </cell>
          <cell r="W232">
            <v>0</v>
          </cell>
          <cell r="X232">
            <v>70</v>
          </cell>
          <cell r="Y232">
            <v>10</v>
          </cell>
          <cell r="Z232">
            <v>0</v>
          </cell>
          <cell r="AA232">
            <v>0</v>
          </cell>
          <cell r="AB232">
            <v>0</v>
          </cell>
          <cell r="AC232">
            <v>48865000</v>
          </cell>
        </row>
        <row r="233">
          <cell r="C233" t="str">
            <v>WCJA000334</v>
          </cell>
          <cell r="D233" t="str">
            <v>MB</v>
          </cell>
          <cell r="E233" t="str">
            <v>Simon Ossai</v>
          </cell>
          <cell r="F233" t="str">
            <v>Gold</v>
          </cell>
          <cell r="G233">
            <v>300</v>
          </cell>
          <cell r="H233">
            <v>0</v>
          </cell>
          <cell r="I233">
            <v>0</v>
          </cell>
          <cell r="J233">
            <v>2</v>
          </cell>
          <cell r="K233">
            <v>10</v>
          </cell>
          <cell r="L233">
            <v>0</v>
          </cell>
          <cell r="M233">
            <v>5</v>
          </cell>
          <cell r="N233">
            <v>20</v>
          </cell>
          <cell r="O233">
            <v>20</v>
          </cell>
          <cell r="P233">
            <v>5</v>
          </cell>
          <cell r="Q233">
            <v>1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150</v>
          </cell>
          <cell r="W233">
            <v>17</v>
          </cell>
          <cell r="X233">
            <v>70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43169000</v>
          </cell>
        </row>
        <row r="234">
          <cell r="C234" t="str">
            <v>MBC002177</v>
          </cell>
          <cell r="D234" t="str">
            <v>MB</v>
          </cell>
          <cell r="E234" t="str">
            <v>Eze Onyebuchi</v>
          </cell>
          <cell r="F234" t="str">
            <v>Gold</v>
          </cell>
          <cell r="G234">
            <v>300</v>
          </cell>
          <cell r="H234">
            <v>0</v>
          </cell>
          <cell r="I234">
            <v>0</v>
          </cell>
          <cell r="J234">
            <v>2</v>
          </cell>
          <cell r="K234">
            <v>10</v>
          </cell>
          <cell r="L234">
            <v>0</v>
          </cell>
          <cell r="M234">
            <v>5</v>
          </cell>
          <cell r="N234">
            <v>20</v>
          </cell>
          <cell r="O234">
            <v>20</v>
          </cell>
          <cell r="P234">
            <v>5</v>
          </cell>
          <cell r="Q234">
            <v>1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150</v>
          </cell>
          <cell r="W234">
            <v>17</v>
          </cell>
          <cell r="X234">
            <v>70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43169000</v>
          </cell>
        </row>
        <row r="235">
          <cell r="C235" t="str">
            <v>MBC001921</v>
          </cell>
          <cell r="D235" t="str">
            <v>MB</v>
          </cell>
          <cell r="E235" t="str">
            <v>Sunny Holdings Nig</v>
          </cell>
          <cell r="F235" t="str">
            <v>Gold</v>
          </cell>
          <cell r="G235">
            <v>250</v>
          </cell>
          <cell r="H235">
            <v>0</v>
          </cell>
          <cell r="I235">
            <v>0</v>
          </cell>
          <cell r="J235">
            <v>2</v>
          </cell>
          <cell r="K235">
            <v>10</v>
          </cell>
          <cell r="L235">
            <v>0</v>
          </cell>
          <cell r="M235">
            <v>5</v>
          </cell>
          <cell r="N235">
            <v>20</v>
          </cell>
          <cell r="O235">
            <v>20</v>
          </cell>
          <cell r="P235">
            <v>5</v>
          </cell>
          <cell r="Q235">
            <v>1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100</v>
          </cell>
          <cell r="W235">
            <v>17</v>
          </cell>
          <cell r="X235">
            <v>70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37519000</v>
          </cell>
        </row>
        <row r="236">
          <cell r="C236" t="str">
            <v>WCJA000106</v>
          </cell>
          <cell r="D236" t="str">
            <v>MB</v>
          </cell>
          <cell r="E236" t="str">
            <v>Mohammed Sule</v>
          </cell>
          <cell r="F236" t="str">
            <v>Silver</v>
          </cell>
          <cell r="G236">
            <v>250</v>
          </cell>
          <cell r="H236">
            <v>0</v>
          </cell>
          <cell r="I236">
            <v>0</v>
          </cell>
          <cell r="J236">
            <v>2</v>
          </cell>
          <cell r="K236">
            <v>10</v>
          </cell>
          <cell r="L236">
            <v>0</v>
          </cell>
          <cell r="M236">
            <v>5</v>
          </cell>
          <cell r="N236">
            <v>20</v>
          </cell>
          <cell r="O236">
            <v>20</v>
          </cell>
          <cell r="P236">
            <v>5</v>
          </cell>
          <cell r="Q236">
            <v>1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100</v>
          </cell>
          <cell r="W236">
            <v>17</v>
          </cell>
          <cell r="X236">
            <v>70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37519000</v>
          </cell>
        </row>
        <row r="237">
          <cell r="C237" t="str">
            <v>WCJA000104</v>
          </cell>
          <cell r="D237" t="str">
            <v>MB</v>
          </cell>
          <cell r="E237" t="str">
            <v>Madueke Nnaji</v>
          </cell>
          <cell r="F237" t="str">
            <v>Silver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</row>
        <row r="238">
          <cell r="C238" t="str">
            <v>WCJA000103</v>
          </cell>
          <cell r="D238" t="str">
            <v>MB</v>
          </cell>
          <cell r="E238" t="str">
            <v>Sunday Edeh</v>
          </cell>
          <cell r="F238" t="str">
            <v>Platinum</v>
          </cell>
          <cell r="G238">
            <v>600</v>
          </cell>
          <cell r="H238">
            <v>0</v>
          </cell>
          <cell r="I238">
            <v>0</v>
          </cell>
          <cell r="J238">
            <v>50</v>
          </cell>
          <cell r="K238">
            <v>50</v>
          </cell>
          <cell r="L238">
            <v>0</v>
          </cell>
          <cell r="M238">
            <v>0</v>
          </cell>
          <cell r="N238">
            <v>0</v>
          </cell>
          <cell r="O238">
            <v>100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300</v>
          </cell>
          <cell r="W238">
            <v>0</v>
          </cell>
          <cell r="X238">
            <v>100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97500000</v>
          </cell>
        </row>
        <row r="239">
          <cell r="C239" t="str">
            <v>WCJA000379</v>
          </cell>
          <cell r="D239" t="str">
            <v>MB</v>
          </cell>
          <cell r="E239" t="str">
            <v>Amechi Ogbu</v>
          </cell>
          <cell r="F239" t="str">
            <v>Gold</v>
          </cell>
          <cell r="G239">
            <v>350</v>
          </cell>
          <cell r="H239">
            <v>0</v>
          </cell>
          <cell r="I239">
            <v>0</v>
          </cell>
          <cell r="J239">
            <v>100</v>
          </cell>
          <cell r="K239">
            <v>50</v>
          </cell>
          <cell r="L239">
            <v>0</v>
          </cell>
          <cell r="M239">
            <v>20</v>
          </cell>
          <cell r="N239">
            <v>0</v>
          </cell>
          <cell r="O239">
            <v>50</v>
          </cell>
          <cell r="P239">
            <v>20</v>
          </cell>
          <cell r="Q239">
            <v>0</v>
          </cell>
          <cell r="R239">
            <v>0</v>
          </cell>
          <cell r="S239">
            <v>10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100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74880000</v>
          </cell>
        </row>
        <row r="240">
          <cell r="C240" t="str">
            <v>WCJA000017</v>
          </cell>
          <cell r="D240" t="str">
            <v>MB</v>
          </cell>
          <cell r="E240" t="str">
            <v>Oliver Eze</v>
          </cell>
          <cell r="F240" t="str">
            <v>Gold</v>
          </cell>
          <cell r="G240">
            <v>350</v>
          </cell>
          <cell r="H240">
            <v>0</v>
          </cell>
          <cell r="I240">
            <v>0</v>
          </cell>
          <cell r="J240">
            <v>30</v>
          </cell>
          <cell r="K240">
            <v>50</v>
          </cell>
          <cell r="L240">
            <v>0</v>
          </cell>
          <cell r="M240">
            <v>20</v>
          </cell>
          <cell r="N240">
            <v>0</v>
          </cell>
          <cell r="O240">
            <v>50</v>
          </cell>
          <cell r="P240">
            <v>20</v>
          </cell>
          <cell r="Q240">
            <v>0</v>
          </cell>
          <cell r="R240">
            <v>0</v>
          </cell>
          <cell r="S240">
            <v>10</v>
          </cell>
          <cell r="T240">
            <v>0</v>
          </cell>
          <cell r="U240">
            <v>0</v>
          </cell>
          <cell r="V240">
            <v>70</v>
          </cell>
          <cell r="W240">
            <v>0</v>
          </cell>
          <cell r="X240">
            <v>100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64520000</v>
          </cell>
        </row>
        <row r="241">
          <cell r="C241" t="str">
            <v>WCJA000012</v>
          </cell>
          <cell r="D241" t="str">
            <v>MB</v>
          </cell>
          <cell r="E241" t="str">
            <v>Mike Ogbonna</v>
          </cell>
          <cell r="F241" t="str">
            <v>Gold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</row>
        <row r="242">
          <cell r="C242" t="str">
            <v>WCJA000011</v>
          </cell>
          <cell r="D242" t="str">
            <v>MB</v>
          </cell>
          <cell r="E242" t="str">
            <v>Haliru Hassan</v>
          </cell>
          <cell r="F242" t="str">
            <v>Gold</v>
          </cell>
          <cell r="G242">
            <v>400</v>
          </cell>
          <cell r="H242">
            <v>0</v>
          </cell>
          <cell r="I242">
            <v>0</v>
          </cell>
          <cell r="J242">
            <v>80</v>
          </cell>
          <cell r="K242">
            <v>100</v>
          </cell>
          <cell r="L242">
            <v>0</v>
          </cell>
          <cell r="M242">
            <v>20</v>
          </cell>
          <cell r="N242">
            <v>0</v>
          </cell>
          <cell r="O242">
            <v>50</v>
          </cell>
          <cell r="P242">
            <v>20</v>
          </cell>
          <cell r="Q242">
            <v>0</v>
          </cell>
          <cell r="R242">
            <v>0</v>
          </cell>
          <cell r="S242">
            <v>10</v>
          </cell>
          <cell r="T242">
            <v>0</v>
          </cell>
          <cell r="U242">
            <v>0</v>
          </cell>
          <cell r="V242">
            <v>20</v>
          </cell>
          <cell r="W242">
            <v>0</v>
          </cell>
          <cell r="X242">
            <v>100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80670000</v>
          </cell>
        </row>
        <row r="243">
          <cell r="C243" t="str">
            <v>WCJA000008</v>
          </cell>
          <cell r="D243" t="str">
            <v>MB</v>
          </cell>
          <cell r="E243" t="str">
            <v>Zila Daura</v>
          </cell>
          <cell r="F243" t="str">
            <v>Gold</v>
          </cell>
          <cell r="G243">
            <v>280</v>
          </cell>
          <cell r="H243">
            <v>0</v>
          </cell>
          <cell r="I243">
            <v>0</v>
          </cell>
          <cell r="J243">
            <v>40</v>
          </cell>
          <cell r="K243">
            <v>40</v>
          </cell>
          <cell r="L243">
            <v>0</v>
          </cell>
          <cell r="M243">
            <v>10</v>
          </cell>
          <cell r="N243">
            <v>0</v>
          </cell>
          <cell r="O243">
            <v>50</v>
          </cell>
          <cell r="P243">
            <v>50</v>
          </cell>
          <cell r="Q243">
            <v>0</v>
          </cell>
          <cell r="R243">
            <v>0</v>
          </cell>
          <cell r="S243">
            <v>10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80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59790000</v>
          </cell>
        </row>
        <row r="244">
          <cell r="C244" t="str">
            <v>WCJA000007</v>
          </cell>
          <cell r="D244" t="str">
            <v>MB</v>
          </cell>
          <cell r="E244" t="str">
            <v>Fabian Ecomog</v>
          </cell>
          <cell r="F244" t="str">
            <v>Gold</v>
          </cell>
          <cell r="G244">
            <v>350</v>
          </cell>
          <cell r="H244">
            <v>0</v>
          </cell>
          <cell r="I244">
            <v>0</v>
          </cell>
          <cell r="J244">
            <v>30</v>
          </cell>
          <cell r="K244">
            <v>50</v>
          </cell>
          <cell r="L244">
            <v>0</v>
          </cell>
          <cell r="M244">
            <v>20</v>
          </cell>
          <cell r="N244">
            <v>0</v>
          </cell>
          <cell r="O244">
            <v>50</v>
          </cell>
          <cell r="P244">
            <v>20</v>
          </cell>
          <cell r="Q244">
            <v>0</v>
          </cell>
          <cell r="R244">
            <v>0</v>
          </cell>
          <cell r="S244">
            <v>10</v>
          </cell>
          <cell r="T244">
            <v>0</v>
          </cell>
          <cell r="U244">
            <v>0</v>
          </cell>
          <cell r="V244">
            <v>70</v>
          </cell>
          <cell r="W244">
            <v>0</v>
          </cell>
          <cell r="X244">
            <v>100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64520000</v>
          </cell>
        </row>
        <row r="245">
          <cell r="C245" t="str">
            <v>WCJA000005</v>
          </cell>
          <cell r="D245" t="str">
            <v>MB</v>
          </cell>
          <cell r="E245" t="str">
            <v>Chukudi Ogbo</v>
          </cell>
          <cell r="F245" t="str">
            <v>Gold</v>
          </cell>
          <cell r="G245">
            <v>400</v>
          </cell>
          <cell r="H245">
            <v>0</v>
          </cell>
          <cell r="I245">
            <v>0</v>
          </cell>
          <cell r="J245">
            <v>75</v>
          </cell>
          <cell r="K245">
            <v>80</v>
          </cell>
          <cell r="L245">
            <v>0</v>
          </cell>
          <cell r="M245">
            <v>0</v>
          </cell>
          <cell r="N245">
            <v>0</v>
          </cell>
          <cell r="O245">
            <v>90</v>
          </cell>
          <cell r="P245">
            <v>50</v>
          </cell>
          <cell r="Q245">
            <v>0</v>
          </cell>
          <cell r="R245">
            <v>0</v>
          </cell>
          <cell r="S245">
            <v>5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100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86630000</v>
          </cell>
        </row>
        <row r="246">
          <cell r="C246" t="str">
            <v>WCJA000002</v>
          </cell>
          <cell r="D246" t="str">
            <v>MB</v>
          </cell>
          <cell r="E246" t="str">
            <v>Abdulmumini Usman</v>
          </cell>
          <cell r="F246" t="str">
            <v>Gold</v>
          </cell>
          <cell r="G246">
            <v>300</v>
          </cell>
          <cell r="H246">
            <v>0</v>
          </cell>
          <cell r="I246">
            <v>0</v>
          </cell>
          <cell r="J246">
            <v>60</v>
          </cell>
          <cell r="K246">
            <v>100</v>
          </cell>
          <cell r="L246">
            <v>0</v>
          </cell>
          <cell r="M246">
            <v>10</v>
          </cell>
          <cell r="N246">
            <v>0</v>
          </cell>
          <cell r="O246">
            <v>50</v>
          </cell>
          <cell r="P246">
            <v>20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10</v>
          </cell>
          <cell r="W246">
            <v>0</v>
          </cell>
          <cell r="X246">
            <v>50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62160000</v>
          </cell>
        </row>
        <row r="247">
          <cell r="C247" t="str">
            <v>WCJA000001</v>
          </cell>
          <cell r="D247" t="str">
            <v>MB</v>
          </cell>
          <cell r="E247" t="str">
            <v>Haruna Mohammed</v>
          </cell>
          <cell r="F247" t="str">
            <v>Platinum</v>
          </cell>
          <cell r="G247">
            <v>750</v>
          </cell>
          <cell r="H247">
            <v>0</v>
          </cell>
          <cell r="I247">
            <v>0</v>
          </cell>
          <cell r="J247">
            <v>50</v>
          </cell>
          <cell r="K247">
            <v>150</v>
          </cell>
          <cell r="L247">
            <v>0</v>
          </cell>
          <cell r="M247">
            <v>20</v>
          </cell>
          <cell r="N247">
            <v>0</v>
          </cell>
          <cell r="O247">
            <v>100</v>
          </cell>
          <cell r="P247">
            <v>20</v>
          </cell>
          <cell r="Q247">
            <v>0</v>
          </cell>
          <cell r="R247">
            <v>0</v>
          </cell>
          <cell r="S247">
            <v>10</v>
          </cell>
          <cell r="T247">
            <v>0</v>
          </cell>
          <cell r="U247">
            <v>0</v>
          </cell>
          <cell r="V247">
            <v>100</v>
          </cell>
          <cell r="W247">
            <v>0</v>
          </cell>
          <cell r="X247">
            <v>250</v>
          </cell>
          <cell r="Y247">
            <v>50</v>
          </cell>
          <cell r="Z247">
            <v>0</v>
          </cell>
          <cell r="AA247">
            <v>0</v>
          </cell>
          <cell r="AB247">
            <v>0</v>
          </cell>
          <cell r="AC247">
            <v>135980000</v>
          </cell>
        </row>
        <row r="248">
          <cell r="C248" t="str">
            <v>MBC002873</v>
          </cell>
          <cell r="D248" t="str">
            <v>MB</v>
          </cell>
          <cell r="E248" t="str">
            <v>Hussaini Baba</v>
          </cell>
          <cell r="F248" t="str">
            <v>Gold</v>
          </cell>
          <cell r="G248">
            <v>300</v>
          </cell>
          <cell r="H248">
            <v>0</v>
          </cell>
          <cell r="I248">
            <v>0</v>
          </cell>
          <cell r="J248">
            <v>60</v>
          </cell>
          <cell r="K248">
            <v>50</v>
          </cell>
          <cell r="L248">
            <v>0</v>
          </cell>
          <cell r="M248">
            <v>10</v>
          </cell>
          <cell r="N248">
            <v>0</v>
          </cell>
          <cell r="O248">
            <v>50</v>
          </cell>
          <cell r="P248">
            <v>20</v>
          </cell>
          <cell r="Q248">
            <v>5</v>
          </cell>
          <cell r="R248">
            <v>0</v>
          </cell>
          <cell r="S248">
            <v>5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100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63115000</v>
          </cell>
        </row>
        <row r="249">
          <cell r="C249" t="str">
            <v>MBC001930</v>
          </cell>
          <cell r="D249" t="str">
            <v>MB</v>
          </cell>
          <cell r="E249" t="str">
            <v>De - Blessed Investment</v>
          </cell>
          <cell r="F249" t="str">
            <v>Gold</v>
          </cell>
          <cell r="G249">
            <v>300</v>
          </cell>
          <cell r="H249">
            <v>0</v>
          </cell>
          <cell r="I249">
            <v>0</v>
          </cell>
          <cell r="J249">
            <v>60</v>
          </cell>
          <cell r="K249">
            <v>100</v>
          </cell>
          <cell r="L249">
            <v>0</v>
          </cell>
          <cell r="M249">
            <v>10</v>
          </cell>
          <cell r="N249">
            <v>0</v>
          </cell>
          <cell r="O249">
            <v>50</v>
          </cell>
          <cell r="P249">
            <v>20</v>
          </cell>
          <cell r="Q249">
            <v>5</v>
          </cell>
          <cell r="R249">
            <v>0</v>
          </cell>
          <cell r="S249">
            <v>5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50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62465000</v>
          </cell>
        </row>
        <row r="250">
          <cell r="C250" t="str">
            <v>MBC001526</v>
          </cell>
          <cell r="D250" t="str">
            <v>MB</v>
          </cell>
          <cell r="E250" t="str">
            <v>Rufai Haliru</v>
          </cell>
          <cell r="F250" t="str">
            <v>Platinum</v>
          </cell>
          <cell r="G250">
            <v>550</v>
          </cell>
          <cell r="H250">
            <v>0</v>
          </cell>
          <cell r="I250">
            <v>0</v>
          </cell>
          <cell r="J250">
            <v>50</v>
          </cell>
          <cell r="K250">
            <v>100</v>
          </cell>
          <cell r="L250">
            <v>0</v>
          </cell>
          <cell r="M250">
            <v>20</v>
          </cell>
          <cell r="N250">
            <v>0</v>
          </cell>
          <cell r="O250">
            <v>100</v>
          </cell>
          <cell r="P250">
            <v>30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50</v>
          </cell>
          <cell r="W250">
            <v>0</v>
          </cell>
          <cell r="X250">
            <v>150</v>
          </cell>
          <cell r="Y250">
            <v>50</v>
          </cell>
          <cell r="Z250">
            <v>0</v>
          </cell>
          <cell r="AA250">
            <v>0</v>
          </cell>
          <cell r="AB250">
            <v>0</v>
          </cell>
          <cell r="AC250">
            <v>104380000</v>
          </cell>
        </row>
        <row r="251">
          <cell r="C251" t="str">
            <v>MBC003538</v>
          </cell>
          <cell r="D251" t="str">
            <v>MB</v>
          </cell>
          <cell r="E251" t="str">
            <v>Daniel I. Chukwuemeka</v>
          </cell>
          <cell r="F251" t="str">
            <v>Bronze</v>
          </cell>
          <cell r="G251">
            <v>150</v>
          </cell>
          <cell r="H251">
            <v>0</v>
          </cell>
          <cell r="I251">
            <v>0</v>
          </cell>
          <cell r="J251">
            <v>5</v>
          </cell>
          <cell r="K251">
            <v>10</v>
          </cell>
          <cell r="L251">
            <v>0</v>
          </cell>
          <cell r="M251">
            <v>5</v>
          </cell>
          <cell r="N251">
            <v>20</v>
          </cell>
          <cell r="O251">
            <v>20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40</v>
          </cell>
          <cell r="W251">
            <v>0</v>
          </cell>
          <cell r="X251">
            <v>30</v>
          </cell>
          <cell r="Y251">
            <v>20</v>
          </cell>
          <cell r="Z251">
            <v>0</v>
          </cell>
          <cell r="AA251">
            <v>0</v>
          </cell>
          <cell r="AB251">
            <v>0</v>
          </cell>
          <cell r="AC251">
            <v>22850000</v>
          </cell>
        </row>
        <row r="252">
          <cell r="C252" t="str">
            <v>WCFA000229</v>
          </cell>
          <cell r="D252" t="str">
            <v>MB</v>
          </cell>
          <cell r="E252" t="str">
            <v>Tanimu Alfa</v>
          </cell>
          <cell r="F252" t="str">
            <v>Silver</v>
          </cell>
          <cell r="G252">
            <v>70</v>
          </cell>
          <cell r="H252">
            <v>0</v>
          </cell>
          <cell r="I252">
            <v>0</v>
          </cell>
          <cell r="J252">
            <v>3</v>
          </cell>
          <cell r="K252">
            <v>5</v>
          </cell>
          <cell r="L252">
            <v>0</v>
          </cell>
          <cell r="M252">
            <v>1</v>
          </cell>
          <cell r="N252">
            <v>5</v>
          </cell>
          <cell r="O252">
            <v>10</v>
          </cell>
          <cell r="P252">
            <v>0</v>
          </cell>
          <cell r="Q252">
            <v>2</v>
          </cell>
          <cell r="R252">
            <v>1</v>
          </cell>
          <cell r="S252">
            <v>0</v>
          </cell>
          <cell r="T252">
            <v>0</v>
          </cell>
          <cell r="U252">
            <v>0</v>
          </cell>
          <cell r="V252">
            <v>10</v>
          </cell>
          <cell r="W252">
            <v>3</v>
          </cell>
          <cell r="X252">
            <v>30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12233000</v>
          </cell>
        </row>
        <row r="253">
          <cell r="C253" t="str">
            <v>WCFA000183</v>
          </cell>
          <cell r="D253" t="str">
            <v>MB</v>
          </cell>
          <cell r="E253" t="str">
            <v>Majester Obendel</v>
          </cell>
          <cell r="F253" t="str">
            <v>Gold</v>
          </cell>
          <cell r="G253">
            <v>270</v>
          </cell>
          <cell r="H253">
            <v>0</v>
          </cell>
          <cell r="I253">
            <v>0</v>
          </cell>
          <cell r="J253">
            <v>40</v>
          </cell>
          <cell r="K253">
            <v>40</v>
          </cell>
          <cell r="L253">
            <v>0</v>
          </cell>
          <cell r="M253">
            <v>1</v>
          </cell>
          <cell r="N253">
            <v>0</v>
          </cell>
          <cell r="O253">
            <v>106</v>
          </cell>
          <cell r="P253">
            <v>0</v>
          </cell>
          <cell r="Q253">
            <v>3</v>
          </cell>
          <cell r="R253">
            <v>10</v>
          </cell>
          <cell r="S253">
            <v>0</v>
          </cell>
          <cell r="T253">
            <v>0</v>
          </cell>
          <cell r="U253">
            <v>0</v>
          </cell>
          <cell r="V253">
            <v>10</v>
          </cell>
          <cell r="W253">
            <v>0</v>
          </cell>
          <cell r="X253">
            <v>60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56403000</v>
          </cell>
        </row>
        <row r="254">
          <cell r="C254" t="str">
            <v>WCFA000181</v>
          </cell>
          <cell r="D254" t="str">
            <v>MB</v>
          </cell>
          <cell r="E254" t="str">
            <v>Hauwa Usman</v>
          </cell>
          <cell r="F254" t="str">
            <v>Bronze</v>
          </cell>
          <cell r="G254">
            <v>80</v>
          </cell>
          <cell r="H254">
            <v>0</v>
          </cell>
          <cell r="I254">
            <v>0</v>
          </cell>
          <cell r="J254">
            <v>1</v>
          </cell>
          <cell r="K254">
            <v>14</v>
          </cell>
          <cell r="L254">
            <v>0</v>
          </cell>
          <cell r="M254">
            <v>1</v>
          </cell>
          <cell r="N254">
            <v>5</v>
          </cell>
          <cell r="O254">
            <v>15</v>
          </cell>
          <cell r="P254">
            <v>0</v>
          </cell>
          <cell r="Q254">
            <v>2</v>
          </cell>
          <cell r="R254">
            <v>1</v>
          </cell>
          <cell r="S254">
            <v>0</v>
          </cell>
          <cell r="T254">
            <v>0</v>
          </cell>
          <cell r="U254">
            <v>0</v>
          </cell>
          <cell r="V254">
            <v>10</v>
          </cell>
          <cell r="W254">
            <v>1</v>
          </cell>
          <cell r="X254">
            <v>30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14210000</v>
          </cell>
        </row>
        <row r="255">
          <cell r="C255" t="str">
            <v>WCFA000180</v>
          </cell>
          <cell r="D255" t="str">
            <v>MB</v>
          </cell>
          <cell r="E255" t="str">
            <v>Mama Nana</v>
          </cell>
          <cell r="F255" t="str">
            <v>Bronze</v>
          </cell>
          <cell r="G255">
            <v>90</v>
          </cell>
          <cell r="H255">
            <v>0</v>
          </cell>
          <cell r="I255">
            <v>0</v>
          </cell>
          <cell r="J255">
            <v>11</v>
          </cell>
          <cell r="K255">
            <v>14</v>
          </cell>
          <cell r="L255">
            <v>0</v>
          </cell>
          <cell r="M255">
            <v>1</v>
          </cell>
          <cell r="N255">
            <v>5</v>
          </cell>
          <cell r="O255">
            <v>15</v>
          </cell>
          <cell r="P255">
            <v>0</v>
          </cell>
          <cell r="Q255">
            <v>2</v>
          </cell>
          <cell r="R255">
            <v>1</v>
          </cell>
          <cell r="S255">
            <v>0</v>
          </cell>
          <cell r="T255">
            <v>0</v>
          </cell>
          <cell r="U255">
            <v>0</v>
          </cell>
          <cell r="V255">
            <v>10</v>
          </cell>
          <cell r="W255">
            <v>1</v>
          </cell>
          <cell r="X255">
            <v>30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16820000</v>
          </cell>
        </row>
        <row r="256">
          <cell r="C256" t="str">
            <v>SWC3120</v>
          </cell>
          <cell r="D256" t="str">
            <v>MB</v>
          </cell>
          <cell r="E256" t="str">
            <v>Aishat Aliyu</v>
          </cell>
          <cell r="F256" t="str">
            <v>Gold</v>
          </cell>
          <cell r="G256">
            <v>270</v>
          </cell>
          <cell r="H256">
            <v>0</v>
          </cell>
          <cell r="I256">
            <v>0</v>
          </cell>
          <cell r="J256">
            <v>26</v>
          </cell>
          <cell r="K256">
            <v>30</v>
          </cell>
          <cell r="L256">
            <v>0</v>
          </cell>
          <cell r="M256">
            <v>1</v>
          </cell>
          <cell r="N256">
            <v>5</v>
          </cell>
          <cell r="O256">
            <v>100</v>
          </cell>
          <cell r="P256">
            <v>0</v>
          </cell>
          <cell r="Q256">
            <v>2</v>
          </cell>
          <cell r="R256">
            <v>1</v>
          </cell>
          <cell r="S256">
            <v>0</v>
          </cell>
          <cell r="T256">
            <v>0</v>
          </cell>
          <cell r="U256">
            <v>0</v>
          </cell>
          <cell r="V256">
            <v>30</v>
          </cell>
          <cell r="W256">
            <v>5</v>
          </cell>
          <cell r="X256">
            <v>70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53317000</v>
          </cell>
        </row>
        <row r="257">
          <cell r="C257" t="str">
            <v>WCFA000179</v>
          </cell>
          <cell r="D257" t="str">
            <v>MB</v>
          </cell>
          <cell r="E257" t="str">
            <v>Mama Habibu</v>
          </cell>
          <cell r="F257" t="str">
            <v>Silver</v>
          </cell>
          <cell r="G257">
            <v>200</v>
          </cell>
          <cell r="H257">
            <v>0</v>
          </cell>
          <cell r="I257">
            <v>0</v>
          </cell>
          <cell r="J257">
            <v>10</v>
          </cell>
          <cell r="K257">
            <v>26</v>
          </cell>
          <cell r="L257">
            <v>0</v>
          </cell>
          <cell r="M257">
            <v>1</v>
          </cell>
          <cell r="N257">
            <v>5</v>
          </cell>
          <cell r="O257">
            <v>70</v>
          </cell>
          <cell r="P257">
            <v>0</v>
          </cell>
          <cell r="Q257">
            <v>2</v>
          </cell>
          <cell r="R257">
            <v>1</v>
          </cell>
          <cell r="S257">
            <v>0</v>
          </cell>
          <cell r="T257">
            <v>0</v>
          </cell>
          <cell r="U257">
            <v>0</v>
          </cell>
          <cell r="V257">
            <v>30</v>
          </cell>
          <cell r="W257">
            <v>5</v>
          </cell>
          <cell r="X257">
            <v>50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37781000</v>
          </cell>
        </row>
        <row r="258">
          <cell r="C258" t="str">
            <v>WCJA000112</v>
          </cell>
          <cell r="D258" t="str">
            <v>MB</v>
          </cell>
          <cell r="E258" t="str">
            <v>Adamu Julde</v>
          </cell>
          <cell r="F258" t="str">
            <v>Bronze</v>
          </cell>
          <cell r="G258">
            <v>70</v>
          </cell>
          <cell r="H258">
            <v>0</v>
          </cell>
          <cell r="I258">
            <v>0</v>
          </cell>
          <cell r="J258">
            <v>10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56</v>
          </cell>
          <cell r="W258">
            <v>0</v>
          </cell>
          <cell r="X258">
            <v>4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9690000</v>
          </cell>
        </row>
        <row r="259">
          <cell r="C259" t="str">
            <v>MBC002896</v>
          </cell>
          <cell r="D259" t="str">
            <v>MB</v>
          </cell>
          <cell r="E259" t="str">
            <v>Ahmed Shuaibu</v>
          </cell>
          <cell r="F259" t="str">
            <v>Silver</v>
          </cell>
          <cell r="G259">
            <v>120</v>
          </cell>
          <cell r="H259">
            <v>0</v>
          </cell>
          <cell r="I259">
            <v>0</v>
          </cell>
          <cell r="J259">
            <v>16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96</v>
          </cell>
          <cell r="W259">
            <v>0</v>
          </cell>
          <cell r="X259">
            <v>7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16570000</v>
          </cell>
        </row>
        <row r="260">
          <cell r="C260" t="str">
            <v>MBC002829</v>
          </cell>
          <cell r="D260" t="str">
            <v>MB</v>
          </cell>
          <cell r="E260" t="str">
            <v>Kadio Atser</v>
          </cell>
          <cell r="F260" t="str">
            <v>Bronze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</row>
        <row r="261">
          <cell r="C261" t="str">
            <v>WCJA000300</v>
          </cell>
          <cell r="D261" t="str">
            <v>MB</v>
          </cell>
          <cell r="E261" t="str">
            <v>Peter Yohanna</v>
          </cell>
          <cell r="F261" t="str">
            <v>Gold</v>
          </cell>
          <cell r="G261">
            <v>300</v>
          </cell>
          <cell r="H261">
            <v>0</v>
          </cell>
          <cell r="I261">
            <v>0</v>
          </cell>
          <cell r="J261">
            <v>30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250</v>
          </cell>
          <cell r="W261">
            <v>0</v>
          </cell>
          <cell r="X261">
            <v>15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40050000</v>
          </cell>
        </row>
        <row r="262">
          <cell r="C262" t="str">
            <v>WCJA000131</v>
          </cell>
          <cell r="D262" t="str">
            <v>MB</v>
          </cell>
          <cell r="E262" t="str">
            <v>Abubakar Mohammed</v>
          </cell>
          <cell r="F262" t="str">
            <v>Platinum</v>
          </cell>
          <cell r="G262">
            <v>300</v>
          </cell>
          <cell r="H262">
            <v>0</v>
          </cell>
          <cell r="I262">
            <v>0</v>
          </cell>
          <cell r="J262">
            <v>25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250</v>
          </cell>
          <cell r="W262">
            <v>0</v>
          </cell>
          <cell r="X262">
            <v>20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39685000</v>
          </cell>
        </row>
        <row r="263">
          <cell r="C263" t="str">
            <v>WCJA000130</v>
          </cell>
          <cell r="D263" t="str">
            <v>MB</v>
          </cell>
          <cell r="E263" t="str">
            <v>Danjauro Manu</v>
          </cell>
          <cell r="F263" t="str">
            <v>Platinum</v>
          </cell>
          <cell r="G263">
            <v>500</v>
          </cell>
          <cell r="H263">
            <v>0</v>
          </cell>
          <cell r="I263">
            <v>0</v>
          </cell>
          <cell r="J263">
            <v>180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300</v>
          </cell>
          <cell r="W263">
            <v>0</v>
          </cell>
          <cell r="X263">
            <v>15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84850000</v>
          </cell>
        </row>
        <row r="264">
          <cell r="C264" t="str">
            <v>MBC002945</v>
          </cell>
          <cell r="D264" t="str">
            <v>MB</v>
          </cell>
          <cell r="E264" t="str">
            <v>Alhaji Ubale Ibi</v>
          </cell>
          <cell r="F264" t="str">
            <v>Bronze</v>
          </cell>
          <cell r="G264">
            <v>100</v>
          </cell>
          <cell r="H264">
            <v>0</v>
          </cell>
          <cell r="I264">
            <v>0</v>
          </cell>
          <cell r="J264">
            <v>20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2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73</v>
          </cell>
          <cell r="W264">
            <v>0</v>
          </cell>
          <cell r="X264">
            <v>5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14869000</v>
          </cell>
        </row>
        <row r="265">
          <cell r="C265" t="str">
            <v>MBC002944</v>
          </cell>
          <cell r="D265" t="str">
            <v>MB</v>
          </cell>
          <cell r="E265" t="str">
            <v>Ibrahim Hassan</v>
          </cell>
          <cell r="F265" t="str">
            <v>Bronze</v>
          </cell>
          <cell r="G265">
            <v>120</v>
          </cell>
          <cell r="H265">
            <v>0</v>
          </cell>
          <cell r="I265">
            <v>0</v>
          </cell>
          <cell r="J265">
            <v>25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2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90</v>
          </cell>
          <cell r="W265">
            <v>0</v>
          </cell>
          <cell r="X265">
            <v>3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17719000</v>
          </cell>
        </row>
        <row r="266">
          <cell r="C266" t="str">
            <v>WCJA000117</v>
          </cell>
          <cell r="D266" t="str">
            <v>MB</v>
          </cell>
          <cell r="E266" t="str">
            <v>Abdullahi Adamu</v>
          </cell>
          <cell r="F266" t="str">
            <v>Platinum</v>
          </cell>
          <cell r="G266">
            <v>550</v>
          </cell>
          <cell r="H266">
            <v>0</v>
          </cell>
          <cell r="I266">
            <v>0</v>
          </cell>
          <cell r="J266">
            <v>213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320</v>
          </cell>
          <cell r="W266">
            <v>0</v>
          </cell>
          <cell r="X266">
            <v>12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95159000</v>
          </cell>
        </row>
        <row r="267">
          <cell r="C267" t="str">
            <v>WCJA000116</v>
          </cell>
          <cell r="D267" t="str">
            <v>MB</v>
          </cell>
          <cell r="E267" t="str">
            <v>Maina Odubo</v>
          </cell>
          <cell r="F267" t="str">
            <v>Silver</v>
          </cell>
          <cell r="G267">
            <v>120</v>
          </cell>
          <cell r="H267">
            <v>0</v>
          </cell>
          <cell r="I267">
            <v>0</v>
          </cell>
          <cell r="J267">
            <v>16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96</v>
          </cell>
          <cell r="W267">
            <v>0</v>
          </cell>
          <cell r="X267">
            <v>7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16570000</v>
          </cell>
        </row>
        <row r="268">
          <cell r="C268" t="str">
            <v>WCJA000114</v>
          </cell>
          <cell r="D268" t="str">
            <v>MB</v>
          </cell>
          <cell r="E268" t="str">
            <v>Ahmed Musa</v>
          </cell>
          <cell r="F268" t="str">
            <v>Platinum</v>
          </cell>
          <cell r="G268">
            <v>1006</v>
          </cell>
          <cell r="H268">
            <v>0</v>
          </cell>
          <cell r="I268">
            <v>0</v>
          </cell>
          <cell r="J268">
            <v>306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700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158966000</v>
          </cell>
        </row>
        <row r="269">
          <cell r="C269" t="str">
            <v>MBC002876</v>
          </cell>
          <cell r="D269" t="str">
            <v>MB</v>
          </cell>
          <cell r="E269" t="str">
            <v>Marison Cornelus</v>
          </cell>
          <cell r="F269" t="str">
            <v>Bronze</v>
          </cell>
          <cell r="G269">
            <v>70</v>
          </cell>
          <cell r="H269">
            <v>0</v>
          </cell>
          <cell r="I269">
            <v>0</v>
          </cell>
          <cell r="J269">
            <v>10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1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58</v>
          </cell>
          <cell r="W269">
            <v>0</v>
          </cell>
          <cell r="X269">
            <v>1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9582000</v>
          </cell>
        </row>
        <row r="270">
          <cell r="C270" t="str">
            <v>WCJA000121</v>
          </cell>
          <cell r="D270" t="str">
            <v>MB</v>
          </cell>
          <cell r="E270" t="str">
            <v>Sale Naplato</v>
          </cell>
          <cell r="F270" t="str">
            <v>Silver</v>
          </cell>
          <cell r="G270">
            <v>120</v>
          </cell>
          <cell r="H270">
            <v>0</v>
          </cell>
          <cell r="I270">
            <v>0</v>
          </cell>
          <cell r="J270">
            <v>3</v>
          </cell>
          <cell r="K270">
            <v>10</v>
          </cell>
          <cell r="L270">
            <v>0</v>
          </cell>
          <cell r="M270">
            <v>0</v>
          </cell>
          <cell r="N270">
            <v>0</v>
          </cell>
          <cell r="O270">
            <v>15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60</v>
          </cell>
          <cell r="W270">
            <v>0</v>
          </cell>
          <cell r="X270">
            <v>32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18779000</v>
          </cell>
        </row>
        <row r="271">
          <cell r="C271" t="str">
            <v>WCJA000120</v>
          </cell>
          <cell r="D271" t="str">
            <v>MB</v>
          </cell>
          <cell r="E271" t="str">
            <v>Sallau Abdullahi</v>
          </cell>
          <cell r="F271" t="str">
            <v>Platinum</v>
          </cell>
          <cell r="G271">
            <v>300</v>
          </cell>
          <cell r="H271">
            <v>0</v>
          </cell>
          <cell r="I271">
            <v>0</v>
          </cell>
          <cell r="J271">
            <v>5</v>
          </cell>
          <cell r="K271">
            <v>20</v>
          </cell>
          <cell r="L271">
            <v>0</v>
          </cell>
          <cell r="M271">
            <v>0</v>
          </cell>
          <cell r="N271">
            <v>0</v>
          </cell>
          <cell r="O271">
            <v>35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170</v>
          </cell>
          <cell r="W271">
            <v>0</v>
          </cell>
          <cell r="X271">
            <v>70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45225000</v>
          </cell>
        </row>
        <row r="272">
          <cell r="C272" t="str">
            <v>WCJA000119</v>
          </cell>
          <cell r="D272" t="str">
            <v>MB</v>
          </cell>
          <cell r="E272" t="str">
            <v>Darazo Usman</v>
          </cell>
          <cell r="F272" t="str">
            <v>Gold</v>
          </cell>
          <cell r="G272">
            <v>250</v>
          </cell>
          <cell r="H272">
            <v>0</v>
          </cell>
          <cell r="I272">
            <v>0</v>
          </cell>
          <cell r="J272">
            <v>10</v>
          </cell>
          <cell r="K272">
            <v>20</v>
          </cell>
          <cell r="L272">
            <v>0</v>
          </cell>
          <cell r="M272">
            <v>0</v>
          </cell>
          <cell r="N272">
            <v>30</v>
          </cell>
          <cell r="O272">
            <v>30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100</v>
          </cell>
          <cell r="W272">
            <v>0</v>
          </cell>
          <cell r="X272">
            <v>60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38440000</v>
          </cell>
        </row>
        <row r="273">
          <cell r="C273" t="str">
            <v>MBC002085</v>
          </cell>
          <cell r="D273" t="str">
            <v>MB</v>
          </cell>
          <cell r="E273" t="str">
            <v>Nuhu Usman</v>
          </cell>
          <cell r="F273" t="str">
            <v>Silver</v>
          </cell>
          <cell r="G273">
            <v>120</v>
          </cell>
          <cell r="H273">
            <v>0</v>
          </cell>
          <cell r="I273">
            <v>0</v>
          </cell>
          <cell r="J273">
            <v>2</v>
          </cell>
          <cell r="K273">
            <v>7</v>
          </cell>
          <cell r="L273">
            <v>0</v>
          </cell>
          <cell r="M273">
            <v>2</v>
          </cell>
          <cell r="N273">
            <v>5</v>
          </cell>
          <cell r="O273">
            <v>15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68</v>
          </cell>
          <cell r="W273">
            <v>0</v>
          </cell>
          <cell r="X273">
            <v>21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17654000</v>
          </cell>
        </row>
        <row r="274">
          <cell r="C274" t="str">
            <v>WCJA000149</v>
          </cell>
          <cell r="D274" t="str">
            <v>MB</v>
          </cell>
          <cell r="E274" t="str">
            <v>Chidube Hygenus</v>
          </cell>
          <cell r="F274" t="str">
            <v>Silver</v>
          </cell>
          <cell r="G274">
            <v>120</v>
          </cell>
          <cell r="H274">
            <v>0</v>
          </cell>
          <cell r="I274">
            <v>0</v>
          </cell>
          <cell r="J274">
            <v>3</v>
          </cell>
          <cell r="K274">
            <v>10</v>
          </cell>
          <cell r="L274">
            <v>0</v>
          </cell>
          <cell r="M274">
            <v>5</v>
          </cell>
          <cell r="N274">
            <v>5</v>
          </cell>
          <cell r="O274">
            <v>13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54</v>
          </cell>
          <cell r="W274">
            <v>0</v>
          </cell>
          <cell r="X274">
            <v>30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18615000</v>
          </cell>
        </row>
        <row r="275">
          <cell r="C275" t="str">
            <v>WCJA000102</v>
          </cell>
          <cell r="D275" t="str">
            <v>MB</v>
          </cell>
          <cell r="E275" t="str">
            <v>Abdu Abdullahi</v>
          </cell>
          <cell r="F275" t="str">
            <v>Gold</v>
          </cell>
          <cell r="G275">
            <v>250</v>
          </cell>
          <cell r="H275">
            <v>0</v>
          </cell>
          <cell r="I275">
            <v>0</v>
          </cell>
          <cell r="J275">
            <v>5</v>
          </cell>
          <cell r="K275">
            <v>15</v>
          </cell>
          <cell r="L275">
            <v>0</v>
          </cell>
          <cell r="M275">
            <v>5</v>
          </cell>
          <cell r="N275">
            <v>15</v>
          </cell>
          <cell r="O275">
            <v>15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125</v>
          </cell>
          <cell r="W275">
            <v>0</v>
          </cell>
          <cell r="X275">
            <v>70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36965000</v>
          </cell>
        </row>
        <row r="276">
          <cell r="C276" t="str">
            <v>WCJA000096</v>
          </cell>
          <cell r="D276" t="str">
            <v>MB</v>
          </cell>
          <cell r="E276" t="str">
            <v>Nasiru Mahmood</v>
          </cell>
          <cell r="F276" t="str">
            <v>Silver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</row>
        <row r="277">
          <cell r="C277" t="str">
            <v>WCJA000095</v>
          </cell>
          <cell r="D277" t="str">
            <v>MB</v>
          </cell>
          <cell r="E277" t="str">
            <v>Titus Onyeka</v>
          </cell>
          <cell r="F277" t="str">
            <v>Gold</v>
          </cell>
          <cell r="G277">
            <v>250</v>
          </cell>
          <cell r="H277">
            <v>0</v>
          </cell>
          <cell r="I277">
            <v>0</v>
          </cell>
          <cell r="J277">
            <v>5</v>
          </cell>
          <cell r="K277">
            <v>15</v>
          </cell>
          <cell r="L277">
            <v>0</v>
          </cell>
          <cell r="M277">
            <v>5</v>
          </cell>
          <cell r="N277">
            <v>0</v>
          </cell>
          <cell r="O277">
            <v>20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135</v>
          </cell>
          <cell r="W277">
            <v>0</v>
          </cell>
          <cell r="X277">
            <v>70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37820000</v>
          </cell>
        </row>
        <row r="278">
          <cell r="C278" t="str">
            <v>MBC002875</v>
          </cell>
          <cell r="D278" t="str">
            <v>MB</v>
          </cell>
          <cell r="E278" t="str">
            <v>ALh.Haruna Umar</v>
          </cell>
          <cell r="F278" t="str">
            <v>Silver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</row>
        <row r="279">
          <cell r="C279" t="str">
            <v>MBC002084</v>
          </cell>
          <cell r="D279" t="str">
            <v>MB</v>
          </cell>
          <cell r="E279" t="str">
            <v>MS Muhammad</v>
          </cell>
          <cell r="F279" t="str">
            <v>Silver</v>
          </cell>
          <cell r="G279">
            <v>120</v>
          </cell>
          <cell r="H279">
            <v>0</v>
          </cell>
          <cell r="I279">
            <v>0</v>
          </cell>
          <cell r="J279">
            <v>3</v>
          </cell>
          <cell r="K279">
            <v>12</v>
          </cell>
          <cell r="L279">
            <v>0</v>
          </cell>
          <cell r="M279">
            <v>2</v>
          </cell>
          <cell r="N279">
            <v>13</v>
          </cell>
          <cell r="O279">
            <v>15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45</v>
          </cell>
          <cell r="W279">
            <v>0</v>
          </cell>
          <cell r="X279">
            <v>30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18643000</v>
          </cell>
        </row>
        <row r="280">
          <cell r="C280" t="str">
            <v>MBC001327</v>
          </cell>
          <cell r="D280" t="str">
            <v>MB</v>
          </cell>
          <cell r="E280" t="str">
            <v>Aminu Saeed</v>
          </cell>
          <cell r="F280" t="str">
            <v>Platinum</v>
          </cell>
          <cell r="G280">
            <v>1050</v>
          </cell>
          <cell r="H280">
            <v>0</v>
          </cell>
          <cell r="I280">
            <v>0</v>
          </cell>
          <cell r="J280">
            <v>40</v>
          </cell>
          <cell r="K280">
            <v>90</v>
          </cell>
          <cell r="L280">
            <v>0</v>
          </cell>
          <cell r="M280">
            <v>20</v>
          </cell>
          <cell r="N280">
            <v>50</v>
          </cell>
          <cell r="O280">
            <v>100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500</v>
          </cell>
          <cell r="W280">
            <v>0</v>
          </cell>
          <cell r="X280">
            <v>250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160940000</v>
          </cell>
        </row>
        <row r="281">
          <cell r="C281" t="str">
            <v>MBC003587</v>
          </cell>
          <cell r="D281" t="str">
            <v>MB</v>
          </cell>
          <cell r="E281" t="str">
            <v>Ezedinbu Sam-Isamaco Ltd</v>
          </cell>
          <cell r="F281" t="str">
            <v>Silver</v>
          </cell>
          <cell r="G281">
            <v>130</v>
          </cell>
          <cell r="H281">
            <v>0</v>
          </cell>
          <cell r="I281">
            <v>0</v>
          </cell>
          <cell r="J281">
            <v>0</v>
          </cell>
          <cell r="K281">
            <v>2</v>
          </cell>
          <cell r="L281">
            <v>0</v>
          </cell>
          <cell r="M281">
            <v>0</v>
          </cell>
          <cell r="N281">
            <v>0</v>
          </cell>
          <cell r="O281">
            <v>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100</v>
          </cell>
          <cell r="W281">
            <v>0</v>
          </cell>
          <cell r="X281">
            <v>23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17124000</v>
          </cell>
        </row>
        <row r="282">
          <cell r="C282" t="str">
            <v>MBC003463</v>
          </cell>
          <cell r="D282" t="str">
            <v>MB</v>
          </cell>
          <cell r="E282" t="str">
            <v>Idris Ibrahim</v>
          </cell>
          <cell r="F282" t="str">
            <v>Gold</v>
          </cell>
          <cell r="G282">
            <v>250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5</v>
          </cell>
          <cell r="N282">
            <v>15</v>
          </cell>
          <cell r="O282">
            <v>29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51</v>
          </cell>
          <cell r="W282">
            <v>0</v>
          </cell>
          <cell r="X282">
            <v>150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42933000</v>
          </cell>
        </row>
        <row r="283">
          <cell r="C283" t="str">
            <v>WCJA000088</v>
          </cell>
          <cell r="D283" t="str">
            <v>MB</v>
          </cell>
          <cell r="E283" t="str">
            <v>Waliyu Musa</v>
          </cell>
          <cell r="F283" t="str">
            <v>Bronze</v>
          </cell>
          <cell r="G283">
            <v>70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</v>
          </cell>
          <cell r="N283">
            <v>5</v>
          </cell>
          <cell r="O283">
            <v>17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30</v>
          </cell>
          <cell r="Y283">
            <v>17</v>
          </cell>
          <cell r="Z283">
            <v>0</v>
          </cell>
          <cell r="AA283">
            <v>0</v>
          </cell>
          <cell r="AB283">
            <v>0</v>
          </cell>
          <cell r="AC283">
            <v>12121000</v>
          </cell>
        </row>
        <row r="284">
          <cell r="C284" t="str">
            <v>MBC001620</v>
          </cell>
          <cell r="D284" t="str">
            <v>MB</v>
          </cell>
          <cell r="E284" t="str">
            <v>Sambo Abdullahi</v>
          </cell>
          <cell r="F284" t="str">
            <v>Gold</v>
          </cell>
          <cell r="G284">
            <v>250</v>
          </cell>
          <cell r="H284">
            <v>0</v>
          </cell>
          <cell r="I284">
            <v>0</v>
          </cell>
          <cell r="J284">
            <v>5</v>
          </cell>
          <cell r="K284">
            <v>0</v>
          </cell>
          <cell r="L284">
            <v>0</v>
          </cell>
          <cell r="M284">
            <v>1</v>
          </cell>
          <cell r="N284">
            <v>20</v>
          </cell>
          <cell r="O284">
            <v>20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15</v>
          </cell>
          <cell r="W284">
            <v>0</v>
          </cell>
          <cell r="X284">
            <v>139</v>
          </cell>
          <cell r="Y284">
            <v>50</v>
          </cell>
          <cell r="Z284">
            <v>0</v>
          </cell>
          <cell r="AA284">
            <v>0</v>
          </cell>
          <cell r="AB284">
            <v>0</v>
          </cell>
          <cell r="AC284">
            <v>41457000</v>
          </cell>
        </row>
        <row r="285">
          <cell r="C285" t="str">
            <v>WCJA000082</v>
          </cell>
          <cell r="D285" t="str">
            <v>MB</v>
          </cell>
          <cell r="E285" t="str">
            <v>Abdullahi Sani</v>
          </cell>
          <cell r="F285" t="str">
            <v>Gold</v>
          </cell>
          <cell r="G285">
            <v>250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20</v>
          </cell>
          <cell r="N285">
            <v>30</v>
          </cell>
          <cell r="O285">
            <v>29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31</v>
          </cell>
          <cell r="W285">
            <v>0</v>
          </cell>
          <cell r="X285">
            <v>110</v>
          </cell>
          <cell r="Y285">
            <v>30</v>
          </cell>
          <cell r="Z285">
            <v>0</v>
          </cell>
          <cell r="AA285">
            <v>0</v>
          </cell>
          <cell r="AB285">
            <v>0</v>
          </cell>
          <cell r="AC285">
            <v>40593000</v>
          </cell>
        </row>
        <row r="286">
          <cell r="C286" t="str">
            <v>WCJA000077</v>
          </cell>
          <cell r="D286" t="str">
            <v>MB</v>
          </cell>
          <cell r="E286" t="str">
            <v>Danasabe Abubakar</v>
          </cell>
          <cell r="F286" t="str">
            <v>Gold</v>
          </cell>
          <cell r="G286">
            <v>330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25</v>
          </cell>
          <cell r="N286">
            <v>65</v>
          </cell>
          <cell r="O286">
            <v>29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51</v>
          </cell>
          <cell r="W286">
            <v>0</v>
          </cell>
          <cell r="X286">
            <v>160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53063000</v>
          </cell>
        </row>
        <row r="287">
          <cell r="C287" t="str">
            <v>WCJA000072</v>
          </cell>
          <cell r="D287" t="str">
            <v>MB</v>
          </cell>
          <cell r="E287" t="str">
            <v>Abubakar DanHalima</v>
          </cell>
          <cell r="F287" t="str">
            <v>Gold</v>
          </cell>
          <cell r="G287">
            <v>330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25</v>
          </cell>
          <cell r="N287">
            <v>65</v>
          </cell>
          <cell r="O287">
            <v>29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51</v>
          </cell>
          <cell r="W287">
            <v>0</v>
          </cell>
          <cell r="X287">
            <v>160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53063000</v>
          </cell>
        </row>
        <row r="288">
          <cell r="C288" t="str">
            <v>WCJA000188</v>
          </cell>
          <cell r="D288" t="str">
            <v>MB</v>
          </cell>
          <cell r="E288" t="str">
            <v>Nadabo Musa</v>
          </cell>
          <cell r="F288" t="str">
            <v>Gold</v>
          </cell>
          <cell r="G288">
            <v>250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25</v>
          </cell>
          <cell r="N288">
            <v>0</v>
          </cell>
          <cell r="O288">
            <v>34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51</v>
          </cell>
          <cell r="W288">
            <v>0</v>
          </cell>
          <cell r="X288">
            <v>140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44278000</v>
          </cell>
        </row>
        <row r="289">
          <cell r="C289" t="str">
            <v>WCJA000151</v>
          </cell>
          <cell r="D289" t="str">
            <v>MB</v>
          </cell>
          <cell r="E289" t="str">
            <v>MUSA YUSUF</v>
          </cell>
          <cell r="F289" t="str">
            <v>Gold</v>
          </cell>
          <cell r="G289">
            <v>300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25</v>
          </cell>
          <cell r="N289">
            <v>15</v>
          </cell>
          <cell r="O289">
            <v>29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71</v>
          </cell>
          <cell r="W289">
            <v>0</v>
          </cell>
          <cell r="X289">
            <v>160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50573000</v>
          </cell>
        </row>
        <row r="290">
          <cell r="C290" t="str">
            <v>WCJA000066</v>
          </cell>
          <cell r="D290" t="str">
            <v>MB</v>
          </cell>
          <cell r="E290" t="str">
            <v>Audu Vwa</v>
          </cell>
          <cell r="F290" t="str">
            <v>Platinum</v>
          </cell>
          <cell r="G290">
            <v>500</v>
          </cell>
          <cell r="H290">
            <v>0</v>
          </cell>
          <cell r="I290">
            <v>0</v>
          </cell>
          <cell r="J290">
            <v>15</v>
          </cell>
          <cell r="K290">
            <v>0</v>
          </cell>
          <cell r="L290">
            <v>0</v>
          </cell>
          <cell r="M290">
            <v>20</v>
          </cell>
          <cell r="N290">
            <v>8</v>
          </cell>
          <cell r="O290">
            <v>62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100</v>
          </cell>
          <cell r="W290">
            <v>0</v>
          </cell>
          <cell r="X290">
            <v>295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89195000</v>
          </cell>
        </row>
        <row r="291">
          <cell r="C291" t="str">
            <v>WCJA000065</v>
          </cell>
          <cell r="D291" t="str">
            <v>MB</v>
          </cell>
          <cell r="E291" t="str">
            <v>Lawan K waba</v>
          </cell>
          <cell r="F291" t="str">
            <v>Gold</v>
          </cell>
          <cell r="G291">
            <v>297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11</v>
          </cell>
          <cell r="N291">
            <v>6</v>
          </cell>
          <cell r="O291">
            <v>29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74</v>
          </cell>
          <cell r="W291">
            <v>0</v>
          </cell>
          <cell r="X291">
            <v>177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50803000</v>
          </cell>
        </row>
        <row r="292">
          <cell r="C292" t="str">
            <v>WCJA000054</v>
          </cell>
          <cell r="D292">
            <v>0</v>
          </cell>
          <cell r="E292" t="str">
            <v>Ishaya Udurbo</v>
          </cell>
          <cell r="F292" t="str">
            <v>Bronze</v>
          </cell>
          <cell r="G292">
            <v>70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25</v>
          </cell>
          <cell r="N292">
            <v>0</v>
          </cell>
          <cell r="O292">
            <v>15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15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12340000</v>
          </cell>
        </row>
        <row r="293">
          <cell r="C293" t="str">
            <v>WCJA000006</v>
          </cell>
          <cell r="D293">
            <v>0</v>
          </cell>
          <cell r="E293" t="str">
            <v>Keneth KC</v>
          </cell>
          <cell r="F293" t="str">
            <v>Gold</v>
          </cell>
          <cell r="G293">
            <v>350</v>
          </cell>
          <cell r="H293">
            <v>0</v>
          </cell>
          <cell r="I293">
            <v>0</v>
          </cell>
          <cell r="J293">
            <v>50</v>
          </cell>
          <cell r="K293">
            <v>70</v>
          </cell>
          <cell r="L293">
            <v>0</v>
          </cell>
          <cell r="M293">
            <v>10</v>
          </cell>
          <cell r="N293">
            <v>0</v>
          </cell>
          <cell r="O293">
            <v>100</v>
          </cell>
          <cell r="P293">
            <v>0</v>
          </cell>
          <cell r="Q293">
            <v>0</v>
          </cell>
          <cell r="R293">
            <v>5</v>
          </cell>
          <cell r="S293">
            <v>0</v>
          </cell>
          <cell r="T293">
            <v>0</v>
          </cell>
          <cell r="U293">
            <v>0</v>
          </cell>
          <cell r="V293">
            <v>5</v>
          </cell>
          <cell r="W293">
            <v>0</v>
          </cell>
          <cell r="X293">
            <v>110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72015000</v>
          </cell>
        </row>
        <row r="294">
          <cell r="C294" t="str">
            <v>WCJA000097</v>
          </cell>
          <cell r="D294">
            <v>0</v>
          </cell>
          <cell r="E294" t="str">
            <v>Sani Zico</v>
          </cell>
          <cell r="F294" t="str">
            <v>Silver</v>
          </cell>
          <cell r="G294">
            <v>120</v>
          </cell>
          <cell r="H294">
            <v>0</v>
          </cell>
          <cell r="I294">
            <v>0</v>
          </cell>
          <cell r="J294">
            <v>2</v>
          </cell>
          <cell r="K294">
            <v>5</v>
          </cell>
          <cell r="L294">
            <v>0</v>
          </cell>
          <cell r="M294">
            <v>2</v>
          </cell>
          <cell r="N294">
            <v>10</v>
          </cell>
          <cell r="O294">
            <v>15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60</v>
          </cell>
          <cell r="W294">
            <v>0</v>
          </cell>
          <cell r="X294">
            <v>26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17815000</v>
          </cell>
        </row>
        <row r="295">
          <cell r="C295" t="str">
            <v>NTC1981</v>
          </cell>
          <cell r="D295" t="str">
            <v>North</v>
          </cell>
          <cell r="E295" t="str">
            <v>Abubakar Yahuza</v>
          </cell>
          <cell r="F295" t="str">
            <v>Platinum</v>
          </cell>
          <cell r="G295">
            <v>500</v>
          </cell>
          <cell r="H295">
            <v>0</v>
          </cell>
          <cell r="I295">
            <v>0</v>
          </cell>
          <cell r="J295">
            <v>10</v>
          </cell>
          <cell r="K295">
            <v>10</v>
          </cell>
          <cell r="L295">
            <v>0</v>
          </cell>
          <cell r="M295">
            <v>20</v>
          </cell>
          <cell r="N295">
            <v>120</v>
          </cell>
          <cell r="O295">
            <v>80</v>
          </cell>
          <cell r="P295">
            <v>3</v>
          </cell>
          <cell r="Q295">
            <v>3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74</v>
          </cell>
          <cell r="W295">
            <v>0</v>
          </cell>
          <cell r="X295">
            <v>120</v>
          </cell>
          <cell r="Y295">
            <v>60</v>
          </cell>
          <cell r="Z295">
            <v>0</v>
          </cell>
          <cell r="AA295">
            <v>0</v>
          </cell>
          <cell r="AB295">
            <v>0</v>
          </cell>
          <cell r="AC295">
            <v>76703000</v>
          </cell>
        </row>
        <row r="296">
          <cell r="C296" t="str">
            <v>NTC1928</v>
          </cell>
          <cell r="D296" t="str">
            <v>North</v>
          </cell>
          <cell r="E296" t="str">
            <v>Nasiru Sarki</v>
          </cell>
          <cell r="F296" t="str">
            <v>Platinum Plus</v>
          </cell>
          <cell r="G296">
            <v>1950</v>
          </cell>
          <cell r="H296">
            <v>0</v>
          </cell>
          <cell r="I296">
            <v>0</v>
          </cell>
          <cell r="J296">
            <v>60</v>
          </cell>
          <cell r="K296">
            <v>120</v>
          </cell>
          <cell r="L296">
            <v>0</v>
          </cell>
          <cell r="M296">
            <v>20</v>
          </cell>
          <cell r="N296">
            <v>300</v>
          </cell>
          <cell r="O296">
            <v>340</v>
          </cell>
          <cell r="P296">
            <v>10</v>
          </cell>
          <cell r="Q296">
            <v>21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159</v>
          </cell>
          <cell r="W296">
            <v>5</v>
          </cell>
          <cell r="X296">
            <v>800</v>
          </cell>
          <cell r="Y296">
            <v>115</v>
          </cell>
          <cell r="Z296">
            <v>0</v>
          </cell>
          <cell r="AA296">
            <v>0</v>
          </cell>
          <cell r="AB296">
            <v>0</v>
          </cell>
          <cell r="AC296">
            <v>335303000</v>
          </cell>
        </row>
        <row r="297">
          <cell r="C297" t="str">
            <v>WCDA000025</v>
          </cell>
          <cell r="D297" t="str">
            <v>North</v>
          </cell>
          <cell r="E297" t="str">
            <v>Usman Sale</v>
          </cell>
          <cell r="F297" t="str">
            <v>Gold</v>
          </cell>
          <cell r="G297">
            <v>354</v>
          </cell>
          <cell r="H297">
            <v>0</v>
          </cell>
          <cell r="I297">
            <v>0</v>
          </cell>
          <cell r="J297">
            <v>5</v>
          </cell>
          <cell r="K297">
            <v>10</v>
          </cell>
          <cell r="L297">
            <v>0</v>
          </cell>
          <cell r="M297">
            <v>10</v>
          </cell>
          <cell r="N297">
            <v>100</v>
          </cell>
          <cell r="O297">
            <v>54</v>
          </cell>
          <cell r="P297">
            <v>3</v>
          </cell>
          <cell r="Q297">
            <v>2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50</v>
          </cell>
          <cell r="W297">
            <v>0</v>
          </cell>
          <cell r="X297">
            <v>80</v>
          </cell>
          <cell r="Y297">
            <v>40</v>
          </cell>
          <cell r="Z297">
            <v>0</v>
          </cell>
          <cell r="AA297">
            <v>0</v>
          </cell>
          <cell r="AB297">
            <v>0</v>
          </cell>
          <cell r="AC297">
            <v>53090000</v>
          </cell>
        </row>
        <row r="298">
          <cell r="C298" t="str">
            <v>WCDA000016</v>
          </cell>
          <cell r="D298" t="str">
            <v>North</v>
          </cell>
          <cell r="E298" t="str">
            <v>Barau AbdulFrahaman</v>
          </cell>
          <cell r="F298" t="str">
            <v>Platinum Plus</v>
          </cell>
          <cell r="G298">
            <v>2000</v>
          </cell>
          <cell r="H298">
            <v>0</v>
          </cell>
          <cell r="I298">
            <v>0</v>
          </cell>
          <cell r="J298">
            <v>80</v>
          </cell>
          <cell r="K298">
            <v>100</v>
          </cell>
          <cell r="L298">
            <v>0</v>
          </cell>
          <cell r="M298">
            <v>50</v>
          </cell>
          <cell r="N298">
            <v>150</v>
          </cell>
          <cell r="O298">
            <v>400</v>
          </cell>
          <cell r="P298">
            <v>15</v>
          </cell>
          <cell r="Q298">
            <v>28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118</v>
          </cell>
          <cell r="W298">
            <v>17</v>
          </cell>
          <cell r="X298">
            <v>992</v>
          </cell>
          <cell r="Y298">
            <v>50</v>
          </cell>
          <cell r="Z298">
            <v>0</v>
          </cell>
          <cell r="AA298">
            <v>0</v>
          </cell>
          <cell r="AB298">
            <v>0</v>
          </cell>
          <cell r="AC298">
            <v>369904000</v>
          </cell>
        </row>
        <row r="299">
          <cell r="C299" t="str">
            <v>WCDA000013</v>
          </cell>
          <cell r="D299" t="str">
            <v>North</v>
          </cell>
          <cell r="E299" t="str">
            <v>Salisu Adamu</v>
          </cell>
          <cell r="F299" t="str">
            <v>Platinum Plus</v>
          </cell>
          <cell r="G299">
            <v>1200</v>
          </cell>
          <cell r="H299">
            <v>0</v>
          </cell>
          <cell r="I299">
            <v>0</v>
          </cell>
          <cell r="J299">
            <v>30</v>
          </cell>
          <cell r="K299">
            <v>80</v>
          </cell>
          <cell r="L299">
            <v>0</v>
          </cell>
          <cell r="M299">
            <v>32</v>
          </cell>
          <cell r="N299">
            <v>274</v>
          </cell>
          <cell r="O299">
            <v>120</v>
          </cell>
          <cell r="P299">
            <v>8</v>
          </cell>
          <cell r="Q299">
            <v>10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174</v>
          </cell>
          <cell r="W299">
            <v>10</v>
          </cell>
          <cell r="X299">
            <v>350</v>
          </cell>
          <cell r="Y299">
            <v>112</v>
          </cell>
          <cell r="Z299">
            <v>0</v>
          </cell>
          <cell r="AA299">
            <v>0</v>
          </cell>
          <cell r="AB299">
            <v>0</v>
          </cell>
          <cell r="AC299">
            <v>184256000</v>
          </cell>
        </row>
        <row r="300">
          <cell r="C300" t="str">
            <v>WCDA000011</v>
          </cell>
          <cell r="D300" t="str">
            <v>North</v>
          </cell>
          <cell r="E300" t="str">
            <v>Sheu S Jos</v>
          </cell>
          <cell r="F300" t="str">
            <v>Platinum Plus</v>
          </cell>
          <cell r="G300">
            <v>1950</v>
          </cell>
          <cell r="H300">
            <v>0</v>
          </cell>
          <cell r="I300">
            <v>0</v>
          </cell>
          <cell r="J300">
            <v>40</v>
          </cell>
          <cell r="K300">
            <v>100</v>
          </cell>
          <cell r="L300">
            <v>0</v>
          </cell>
          <cell r="M300">
            <v>40</v>
          </cell>
          <cell r="N300">
            <v>300</v>
          </cell>
          <cell r="O300">
            <v>290</v>
          </cell>
          <cell r="P300">
            <v>10</v>
          </cell>
          <cell r="Q300">
            <v>26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300</v>
          </cell>
          <cell r="W300">
            <v>10</v>
          </cell>
          <cell r="X300">
            <v>700</v>
          </cell>
          <cell r="Y300">
            <v>134</v>
          </cell>
          <cell r="Z300">
            <v>0</v>
          </cell>
          <cell r="AA300">
            <v>0</v>
          </cell>
          <cell r="AB300">
            <v>0</v>
          </cell>
          <cell r="AC300">
            <v>319358000</v>
          </cell>
        </row>
        <row r="301">
          <cell r="C301" t="str">
            <v>WCDA000006</v>
          </cell>
          <cell r="D301" t="str">
            <v>North</v>
          </cell>
          <cell r="E301" t="str">
            <v>Nafiu Musa</v>
          </cell>
          <cell r="F301" t="str">
            <v>Platinum</v>
          </cell>
          <cell r="G301">
            <v>350</v>
          </cell>
          <cell r="H301">
            <v>0</v>
          </cell>
          <cell r="I301">
            <v>0</v>
          </cell>
          <cell r="J301">
            <v>8</v>
          </cell>
          <cell r="K301">
            <v>10</v>
          </cell>
          <cell r="L301">
            <v>0</v>
          </cell>
          <cell r="M301">
            <v>20</v>
          </cell>
          <cell r="N301">
            <v>82</v>
          </cell>
          <cell r="O301">
            <v>20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70</v>
          </cell>
          <cell r="W301">
            <v>0</v>
          </cell>
          <cell r="X301">
            <v>50</v>
          </cell>
          <cell r="Y301">
            <v>90</v>
          </cell>
          <cell r="Z301">
            <v>0</v>
          </cell>
          <cell r="AA301">
            <v>0</v>
          </cell>
          <cell r="AB301">
            <v>0</v>
          </cell>
          <cell r="AC301">
            <v>47208000</v>
          </cell>
        </row>
        <row r="302">
          <cell r="C302" t="str">
            <v>WCDA000005</v>
          </cell>
          <cell r="D302" t="str">
            <v>North</v>
          </cell>
          <cell r="E302" t="str">
            <v>Salisu Maikanti</v>
          </cell>
          <cell r="F302" t="str">
            <v>Platinum Plus</v>
          </cell>
          <cell r="G302">
            <v>1200</v>
          </cell>
          <cell r="H302">
            <v>0</v>
          </cell>
          <cell r="I302">
            <v>0</v>
          </cell>
          <cell r="J302">
            <v>40</v>
          </cell>
          <cell r="K302">
            <v>80</v>
          </cell>
          <cell r="L302">
            <v>0</v>
          </cell>
          <cell r="M302">
            <v>30</v>
          </cell>
          <cell r="N302">
            <v>300</v>
          </cell>
          <cell r="O302">
            <v>120</v>
          </cell>
          <cell r="P302">
            <v>7</v>
          </cell>
          <cell r="Q302">
            <v>12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155</v>
          </cell>
          <cell r="W302">
            <v>0</v>
          </cell>
          <cell r="X302">
            <v>300</v>
          </cell>
          <cell r="Y302">
            <v>156</v>
          </cell>
          <cell r="Z302">
            <v>0</v>
          </cell>
          <cell r="AA302">
            <v>0</v>
          </cell>
          <cell r="AB302">
            <v>0</v>
          </cell>
          <cell r="AC302">
            <v>181392000</v>
          </cell>
        </row>
        <row r="303">
          <cell r="C303" t="str">
            <v>WCDA000026</v>
          </cell>
          <cell r="D303" t="str">
            <v>North</v>
          </cell>
          <cell r="E303" t="str">
            <v>Alh. Zubairu Daura</v>
          </cell>
          <cell r="F303" t="str">
            <v>Platinum Plus</v>
          </cell>
          <cell r="G303">
            <v>1650</v>
          </cell>
          <cell r="H303">
            <v>0</v>
          </cell>
          <cell r="I303">
            <v>0</v>
          </cell>
          <cell r="J303">
            <v>20</v>
          </cell>
          <cell r="K303">
            <v>150</v>
          </cell>
          <cell r="L303">
            <v>0</v>
          </cell>
          <cell r="M303">
            <v>150</v>
          </cell>
          <cell r="N303">
            <v>100</v>
          </cell>
          <cell r="O303">
            <v>230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250</v>
          </cell>
          <cell r="W303">
            <v>0</v>
          </cell>
          <cell r="X303">
            <v>600</v>
          </cell>
          <cell r="Y303">
            <v>150</v>
          </cell>
          <cell r="Z303">
            <v>0</v>
          </cell>
          <cell r="AA303">
            <v>0</v>
          </cell>
          <cell r="AB303">
            <v>0</v>
          </cell>
          <cell r="AC303">
            <v>278120000</v>
          </cell>
        </row>
        <row r="304">
          <cell r="C304" t="str">
            <v>WCDA000043</v>
          </cell>
          <cell r="D304" t="str">
            <v>North</v>
          </cell>
          <cell r="E304" t="str">
            <v>Alh. Lawan Danrabe</v>
          </cell>
          <cell r="F304" t="str">
            <v>Gold</v>
          </cell>
          <cell r="G304">
            <v>300</v>
          </cell>
          <cell r="H304">
            <v>0</v>
          </cell>
          <cell r="I304">
            <v>0</v>
          </cell>
          <cell r="J304">
            <v>5</v>
          </cell>
          <cell r="K304">
            <v>30</v>
          </cell>
          <cell r="L304">
            <v>0</v>
          </cell>
          <cell r="M304">
            <v>45</v>
          </cell>
          <cell r="N304">
            <v>30</v>
          </cell>
          <cell r="O304">
            <v>50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90</v>
          </cell>
          <cell r="Y304">
            <v>50</v>
          </cell>
          <cell r="Z304">
            <v>0</v>
          </cell>
          <cell r="AA304">
            <v>0</v>
          </cell>
          <cell r="AB304">
            <v>0</v>
          </cell>
          <cell r="AC304">
            <v>51350000</v>
          </cell>
        </row>
        <row r="305">
          <cell r="C305" t="str">
            <v>NTC1725</v>
          </cell>
          <cell r="D305" t="str">
            <v>North</v>
          </cell>
          <cell r="E305" t="str">
            <v xml:space="preserve">Aminu Usman </v>
          </cell>
          <cell r="F305" t="str">
            <v>Bronze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</row>
        <row r="306">
          <cell r="C306" t="str">
            <v>NTC0031</v>
          </cell>
          <cell r="D306" t="str">
            <v>North</v>
          </cell>
          <cell r="E306" t="str">
            <v>BUHARI MANIR</v>
          </cell>
          <cell r="F306" t="str">
            <v>Gold</v>
          </cell>
          <cell r="G306">
            <v>360</v>
          </cell>
          <cell r="H306">
            <v>0</v>
          </cell>
          <cell r="I306">
            <v>0</v>
          </cell>
          <cell r="J306">
            <v>5</v>
          </cell>
          <cell r="K306">
            <v>40</v>
          </cell>
          <cell r="L306">
            <v>0</v>
          </cell>
          <cell r="M306">
            <v>55</v>
          </cell>
          <cell r="N306">
            <v>50</v>
          </cell>
          <cell r="O306">
            <v>50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100</v>
          </cell>
          <cell r="Y306">
            <v>60</v>
          </cell>
          <cell r="Z306">
            <v>0</v>
          </cell>
          <cell r="AA306">
            <v>0</v>
          </cell>
          <cell r="AB306">
            <v>0</v>
          </cell>
          <cell r="AC306">
            <v>59760000</v>
          </cell>
        </row>
        <row r="307">
          <cell r="C307" t="str">
            <v>NTC2306</v>
          </cell>
          <cell r="D307" t="str">
            <v>North</v>
          </cell>
          <cell r="E307" t="str">
            <v>SHAMSUDEEN USMAN</v>
          </cell>
          <cell r="F307" t="str">
            <v>Platinum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</row>
        <row r="308">
          <cell r="C308" t="str">
            <v>NTC2307</v>
          </cell>
          <cell r="D308" t="str">
            <v>North</v>
          </cell>
          <cell r="E308" t="str">
            <v>AMINU USMAN</v>
          </cell>
          <cell r="F308" t="str">
            <v>Gold</v>
          </cell>
          <cell r="G308">
            <v>250</v>
          </cell>
          <cell r="H308">
            <v>0</v>
          </cell>
          <cell r="I308">
            <v>0</v>
          </cell>
          <cell r="J308">
            <v>5</v>
          </cell>
          <cell r="K308">
            <v>0</v>
          </cell>
          <cell r="L308">
            <v>0</v>
          </cell>
          <cell r="M308">
            <v>2</v>
          </cell>
          <cell r="N308">
            <v>25</v>
          </cell>
          <cell r="O308">
            <v>15</v>
          </cell>
          <cell r="P308">
            <v>15</v>
          </cell>
          <cell r="Q308">
            <v>1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100</v>
          </cell>
          <cell r="W308">
            <v>5</v>
          </cell>
          <cell r="X308">
            <v>77</v>
          </cell>
          <cell r="Y308">
            <v>5</v>
          </cell>
          <cell r="Z308">
            <v>0</v>
          </cell>
          <cell r="AA308">
            <v>0</v>
          </cell>
          <cell r="AB308">
            <v>0</v>
          </cell>
          <cell r="AC308">
            <v>38487000</v>
          </cell>
        </row>
        <row r="309">
          <cell r="C309" t="str">
            <v>WCJA000124</v>
          </cell>
          <cell r="D309" t="str">
            <v>North</v>
          </cell>
          <cell r="E309" t="str">
            <v>Usman Garba</v>
          </cell>
          <cell r="F309" t="str">
            <v>Silver</v>
          </cell>
          <cell r="G309">
            <v>125</v>
          </cell>
          <cell r="H309">
            <v>0</v>
          </cell>
          <cell r="I309">
            <v>0</v>
          </cell>
          <cell r="J309">
            <v>9</v>
          </cell>
          <cell r="K309">
            <v>0</v>
          </cell>
          <cell r="L309">
            <v>0</v>
          </cell>
          <cell r="M309">
            <v>5</v>
          </cell>
          <cell r="N309">
            <v>15</v>
          </cell>
          <cell r="O309">
            <v>11</v>
          </cell>
          <cell r="P309">
            <v>1</v>
          </cell>
          <cell r="Q309">
            <v>1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41</v>
          </cell>
          <cell r="W309">
            <v>0</v>
          </cell>
          <cell r="X309">
            <v>37</v>
          </cell>
          <cell r="Y309">
            <v>5</v>
          </cell>
          <cell r="Z309">
            <v>0</v>
          </cell>
          <cell r="AA309">
            <v>0</v>
          </cell>
          <cell r="AB309">
            <v>0</v>
          </cell>
          <cell r="AC309">
            <v>19780000</v>
          </cell>
        </row>
        <row r="310">
          <cell r="C310" t="str">
            <v>WCDA000071</v>
          </cell>
          <cell r="D310" t="str">
            <v>North</v>
          </cell>
          <cell r="E310" t="str">
            <v>Manu Mohammed</v>
          </cell>
          <cell r="F310" t="str">
            <v>Silver</v>
          </cell>
          <cell r="G310">
            <v>120</v>
          </cell>
          <cell r="H310">
            <v>0</v>
          </cell>
          <cell r="I310">
            <v>0</v>
          </cell>
          <cell r="J310">
            <v>2</v>
          </cell>
          <cell r="K310">
            <v>0</v>
          </cell>
          <cell r="L310">
            <v>0</v>
          </cell>
          <cell r="M310">
            <v>5</v>
          </cell>
          <cell r="N310">
            <v>20</v>
          </cell>
          <cell r="O310">
            <v>10</v>
          </cell>
          <cell r="P310">
            <v>1</v>
          </cell>
          <cell r="Q310">
            <v>1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41</v>
          </cell>
          <cell r="W310">
            <v>0</v>
          </cell>
          <cell r="X310">
            <v>35</v>
          </cell>
          <cell r="Y310">
            <v>5</v>
          </cell>
          <cell r="Z310">
            <v>0</v>
          </cell>
          <cell r="AA310">
            <v>0</v>
          </cell>
          <cell r="AB310">
            <v>0</v>
          </cell>
          <cell r="AC310">
            <v>17822000</v>
          </cell>
        </row>
        <row r="311">
          <cell r="C311" t="str">
            <v>WCDA000069</v>
          </cell>
          <cell r="D311" t="str">
            <v>North</v>
          </cell>
          <cell r="E311" t="str">
            <v>Barkindo ba</v>
          </cell>
          <cell r="F311" t="str">
            <v>Bronze</v>
          </cell>
          <cell r="G311">
            <v>120</v>
          </cell>
          <cell r="H311">
            <v>0</v>
          </cell>
          <cell r="I311">
            <v>0</v>
          </cell>
          <cell r="J311">
            <v>2</v>
          </cell>
          <cell r="K311">
            <v>0</v>
          </cell>
          <cell r="L311">
            <v>0</v>
          </cell>
          <cell r="M311">
            <v>5</v>
          </cell>
          <cell r="N311">
            <v>20</v>
          </cell>
          <cell r="O311">
            <v>10</v>
          </cell>
          <cell r="P311">
            <v>1</v>
          </cell>
          <cell r="Q311">
            <v>1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41</v>
          </cell>
          <cell r="W311">
            <v>0</v>
          </cell>
          <cell r="X311">
            <v>35</v>
          </cell>
          <cell r="Y311">
            <v>5</v>
          </cell>
          <cell r="Z311">
            <v>0</v>
          </cell>
          <cell r="AA311">
            <v>0</v>
          </cell>
          <cell r="AB311">
            <v>0</v>
          </cell>
          <cell r="AC311">
            <v>17822000</v>
          </cell>
        </row>
        <row r="312">
          <cell r="C312" t="str">
            <v>WCDA000068</v>
          </cell>
          <cell r="D312" t="str">
            <v>North</v>
          </cell>
          <cell r="E312" t="str">
            <v>Alh Abdul Mohammed</v>
          </cell>
          <cell r="F312" t="str">
            <v>Bronze</v>
          </cell>
          <cell r="G312">
            <v>120</v>
          </cell>
          <cell r="H312">
            <v>0</v>
          </cell>
          <cell r="I312">
            <v>0</v>
          </cell>
          <cell r="J312">
            <v>2</v>
          </cell>
          <cell r="K312">
            <v>0</v>
          </cell>
          <cell r="L312">
            <v>0</v>
          </cell>
          <cell r="M312">
            <v>5</v>
          </cell>
          <cell r="N312">
            <v>20</v>
          </cell>
          <cell r="O312">
            <v>10</v>
          </cell>
          <cell r="P312">
            <v>1</v>
          </cell>
          <cell r="Q312">
            <v>1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41</v>
          </cell>
          <cell r="W312">
            <v>0</v>
          </cell>
          <cell r="X312">
            <v>35</v>
          </cell>
          <cell r="Y312">
            <v>5</v>
          </cell>
          <cell r="Z312">
            <v>0</v>
          </cell>
          <cell r="AA312">
            <v>0</v>
          </cell>
          <cell r="AB312">
            <v>0</v>
          </cell>
          <cell r="AC312">
            <v>17822000</v>
          </cell>
        </row>
        <row r="313">
          <cell r="C313" t="str">
            <v>NTC1262</v>
          </cell>
          <cell r="D313" t="str">
            <v>North</v>
          </cell>
          <cell r="E313" t="str">
            <v>Varuwa Tizhe</v>
          </cell>
          <cell r="F313" t="str">
            <v>Silver</v>
          </cell>
          <cell r="G313">
            <v>120</v>
          </cell>
          <cell r="H313">
            <v>0</v>
          </cell>
          <cell r="I313">
            <v>0</v>
          </cell>
          <cell r="J313">
            <v>2</v>
          </cell>
          <cell r="K313">
            <v>0</v>
          </cell>
          <cell r="L313">
            <v>0</v>
          </cell>
          <cell r="M313">
            <v>5</v>
          </cell>
          <cell r="N313">
            <v>20</v>
          </cell>
          <cell r="O313">
            <v>10</v>
          </cell>
          <cell r="P313">
            <v>1</v>
          </cell>
          <cell r="Q313">
            <v>1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41</v>
          </cell>
          <cell r="W313">
            <v>0</v>
          </cell>
          <cell r="X313">
            <v>35</v>
          </cell>
          <cell r="Y313">
            <v>5</v>
          </cell>
          <cell r="Z313">
            <v>0</v>
          </cell>
          <cell r="AA313">
            <v>0</v>
          </cell>
          <cell r="AB313">
            <v>0</v>
          </cell>
          <cell r="AC313">
            <v>17822000</v>
          </cell>
        </row>
        <row r="314">
          <cell r="C314" t="str">
            <v>WCDA000134</v>
          </cell>
          <cell r="D314" t="str">
            <v>North</v>
          </cell>
          <cell r="E314" t="str">
            <v>GARBA 50/50</v>
          </cell>
          <cell r="F314" t="str">
            <v>Silver</v>
          </cell>
          <cell r="G314">
            <v>250</v>
          </cell>
          <cell r="H314">
            <v>0</v>
          </cell>
          <cell r="I314">
            <v>0</v>
          </cell>
          <cell r="J314">
            <v>5</v>
          </cell>
          <cell r="K314">
            <v>0</v>
          </cell>
          <cell r="L314">
            <v>0</v>
          </cell>
          <cell r="M314">
            <v>7</v>
          </cell>
          <cell r="N314">
            <v>50</v>
          </cell>
          <cell r="O314">
            <v>15</v>
          </cell>
          <cell r="P314">
            <v>30</v>
          </cell>
          <cell r="Q314">
            <v>1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50</v>
          </cell>
          <cell r="W314">
            <v>5</v>
          </cell>
          <cell r="X314">
            <v>77</v>
          </cell>
          <cell r="Y314">
            <v>10</v>
          </cell>
          <cell r="Z314">
            <v>0</v>
          </cell>
          <cell r="AA314">
            <v>0</v>
          </cell>
          <cell r="AB314">
            <v>0</v>
          </cell>
          <cell r="AC314">
            <v>40567000</v>
          </cell>
        </row>
        <row r="315">
          <cell r="C315" t="str">
            <v>WCDA000057</v>
          </cell>
          <cell r="D315" t="str">
            <v>North</v>
          </cell>
          <cell r="E315" t="str">
            <v>Jidda Goni</v>
          </cell>
          <cell r="F315" t="str">
            <v>Gold</v>
          </cell>
          <cell r="G315">
            <v>270</v>
          </cell>
          <cell r="H315">
            <v>0</v>
          </cell>
          <cell r="I315">
            <v>0</v>
          </cell>
          <cell r="J315">
            <v>3</v>
          </cell>
          <cell r="K315">
            <v>0</v>
          </cell>
          <cell r="L315">
            <v>0</v>
          </cell>
          <cell r="M315">
            <v>7</v>
          </cell>
          <cell r="N315">
            <v>50</v>
          </cell>
          <cell r="O315">
            <v>10</v>
          </cell>
          <cell r="P315">
            <v>5</v>
          </cell>
          <cell r="Q315">
            <v>3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102</v>
          </cell>
          <cell r="W315">
            <v>0</v>
          </cell>
          <cell r="X315">
            <v>80</v>
          </cell>
          <cell r="Y315">
            <v>10</v>
          </cell>
          <cell r="Z315">
            <v>0</v>
          </cell>
          <cell r="AA315">
            <v>0</v>
          </cell>
          <cell r="AB315">
            <v>0</v>
          </cell>
          <cell r="AC315">
            <v>38617000</v>
          </cell>
        </row>
        <row r="316">
          <cell r="C316" t="str">
            <v>NTC1851</v>
          </cell>
          <cell r="D316" t="str">
            <v>North</v>
          </cell>
          <cell r="E316" t="str">
            <v>John Goji</v>
          </cell>
          <cell r="F316" t="str">
            <v>Silver</v>
          </cell>
          <cell r="G316">
            <v>130</v>
          </cell>
          <cell r="H316">
            <v>0</v>
          </cell>
          <cell r="I316">
            <v>0</v>
          </cell>
          <cell r="J316">
            <v>2</v>
          </cell>
          <cell r="K316">
            <v>0</v>
          </cell>
          <cell r="L316">
            <v>0</v>
          </cell>
          <cell r="M316">
            <v>5</v>
          </cell>
          <cell r="N316">
            <v>30</v>
          </cell>
          <cell r="O316">
            <v>10</v>
          </cell>
          <cell r="P316">
            <v>1</v>
          </cell>
          <cell r="Q316">
            <v>1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41</v>
          </cell>
          <cell r="W316">
            <v>0</v>
          </cell>
          <cell r="X316">
            <v>35</v>
          </cell>
          <cell r="Y316">
            <v>5</v>
          </cell>
          <cell r="Z316">
            <v>0</v>
          </cell>
          <cell r="AA316">
            <v>0</v>
          </cell>
          <cell r="AB316">
            <v>0</v>
          </cell>
          <cell r="AC316">
            <v>18772000</v>
          </cell>
        </row>
        <row r="317">
          <cell r="C317" t="str">
            <v>NTC1192</v>
          </cell>
          <cell r="D317" t="str">
            <v>North</v>
          </cell>
          <cell r="E317" t="str">
            <v>Maikudi Isa</v>
          </cell>
          <cell r="F317" t="str">
            <v>Gold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</row>
        <row r="318">
          <cell r="C318" t="str">
            <v>NTC1127</v>
          </cell>
          <cell r="D318" t="str">
            <v>North</v>
          </cell>
          <cell r="E318" t="str">
            <v>Tijani Terry</v>
          </cell>
          <cell r="F318" t="str">
            <v>Platinum Plus</v>
          </cell>
          <cell r="G318">
            <v>900</v>
          </cell>
          <cell r="H318">
            <v>0</v>
          </cell>
          <cell r="I318">
            <v>0</v>
          </cell>
          <cell r="J318">
            <v>5</v>
          </cell>
          <cell r="K318">
            <v>0</v>
          </cell>
          <cell r="L318">
            <v>0</v>
          </cell>
          <cell r="M318">
            <v>10</v>
          </cell>
          <cell r="N318">
            <v>140</v>
          </cell>
          <cell r="O318">
            <v>20</v>
          </cell>
          <cell r="P318">
            <v>5</v>
          </cell>
          <cell r="Q318">
            <v>5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450</v>
          </cell>
          <cell r="W318">
            <v>5</v>
          </cell>
          <cell r="X318">
            <v>255</v>
          </cell>
          <cell r="Y318">
            <v>5</v>
          </cell>
          <cell r="Z318">
            <v>0</v>
          </cell>
          <cell r="AA318">
            <v>0</v>
          </cell>
          <cell r="AB318">
            <v>0</v>
          </cell>
          <cell r="AC318">
            <v>123110000</v>
          </cell>
        </row>
        <row r="319">
          <cell r="C319" t="str">
            <v>NTC0063</v>
          </cell>
          <cell r="D319" t="str">
            <v>North</v>
          </cell>
          <cell r="E319" t="str">
            <v>HADI ALI</v>
          </cell>
          <cell r="F319" t="str">
            <v>Gold</v>
          </cell>
          <cell r="G319">
            <v>270</v>
          </cell>
          <cell r="H319">
            <v>0</v>
          </cell>
          <cell r="I319">
            <v>0</v>
          </cell>
          <cell r="J319">
            <v>3</v>
          </cell>
          <cell r="K319">
            <v>0</v>
          </cell>
          <cell r="L319">
            <v>0</v>
          </cell>
          <cell r="M319">
            <v>7</v>
          </cell>
          <cell r="N319">
            <v>50</v>
          </cell>
          <cell r="O319">
            <v>10</v>
          </cell>
          <cell r="P319">
            <v>5</v>
          </cell>
          <cell r="Q319">
            <v>3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102</v>
          </cell>
          <cell r="W319">
            <v>0</v>
          </cell>
          <cell r="X319">
            <v>80</v>
          </cell>
          <cell r="Y319">
            <v>10</v>
          </cell>
          <cell r="Z319">
            <v>0</v>
          </cell>
          <cell r="AA319">
            <v>0</v>
          </cell>
          <cell r="AB319">
            <v>0</v>
          </cell>
          <cell r="AC319">
            <v>38617000</v>
          </cell>
        </row>
        <row r="320">
          <cell r="C320" t="str">
            <v>WCJA000312</v>
          </cell>
          <cell r="D320" t="str">
            <v>North</v>
          </cell>
          <cell r="E320" t="str">
            <v>MOHD VANDI</v>
          </cell>
          <cell r="F320" t="str">
            <v>Platinum Plus</v>
          </cell>
          <cell r="G320">
            <v>800</v>
          </cell>
          <cell r="H320">
            <v>0</v>
          </cell>
          <cell r="I320">
            <v>0</v>
          </cell>
          <cell r="J320">
            <v>5</v>
          </cell>
          <cell r="K320">
            <v>0</v>
          </cell>
          <cell r="L320">
            <v>0</v>
          </cell>
          <cell r="M320">
            <v>10</v>
          </cell>
          <cell r="N320">
            <v>40</v>
          </cell>
          <cell r="O320">
            <v>20</v>
          </cell>
          <cell r="P320">
            <v>5</v>
          </cell>
          <cell r="Q320">
            <v>5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450</v>
          </cell>
          <cell r="W320">
            <v>5</v>
          </cell>
          <cell r="X320">
            <v>255</v>
          </cell>
          <cell r="Y320">
            <v>5</v>
          </cell>
          <cell r="Z320">
            <v>0</v>
          </cell>
          <cell r="AA320">
            <v>0</v>
          </cell>
          <cell r="AB320">
            <v>0</v>
          </cell>
          <cell r="AC320">
            <v>113610000</v>
          </cell>
        </row>
        <row r="321">
          <cell r="C321" t="str">
            <v>MBC002973</v>
          </cell>
          <cell r="D321" t="str">
            <v>North</v>
          </cell>
          <cell r="E321" t="str">
            <v>MUKTARI YASHAU</v>
          </cell>
          <cell r="F321" t="str">
            <v>Bronze</v>
          </cell>
          <cell r="G321">
            <v>125</v>
          </cell>
          <cell r="H321">
            <v>0</v>
          </cell>
          <cell r="I321">
            <v>0</v>
          </cell>
          <cell r="J321">
            <v>2</v>
          </cell>
          <cell r="K321">
            <v>0</v>
          </cell>
          <cell r="L321">
            <v>0</v>
          </cell>
          <cell r="M321">
            <v>5</v>
          </cell>
          <cell r="N321">
            <v>25</v>
          </cell>
          <cell r="O321">
            <v>10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41</v>
          </cell>
          <cell r="W321">
            <v>0</v>
          </cell>
          <cell r="X321">
            <v>35</v>
          </cell>
          <cell r="Y321">
            <v>5</v>
          </cell>
          <cell r="Z321">
            <v>0</v>
          </cell>
          <cell r="AA321">
            <v>0</v>
          </cell>
          <cell r="AB321">
            <v>0</v>
          </cell>
          <cell r="AC321">
            <v>18297000</v>
          </cell>
        </row>
        <row r="322">
          <cell r="C322" t="str">
            <v>MBC002893</v>
          </cell>
          <cell r="D322" t="str">
            <v>North</v>
          </cell>
          <cell r="E322" t="str">
            <v>Hussaini Umar Bassingbourn</v>
          </cell>
          <cell r="F322" t="str">
            <v>Silver</v>
          </cell>
          <cell r="G322">
            <v>120</v>
          </cell>
          <cell r="H322">
            <v>0</v>
          </cell>
          <cell r="I322">
            <v>0</v>
          </cell>
          <cell r="J322">
            <v>2</v>
          </cell>
          <cell r="K322">
            <v>0</v>
          </cell>
          <cell r="L322">
            <v>0</v>
          </cell>
          <cell r="M322">
            <v>5</v>
          </cell>
          <cell r="N322">
            <v>20</v>
          </cell>
          <cell r="O322">
            <v>10</v>
          </cell>
          <cell r="P322">
            <v>1</v>
          </cell>
          <cell r="Q322">
            <v>1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41</v>
          </cell>
          <cell r="W322">
            <v>0</v>
          </cell>
          <cell r="X322">
            <v>35</v>
          </cell>
          <cell r="Y322">
            <v>5</v>
          </cell>
          <cell r="Z322">
            <v>0</v>
          </cell>
          <cell r="AA322">
            <v>0</v>
          </cell>
          <cell r="AB322">
            <v>0</v>
          </cell>
          <cell r="AC322">
            <v>17822000</v>
          </cell>
        </row>
        <row r="323">
          <cell r="C323" t="str">
            <v>MBC003485</v>
          </cell>
          <cell r="D323" t="str">
            <v>North</v>
          </cell>
          <cell r="E323" t="str">
            <v>Ali Audu</v>
          </cell>
          <cell r="F323" t="str">
            <v>Bronze</v>
          </cell>
          <cell r="G323">
            <v>70</v>
          </cell>
          <cell r="H323">
            <v>0</v>
          </cell>
          <cell r="I323">
            <v>0</v>
          </cell>
          <cell r="J323">
            <v>1</v>
          </cell>
          <cell r="K323">
            <v>0</v>
          </cell>
          <cell r="L323">
            <v>0</v>
          </cell>
          <cell r="M323">
            <v>1</v>
          </cell>
          <cell r="N323">
            <v>10</v>
          </cell>
          <cell r="O323">
            <v>5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30</v>
          </cell>
          <cell r="W323">
            <v>0</v>
          </cell>
          <cell r="X323">
            <v>20</v>
          </cell>
          <cell r="Y323">
            <v>1</v>
          </cell>
          <cell r="Z323">
            <v>0</v>
          </cell>
          <cell r="AA323">
            <v>0</v>
          </cell>
          <cell r="AB323">
            <v>0</v>
          </cell>
          <cell r="AC323">
            <v>10246000</v>
          </cell>
        </row>
        <row r="324">
          <cell r="C324" t="str">
            <v>MBC003573</v>
          </cell>
          <cell r="D324" t="str">
            <v>North</v>
          </cell>
          <cell r="E324" t="str">
            <v>Adamu Usman</v>
          </cell>
          <cell r="F324" t="str">
            <v>Bronze</v>
          </cell>
          <cell r="G324">
            <v>70</v>
          </cell>
          <cell r="H324">
            <v>0</v>
          </cell>
          <cell r="I324">
            <v>0</v>
          </cell>
          <cell r="J324">
            <v>1</v>
          </cell>
          <cell r="K324">
            <v>0</v>
          </cell>
          <cell r="L324">
            <v>0</v>
          </cell>
          <cell r="M324">
            <v>1</v>
          </cell>
          <cell r="N324">
            <v>10</v>
          </cell>
          <cell r="O324">
            <v>5</v>
          </cell>
          <cell r="P324">
            <v>1</v>
          </cell>
          <cell r="Q324">
            <v>1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30</v>
          </cell>
          <cell r="W324">
            <v>0</v>
          </cell>
          <cell r="X324">
            <v>20</v>
          </cell>
          <cell r="Y324">
            <v>1</v>
          </cell>
          <cell r="Z324">
            <v>0</v>
          </cell>
          <cell r="AA324">
            <v>0</v>
          </cell>
          <cell r="AB324">
            <v>0</v>
          </cell>
          <cell r="AC324">
            <v>10246000</v>
          </cell>
        </row>
        <row r="325">
          <cell r="C325" t="str">
            <v>NTC2395</v>
          </cell>
          <cell r="D325" t="str">
            <v>North</v>
          </cell>
          <cell r="E325" t="str">
            <v>Aminu Buba Baffa</v>
          </cell>
          <cell r="F325" t="str">
            <v>Bronze</v>
          </cell>
          <cell r="G325">
            <v>250</v>
          </cell>
          <cell r="H325">
            <v>0</v>
          </cell>
          <cell r="I325">
            <v>0</v>
          </cell>
          <cell r="J325">
            <v>5</v>
          </cell>
          <cell r="K325">
            <v>0</v>
          </cell>
          <cell r="L325">
            <v>0</v>
          </cell>
          <cell r="M325">
            <v>7</v>
          </cell>
          <cell r="N325">
            <v>50</v>
          </cell>
          <cell r="O325">
            <v>15</v>
          </cell>
          <cell r="P325">
            <v>30</v>
          </cell>
          <cell r="Q325">
            <v>1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50</v>
          </cell>
          <cell r="W325">
            <v>5</v>
          </cell>
          <cell r="X325">
            <v>77</v>
          </cell>
          <cell r="Y325">
            <v>10</v>
          </cell>
          <cell r="Z325">
            <v>0</v>
          </cell>
          <cell r="AA325">
            <v>0</v>
          </cell>
          <cell r="AB325">
            <v>0</v>
          </cell>
          <cell r="AC325">
            <v>40567000</v>
          </cell>
        </row>
        <row r="326">
          <cell r="C326" t="str">
            <v>NTC1964</v>
          </cell>
          <cell r="D326" t="str">
            <v>North</v>
          </cell>
          <cell r="E326" t="str">
            <v>Gurza Enterprise</v>
          </cell>
          <cell r="F326" t="str">
            <v>Bronze</v>
          </cell>
          <cell r="G326">
            <v>255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94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10</v>
          </cell>
          <cell r="W326">
            <v>0</v>
          </cell>
          <cell r="X326">
            <v>99</v>
          </cell>
          <cell r="Y326">
            <v>52</v>
          </cell>
          <cell r="Z326">
            <v>0</v>
          </cell>
          <cell r="AA326">
            <v>0</v>
          </cell>
          <cell r="AB326">
            <v>0</v>
          </cell>
          <cell r="AC326">
            <v>34548000</v>
          </cell>
        </row>
        <row r="327">
          <cell r="C327" t="str">
            <v>WCDA000180</v>
          </cell>
          <cell r="D327" t="str">
            <v>North</v>
          </cell>
          <cell r="E327" t="str">
            <v>Saidu Bello</v>
          </cell>
          <cell r="F327" t="str">
            <v>Bronze</v>
          </cell>
          <cell r="G327">
            <v>249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103</v>
          </cell>
          <cell r="O327">
            <v>10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28</v>
          </cell>
          <cell r="W327">
            <v>0</v>
          </cell>
          <cell r="X327">
            <v>29</v>
          </cell>
          <cell r="Y327">
            <v>79</v>
          </cell>
          <cell r="Z327">
            <v>0</v>
          </cell>
          <cell r="AA327">
            <v>0</v>
          </cell>
          <cell r="AB327">
            <v>0</v>
          </cell>
          <cell r="AC327">
            <v>29628000</v>
          </cell>
        </row>
        <row r="328">
          <cell r="C328" t="str">
            <v>WCDA000111</v>
          </cell>
          <cell r="D328" t="str">
            <v>North</v>
          </cell>
          <cell r="E328" t="str">
            <v>Alh Dahiru Alto</v>
          </cell>
          <cell r="F328" t="str">
            <v>Bronze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</row>
        <row r="329">
          <cell r="C329" t="str">
            <v>WCDA000103</v>
          </cell>
          <cell r="D329" t="str">
            <v>North</v>
          </cell>
          <cell r="E329" t="str">
            <v>Alh Musa Jega</v>
          </cell>
          <cell r="F329" t="str">
            <v>Silver</v>
          </cell>
          <cell r="G329">
            <v>120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1</v>
          </cell>
          <cell r="N329">
            <v>4</v>
          </cell>
          <cell r="O329">
            <v>24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5</v>
          </cell>
          <cell r="W329">
            <v>0</v>
          </cell>
          <cell r="X329">
            <v>84</v>
          </cell>
          <cell r="Y329">
            <v>2</v>
          </cell>
          <cell r="Z329">
            <v>0</v>
          </cell>
          <cell r="AA329">
            <v>0</v>
          </cell>
          <cell r="AB329">
            <v>0</v>
          </cell>
          <cell r="AC329">
            <v>22658000</v>
          </cell>
        </row>
        <row r="330">
          <cell r="C330" t="str">
            <v>WCDA000089</v>
          </cell>
          <cell r="D330" t="str">
            <v>North</v>
          </cell>
          <cell r="E330" t="str">
            <v>Alh Namadina</v>
          </cell>
          <cell r="F330" t="str">
            <v>Platinum Plus</v>
          </cell>
          <cell r="G330">
            <v>1150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3</v>
          </cell>
          <cell r="N330">
            <v>217</v>
          </cell>
          <cell r="O330">
            <v>46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97</v>
          </cell>
          <cell r="W330">
            <v>0</v>
          </cell>
          <cell r="X330">
            <v>361</v>
          </cell>
          <cell r="Y330">
            <v>426</v>
          </cell>
          <cell r="Z330">
            <v>0</v>
          </cell>
          <cell r="AA330">
            <v>0</v>
          </cell>
          <cell r="AB330">
            <v>0</v>
          </cell>
          <cell r="AC330">
            <v>158687000</v>
          </cell>
        </row>
        <row r="331">
          <cell r="C331" t="str">
            <v>WCDA000088</v>
          </cell>
          <cell r="D331" t="str">
            <v>North</v>
          </cell>
          <cell r="E331" t="str">
            <v>Alh Musa Kange</v>
          </cell>
          <cell r="F331" t="str">
            <v>Gold</v>
          </cell>
          <cell r="G331">
            <v>350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1</v>
          </cell>
          <cell r="N331">
            <v>84</v>
          </cell>
          <cell r="O331">
            <v>23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16</v>
          </cell>
          <cell r="W331">
            <v>0</v>
          </cell>
          <cell r="X331">
            <v>100</v>
          </cell>
          <cell r="Y331">
            <v>126</v>
          </cell>
          <cell r="Z331">
            <v>0</v>
          </cell>
          <cell r="AA331">
            <v>0</v>
          </cell>
          <cell r="AB331">
            <v>0</v>
          </cell>
          <cell r="AC331">
            <v>48291000</v>
          </cell>
        </row>
        <row r="332">
          <cell r="C332" t="str">
            <v>WCDA000087</v>
          </cell>
          <cell r="D332" t="str">
            <v>North</v>
          </cell>
          <cell r="E332" t="str">
            <v>Alh Malami Wurno</v>
          </cell>
          <cell r="F332" t="str">
            <v>Silver</v>
          </cell>
          <cell r="G332">
            <v>120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1</v>
          </cell>
          <cell r="N332">
            <v>20</v>
          </cell>
          <cell r="O332">
            <v>8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5</v>
          </cell>
          <cell r="W332">
            <v>0</v>
          </cell>
          <cell r="X332">
            <v>43</v>
          </cell>
          <cell r="Y332">
            <v>43</v>
          </cell>
          <cell r="Z332">
            <v>0</v>
          </cell>
          <cell r="AA332">
            <v>0</v>
          </cell>
          <cell r="AB332">
            <v>0</v>
          </cell>
          <cell r="AC332">
            <v>17423000</v>
          </cell>
        </row>
        <row r="333">
          <cell r="C333" t="str">
            <v>WCDA000079</v>
          </cell>
          <cell r="D333" t="str">
            <v>North</v>
          </cell>
          <cell r="E333" t="str">
            <v>Alh Dahiru Bello</v>
          </cell>
          <cell r="F333" t="str">
            <v>Platinum</v>
          </cell>
          <cell r="G333">
            <v>300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1</v>
          </cell>
          <cell r="N333">
            <v>40</v>
          </cell>
          <cell r="O333">
            <v>33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12</v>
          </cell>
          <cell r="W333">
            <v>0</v>
          </cell>
          <cell r="X333">
            <v>100</v>
          </cell>
          <cell r="Y333">
            <v>114</v>
          </cell>
          <cell r="Z333">
            <v>0</v>
          </cell>
          <cell r="AA333">
            <v>0</v>
          </cell>
          <cell r="AB333">
            <v>0</v>
          </cell>
          <cell r="AC333">
            <v>44603000</v>
          </cell>
        </row>
        <row r="334">
          <cell r="C334" t="str">
            <v>WCDA000077</v>
          </cell>
          <cell r="D334" t="str">
            <v>North</v>
          </cell>
          <cell r="E334" t="str">
            <v>Alh Aminu Fara</v>
          </cell>
          <cell r="F334" t="str">
            <v>Gold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</row>
        <row r="335">
          <cell r="C335" t="str">
            <v>NTC1659</v>
          </cell>
          <cell r="D335" t="str">
            <v>North</v>
          </cell>
          <cell r="E335" t="str">
            <v>NAZIRU DAHIRU</v>
          </cell>
          <cell r="F335" t="str">
            <v>Silver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</row>
        <row r="336">
          <cell r="C336" t="str">
            <v>NTC1289</v>
          </cell>
          <cell r="D336" t="str">
            <v>North</v>
          </cell>
          <cell r="E336" t="str">
            <v>Alh Muntaka M.T.K</v>
          </cell>
          <cell r="F336" t="str">
            <v>Bronze</v>
          </cell>
          <cell r="G336">
            <v>337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45</v>
          </cell>
          <cell r="O336">
            <v>30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10</v>
          </cell>
          <cell r="W336">
            <v>0</v>
          </cell>
          <cell r="X336">
            <v>147</v>
          </cell>
          <cell r="Y336">
            <v>105</v>
          </cell>
          <cell r="Z336">
            <v>0</v>
          </cell>
          <cell r="AA336">
            <v>0</v>
          </cell>
          <cell r="AB336">
            <v>0</v>
          </cell>
          <cell r="AC336">
            <v>51806000</v>
          </cell>
        </row>
        <row r="337">
          <cell r="C337" t="str">
            <v>NTC1578</v>
          </cell>
          <cell r="D337" t="str">
            <v>North</v>
          </cell>
          <cell r="E337" t="str">
            <v>ALH. Sahabi Dahiru</v>
          </cell>
          <cell r="F337" t="str">
            <v>Silver</v>
          </cell>
          <cell r="G337">
            <v>125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1</v>
          </cell>
          <cell r="N337">
            <v>1</v>
          </cell>
          <cell r="O337">
            <v>35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88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24864000</v>
          </cell>
        </row>
        <row r="338">
          <cell r="C338" t="str">
            <v>NTC1162</v>
          </cell>
          <cell r="D338" t="str">
            <v>North</v>
          </cell>
          <cell r="E338" t="str">
            <v>Ibrahim Mohammed Gani</v>
          </cell>
          <cell r="F338" t="str">
            <v>Platinum</v>
          </cell>
          <cell r="G338">
            <v>250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1</v>
          </cell>
          <cell r="N338">
            <v>26</v>
          </cell>
          <cell r="O338">
            <v>23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11</v>
          </cell>
          <cell r="W338">
            <v>0</v>
          </cell>
          <cell r="X338">
            <v>139</v>
          </cell>
          <cell r="Y338">
            <v>50</v>
          </cell>
          <cell r="Z338">
            <v>0</v>
          </cell>
          <cell r="AA338">
            <v>0</v>
          </cell>
          <cell r="AB338">
            <v>0</v>
          </cell>
          <cell r="AC338">
            <v>40960000</v>
          </cell>
        </row>
        <row r="339">
          <cell r="C339" t="str">
            <v>NTC2351</v>
          </cell>
          <cell r="D339" t="str">
            <v>North</v>
          </cell>
          <cell r="E339" t="str">
            <v>Alh Suleinam Bagudo</v>
          </cell>
          <cell r="F339" t="str">
            <v>Gold</v>
          </cell>
          <cell r="G339">
            <v>400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88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60</v>
          </cell>
          <cell r="W339">
            <v>0</v>
          </cell>
          <cell r="X339">
            <v>110</v>
          </cell>
          <cell r="Y339">
            <v>142</v>
          </cell>
          <cell r="Z339">
            <v>0</v>
          </cell>
          <cell r="AA339">
            <v>0</v>
          </cell>
          <cell r="AB339">
            <v>0</v>
          </cell>
          <cell r="AC339">
            <v>51866000</v>
          </cell>
        </row>
        <row r="340">
          <cell r="C340" t="str">
            <v>NTC 2518</v>
          </cell>
          <cell r="D340" t="str">
            <v>North</v>
          </cell>
          <cell r="E340" t="str">
            <v xml:space="preserve">Alh Yusuf Zubairu Daura </v>
          </cell>
          <cell r="F340" t="str">
            <v xml:space="preserve">Silver </v>
          </cell>
          <cell r="G340">
            <v>130</v>
          </cell>
          <cell r="H340">
            <v>0</v>
          </cell>
          <cell r="I340">
            <v>0</v>
          </cell>
          <cell r="J340">
            <v>10</v>
          </cell>
          <cell r="K340">
            <v>0</v>
          </cell>
          <cell r="L340">
            <v>0</v>
          </cell>
          <cell r="M340">
            <v>50</v>
          </cell>
          <cell r="N340">
            <v>0</v>
          </cell>
          <cell r="O340">
            <v>20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50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25360000</v>
          </cell>
        </row>
        <row r="341">
          <cell r="C341" t="str">
            <v>WCJA000392</v>
          </cell>
          <cell r="D341" t="str">
            <v>North</v>
          </cell>
          <cell r="E341" t="str">
            <v>Alh Babare Gombi</v>
          </cell>
          <cell r="F341" t="str">
            <v>Bronze</v>
          </cell>
          <cell r="G341">
            <v>70</v>
          </cell>
          <cell r="H341">
            <v>0</v>
          </cell>
          <cell r="I341">
            <v>0</v>
          </cell>
          <cell r="J341">
            <v>2</v>
          </cell>
          <cell r="K341">
            <v>2</v>
          </cell>
          <cell r="L341">
            <v>0</v>
          </cell>
          <cell r="M341">
            <v>1</v>
          </cell>
          <cell r="N341">
            <v>4</v>
          </cell>
          <cell r="O341">
            <v>8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10</v>
          </cell>
          <cell r="W341">
            <v>0</v>
          </cell>
          <cell r="X341">
            <v>40</v>
          </cell>
          <cell r="Y341">
            <v>1</v>
          </cell>
          <cell r="Z341">
            <v>0</v>
          </cell>
          <cell r="AA341">
            <v>0</v>
          </cell>
          <cell r="AB341">
            <v>0</v>
          </cell>
          <cell r="AC341">
            <v>12477000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heet"/>
      <sheetName val="Top WH -National"/>
      <sheetName val="Top WH -August Credit"/>
      <sheetName val="Overdue Credits"/>
      <sheetName val="Brand Prices"/>
    </sheetNames>
    <sheetDataSet>
      <sheetData sheetId="0"/>
      <sheetData sheetId="1">
        <row r="9">
          <cell r="D9" t="str">
            <v>NTC2351</v>
          </cell>
          <cell r="E9" t="str">
            <v>Alh Suleiman Bagudo</v>
          </cell>
          <cell r="F9" t="str">
            <v>Gold</v>
          </cell>
          <cell r="G9">
            <v>400</v>
          </cell>
          <cell r="H9">
            <v>0</v>
          </cell>
          <cell r="I9">
            <v>0</v>
          </cell>
          <cell r="J9">
            <v>3</v>
          </cell>
          <cell r="K9">
            <v>25</v>
          </cell>
          <cell r="L9">
            <v>0</v>
          </cell>
          <cell r="M9">
            <v>0</v>
          </cell>
          <cell r="N9">
            <v>60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60</v>
          </cell>
          <cell r="W9">
            <v>0</v>
          </cell>
          <cell r="X9">
            <v>110</v>
          </cell>
          <cell r="Y9">
            <v>142</v>
          </cell>
          <cell r="Z9">
            <v>0</v>
          </cell>
          <cell r="AA9">
            <v>0</v>
          </cell>
          <cell r="AB9">
            <v>0</v>
          </cell>
          <cell r="AC9">
            <v>54364000</v>
          </cell>
        </row>
        <row r="10">
          <cell r="D10" t="str">
            <v>WCDA000026</v>
          </cell>
          <cell r="E10" t="str">
            <v>Alh. Zubairu Daura</v>
          </cell>
          <cell r="F10" t="str">
            <v>Platinum Plus</v>
          </cell>
          <cell r="G10">
            <v>1980</v>
          </cell>
          <cell r="H10">
            <v>0</v>
          </cell>
          <cell r="I10">
            <v>0</v>
          </cell>
          <cell r="J10">
            <v>20</v>
          </cell>
          <cell r="K10">
            <v>150</v>
          </cell>
          <cell r="L10">
            <v>0</v>
          </cell>
          <cell r="M10">
            <v>150</v>
          </cell>
          <cell r="N10">
            <v>200</v>
          </cell>
          <cell r="O10">
            <v>230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300</v>
          </cell>
          <cell r="W10">
            <v>0</v>
          </cell>
          <cell r="X10">
            <v>700</v>
          </cell>
          <cell r="Y10">
            <v>230</v>
          </cell>
          <cell r="Z10">
            <v>0</v>
          </cell>
          <cell r="AA10">
            <v>0</v>
          </cell>
          <cell r="AB10">
            <v>0</v>
          </cell>
          <cell r="AC10">
            <v>321110000</v>
          </cell>
        </row>
        <row r="11">
          <cell r="D11" t="str">
            <v>NTC1928</v>
          </cell>
          <cell r="E11" t="str">
            <v>Nasiru Sarki</v>
          </cell>
          <cell r="F11" t="str">
            <v>Platinum Plus</v>
          </cell>
          <cell r="G11">
            <v>2006</v>
          </cell>
          <cell r="H11">
            <v>0</v>
          </cell>
          <cell r="I11">
            <v>0</v>
          </cell>
          <cell r="J11">
            <v>44</v>
          </cell>
          <cell r="K11">
            <v>170</v>
          </cell>
          <cell r="L11">
            <v>0</v>
          </cell>
          <cell r="M11">
            <v>37</v>
          </cell>
          <cell r="N11">
            <v>536</v>
          </cell>
          <cell r="O11">
            <v>220</v>
          </cell>
          <cell r="P11">
            <v>10</v>
          </cell>
          <cell r="Q11">
            <v>5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419</v>
          </cell>
          <cell r="W11">
            <v>5</v>
          </cell>
          <cell r="X11">
            <v>500</v>
          </cell>
          <cell r="Y11">
            <v>60</v>
          </cell>
          <cell r="Z11">
            <v>0</v>
          </cell>
          <cell r="AA11">
            <v>0</v>
          </cell>
          <cell r="AB11">
            <v>0</v>
          </cell>
          <cell r="AC11">
            <v>301461000</v>
          </cell>
        </row>
        <row r="12">
          <cell r="D12" t="str">
            <v>NTC1981</v>
          </cell>
          <cell r="E12" t="str">
            <v>Abubakar Yahuza</v>
          </cell>
          <cell r="F12" t="str">
            <v>Platinum</v>
          </cell>
          <cell r="G12">
            <v>550</v>
          </cell>
          <cell r="H12">
            <v>0</v>
          </cell>
          <cell r="I12">
            <v>0</v>
          </cell>
          <cell r="J12">
            <v>7</v>
          </cell>
          <cell r="K12">
            <v>10</v>
          </cell>
          <cell r="L12">
            <v>0</v>
          </cell>
          <cell r="M12">
            <v>20</v>
          </cell>
          <cell r="N12">
            <v>180</v>
          </cell>
          <cell r="O12">
            <v>60</v>
          </cell>
          <cell r="P12">
            <v>2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141</v>
          </cell>
          <cell r="W12">
            <v>0</v>
          </cell>
          <cell r="X12">
            <v>100</v>
          </cell>
          <cell r="Y12">
            <v>30</v>
          </cell>
          <cell r="Z12">
            <v>0</v>
          </cell>
          <cell r="AA12">
            <v>0</v>
          </cell>
          <cell r="AB12">
            <v>0</v>
          </cell>
          <cell r="AC12">
            <v>76622000</v>
          </cell>
        </row>
        <row r="13">
          <cell r="D13" t="str">
            <v>WCDA000005</v>
          </cell>
          <cell r="E13" t="str">
            <v>Salisu Maikanti</v>
          </cell>
          <cell r="F13" t="str">
            <v>Platinum Plus</v>
          </cell>
          <cell r="G13">
            <v>1318</v>
          </cell>
          <cell r="H13">
            <v>0</v>
          </cell>
          <cell r="I13">
            <v>0</v>
          </cell>
          <cell r="J13">
            <v>25</v>
          </cell>
          <cell r="K13">
            <v>80</v>
          </cell>
          <cell r="L13">
            <v>0</v>
          </cell>
          <cell r="M13">
            <v>30</v>
          </cell>
          <cell r="N13">
            <v>452</v>
          </cell>
          <cell r="O13">
            <v>100</v>
          </cell>
          <cell r="P13">
            <v>7</v>
          </cell>
          <cell r="Q13">
            <v>2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352</v>
          </cell>
          <cell r="W13">
            <v>0</v>
          </cell>
          <cell r="X13">
            <v>190</v>
          </cell>
          <cell r="Y13">
            <v>80</v>
          </cell>
          <cell r="Z13">
            <v>0</v>
          </cell>
          <cell r="AA13">
            <v>0</v>
          </cell>
          <cell r="AB13">
            <v>0</v>
          </cell>
          <cell r="AC13">
            <v>178450000</v>
          </cell>
        </row>
        <row r="14">
          <cell r="D14" t="str">
            <v>WCDA000011</v>
          </cell>
          <cell r="E14" t="str">
            <v>Sheu S Jos</v>
          </cell>
          <cell r="F14" t="str">
            <v>Platinum Plus</v>
          </cell>
          <cell r="G14">
            <v>2016</v>
          </cell>
          <cell r="H14">
            <v>0</v>
          </cell>
          <cell r="I14">
            <v>0</v>
          </cell>
          <cell r="J14">
            <v>30</v>
          </cell>
          <cell r="K14">
            <v>100</v>
          </cell>
          <cell r="L14">
            <v>0</v>
          </cell>
          <cell r="M14">
            <v>40</v>
          </cell>
          <cell r="N14">
            <v>550</v>
          </cell>
          <cell r="O14">
            <v>180</v>
          </cell>
          <cell r="P14">
            <v>8</v>
          </cell>
          <cell r="Q14">
            <v>4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560</v>
          </cell>
          <cell r="W14">
            <v>10</v>
          </cell>
          <cell r="X14">
            <v>400</v>
          </cell>
          <cell r="Y14">
            <v>134</v>
          </cell>
          <cell r="Z14">
            <v>0</v>
          </cell>
          <cell r="AA14">
            <v>0</v>
          </cell>
          <cell r="AB14">
            <v>0</v>
          </cell>
          <cell r="AC14">
            <v>283564000</v>
          </cell>
        </row>
        <row r="15">
          <cell r="D15" t="str">
            <v>WCDA000013</v>
          </cell>
          <cell r="E15" t="str">
            <v>Salisu Adamu</v>
          </cell>
          <cell r="F15" t="str">
            <v>Platinum Plus</v>
          </cell>
          <cell r="G15">
            <v>1265</v>
          </cell>
          <cell r="H15">
            <v>0</v>
          </cell>
          <cell r="I15">
            <v>0</v>
          </cell>
          <cell r="J15">
            <v>32</v>
          </cell>
          <cell r="K15">
            <v>82</v>
          </cell>
          <cell r="L15">
            <v>0</v>
          </cell>
          <cell r="M15">
            <v>32</v>
          </cell>
          <cell r="N15">
            <v>429</v>
          </cell>
          <cell r="O15">
            <v>100</v>
          </cell>
          <cell r="P15">
            <v>7</v>
          </cell>
          <cell r="Q15">
            <v>2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289</v>
          </cell>
          <cell r="W15">
            <v>10</v>
          </cell>
          <cell r="X15">
            <v>200</v>
          </cell>
          <cell r="Y15">
            <v>82</v>
          </cell>
          <cell r="Z15">
            <v>0</v>
          </cell>
          <cell r="AA15">
            <v>0</v>
          </cell>
          <cell r="AB15">
            <v>0</v>
          </cell>
          <cell r="AC15">
            <v>174909000</v>
          </cell>
        </row>
        <row r="16">
          <cell r="D16" t="str">
            <v>WCDA000016</v>
          </cell>
          <cell r="E16" t="str">
            <v>Barau AbdulFrahaman</v>
          </cell>
          <cell r="F16" t="str">
            <v>Platinum Plus</v>
          </cell>
          <cell r="G16">
            <v>2336</v>
          </cell>
          <cell r="H16">
            <v>0</v>
          </cell>
          <cell r="I16">
            <v>0</v>
          </cell>
          <cell r="J16">
            <v>55</v>
          </cell>
          <cell r="K16">
            <v>150</v>
          </cell>
          <cell r="L16">
            <v>0</v>
          </cell>
          <cell r="M16">
            <v>55</v>
          </cell>
          <cell r="N16">
            <v>468</v>
          </cell>
          <cell r="O16">
            <v>280</v>
          </cell>
          <cell r="P16">
            <v>10</v>
          </cell>
          <cell r="Q16">
            <v>7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644</v>
          </cell>
          <cell r="W16">
            <v>17</v>
          </cell>
          <cell r="X16">
            <v>600</v>
          </cell>
          <cell r="Y16">
            <v>50</v>
          </cell>
          <cell r="Z16">
            <v>0</v>
          </cell>
          <cell r="AA16">
            <v>0</v>
          </cell>
          <cell r="AB16">
            <v>0</v>
          </cell>
          <cell r="AC16">
            <v>356145000</v>
          </cell>
        </row>
        <row r="17">
          <cell r="D17" t="str">
            <v>WCDA000025</v>
          </cell>
          <cell r="E17" t="str">
            <v>Usman Sale</v>
          </cell>
          <cell r="F17" t="str">
            <v>Gold</v>
          </cell>
          <cell r="G17">
            <v>347</v>
          </cell>
          <cell r="H17">
            <v>0</v>
          </cell>
          <cell r="I17">
            <v>0</v>
          </cell>
          <cell r="J17">
            <v>7</v>
          </cell>
          <cell r="K17">
            <v>10</v>
          </cell>
          <cell r="L17">
            <v>0</v>
          </cell>
          <cell r="M17">
            <v>10</v>
          </cell>
          <cell r="N17">
            <v>62</v>
          </cell>
          <cell r="O17">
            <v>40</v>
          </cell>
          <cell r="P17">
            <v>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85</v>
          </cell>
          <cell r="W17">
            <v>0</v>
          </cell>
          <cell r="X17">
            <v>100</v>
          </cell>
          <cell r="Y17">
            <v>30</v>
          </cell>
          <cell r="Z17">
            <v>0</v>
          </cell>
          <cell r="AA17">
            <v>0</v>
          </cell>
          <cell r="AB17">
            <v>0</v>
          </cell>
          <cell r="AC17">
            <v>52995000</v>
          </cell>
        </row>
        <row r="18">
          <cell r="D18" t="str">
            <v>NTC0031</v>
          </cell>
          <cell r="E18" t="str">
            <v>BUHARI MANIR</v>
          </cell>
          <cell r="F18" t="str">
            <v>Gold</v>
          </cell>
          <cell r="G18">
            <v>368</v>
          </cell>
          <cell r="H18">
            <v>0</v>
          </cell>
          <cell r="I18">
            <v>0</v>
          </cell>
          <cell r="J18">
            <v>5</v>
          </cell>
          <cell r="K18">
            <v>48</v>
          </cell>
          <cell r="L18">
            <v>0</v>
          </cell>
          <cell r="M18">
            <v>55</v>
          </cell>
          <cell r="N18">
            <v>50</v>
          </cell>
          <cell r="O18">
            <v>50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110</v>
          </cell>
          <cell r="Y18">
            <v>50</v>
          </cell>
          <cell r="Z18">
            <v>0</v>
          </cell>
          <cell r="AA18">
            <v>0</v>
          </cell>
          <cell r="AB18">
            <v>0</v>
          </cell>
          <cell r="AC18">
            <v>61910000</v>
          </cell>
        </row>
        <row r="19">
          <cell r="D19" t="str">
            <v>WCDA000043</v>
          </cell>
          <cell r="E19" t="str">
            <v>Alh. Lawan Danrabe</v>
          </cell>
          <cell r="F19" t="str">
            <v>Gold</v>
          </cell>
          <cell r="G19">
            <v>350</v>
          </cell>
          <cell r="H19">
            <v>0</v>
          </cell>
          <cell r="I19">
            <v>0</v>
          </cell>
          <cell r="J19">
            <v>5</v>
          </cell>
          <cell r="K19">
            <v>30</v>
          </cell>
          <cell r="L19">
            <v>0</v>
          </cell>
          <cell r="M19">
            <v>31</v>
          </cell>
          <cell r="N19">
            <v>74</v>
          </cell>
          <cell r="O19">
            <v>50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110</v>
          </cell>
          <cell r="Y19">
            <v>50</v>
          </cell>
          <cell r="Z19">
            <v>0</v>
          </cell>
          <cell r="AA19">
            <v>0</v>
          </cell>
          <cell r="AB19">
            <v>0</v>
          </cell>
          <cell r="AC19">
            <v>56840000</v>
          </cell>
        </row>
        <row r="20">
          <cell r="D20" t="str">
            <v>NTC0063</v>
          </cell>
          <cell r="E20" t="str">
            <v>HADI ALI</v>
          </cell>
          <cell r="F20" t="str">
            <v>Gold</v>
          </cell>
          <cell r="G20">
            <v>347</v>
          </cell>
          <cell r="H20">
            <v>0</v>
          </cell>
          <cell r="I20">
            <v>0</v>
          </cell>
          <cell r="J20">
            <v>5</v>
          </cell>
          <cell r="K20">
            <v>10</v>
          </cell>
          <cell r="L20">
            <v>0</v>
          </cell>
          <cell r="M20">
            <v>20</v>
          </cell>
          <cell r="N20">
            <v>5</v>
          </cell>
          <cell r="O20">
            <v>30</v>
          </cell>
          <cell r="P20">
            <v>15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152</v>
          </cell>
          <cell r="W20">
            <v>0</v>
          </cell>
          <cell r="X20">
            <v>30</v>
          </cell>
          <cell r="Y20">
            <v>80</v>
          </cell>
          <cell r="Z20">
            <v>0</v>
          </cell>
          <cell r="AA20">
            <v>0</v>
          </cell>
          <cell r="AB20">
            <v>0</v>
          </cell>
          <cell r="AC20">
            <v>49701000</v>
          </cell>
        </row>
        <row r="21">
          <cell r="D21" t="str">
            <v>NTC1127</v>
          </cell>
          <cell r="E21" t="str">
            <v>Tijani Terry</v>
          </cell>
          <cell r="F21" t="str">
            <v>Platinum Plus</v>
          </cell>
          <cell r="G21">
            <v>1208</v>
          </cell>
          <cell r="H21">
            <v>0</v>
          </cell>
          <cell r="I21">
            <v>0</v>
          </cell>
          <cell r="J21">
            <v>10</v>
          </cell>
          <cell r="K21">
            <v>70</v>
          </cell>
          <cell r="L21">
            <v>0</v>
          </cell>
          <cell r="M21">
            <v>5</v>
          </cell>
          <cell r="N21">
            <v>336</v>
          </cell>
          <cell r="O21">
            <v>60</v>
          </cell>
          <cell r="P21">
            <v>20</v>
          </cell>
          <cell r="Q21">
            <v>7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420</v>
          </cell>
          <cell r="W21">
            <v>10</v>
          </cell>
          <cell r="X21">
            <v>170</v>
          </cell>
          <cell r="Y21">
            <v>100</v>
          </cell>
          <cell r="Z21">
            <v>0</v>
          </cell>
          <cell r="AA21">
            <v>0</v>
          </cell>
          <cell r="AB21">
            <v>0</v>
          </cell>
          <cell r="AC21">
            <v>159827000</v>
          </cell>
        </row>
        <row r="22">
          <cell r="D22" t="str">
            <v>WCDA000057</v>
          </cell>
          <cell r="E22" t="str">
            <v>Jidda Goni</v>
          </cell>
          <cell r="F22" t="str">
            <v>Gold</v>
          </cell>
          <cell r="G22">
            <v>409</v>
          </cell>
          <cell r="H22">
            <v>0</v>
          </cell>
          <cell r="I22">
            <v>0</v>
          </cell>
          <cell r="J22">
            <v>3</v>
          </cell>
          <cell r="K22">
            <v>27</v>
          </cell>
          <cell r="L22">
            <v>0</v>
          </cell>
          <cell r="M22">
            <v>5</v>
          </cell>
          <cell r="N22">
            <v>120</v>
          </cell>
          <cell r="O22">
            <v>20</v>
          </cell>
          <cell r="P22">
            <v>10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184</v>
          </cell>
          <cell r="W22">
            <v>0</v>
          </cell>
          <cell r="X22">
            <v>30</v>
          </cell>
          <cell r="Y22">
            <v>10</v>
          </cell>
          <cell r="Z22">
            <v>0</v>
          </cell>
          <cell r="AA22">
            <v>0</v>
          </cell>
          <cell r="AB22">
            <v>0</v>
          </cell>
          <cell r="AC22">
            <v>52555000</v>
          </cell>
        </row>
        <row r="23">
          <cell r="D23" t="str">
            <v>NTC2307</v>
          </cell>
          <cell r="E23" t="str">
            <v>Aminu Usman</v>
          </cell>
          <cell r="F23" t="str">
            <v>Gold</v>
          </cell>
          <cell r="G23">
            <v>342</v>
          </cell>
          <cell r="H23">
            <v>0</v>
          </cell>
          <cell r="I23">
            <v>0</v>
          </cell>
          <cell r="J23">
            <v>3</v>
          </cell>
          <cell r="K23">
            <v>30</v>
          </cell>
          <cell r="L23">
            <v>0</v>
          </cell>
          <cell r="M23">
            <v>2</v>
          </cell>
          <cell r="N23">
            <v>110</v>
          </cell>
          <cell r="O23">
            <v>30</v>
          </cell>
          <cell r="P23">
            <v>15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60</v>
          </cell>
          <cell r="W23">
            <v>2</v>
          </cell>
          <cell r="X23">
            <v>80</v>
          </cell>
          <cell r="Y23">
            <v>10</v>
          </cell>
          <cell r="Z23">
            <v>0</v>
          </cell>
          <cell r="AA23">
            <v>0</v>
          </cell>
          <cell r="AB23">
            <v>0</v>
          </cell>
          <cell r="AC23">
            <v>50824000</v>
          </cell>
        </row>
        <row r="24">
          <cell r="D24" t="str">
            <v>NTC1162</v>
          </cell>
          <cell r="E24" t="str">
            <v>Ibrahim Mohammed Gani</v>
          </cell>
          <cell r="F24" t="str">
            <v>Gold</v>
          </cell>
          <cell r="G24">
            <v>315</v>
          </cell>
          <cell r="H24">
            <v>0</v>
          </cell>
          <cell r="I24">
            <v>0</v>
          </cell>
          <cell r="J24">
            <v>7</v>
          </cell>
          <cell r="K24">
            <v>10</v>
          </cell>
          <cell r="L24">
            <v>0</v>
          </cell>
          <cell r="M24">
            <v>20</v>
          </cell>
          <cell r="N24">
            <v>20</v>
          </cell>
          <cell r="O24">
            <v>30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33</v>
          </cell>
          <cell r="W24">
            <v>0</v>
          </cell>
          <cell r="X24">
            <v>139</v>
          </cell>
          <cell r="Y24">
            <v>56</v>
          </cell>
          <cell r="Z24">
            <v>0</v>
          </cell>
          <cell r="AA24">
            <v>0</v>
          </cell>
          <cell r="AB24">
            <v>0</v>
          </cell>
          <cell r="AC24">
            <v>52066000</v>
          </cell>
        </row>
        <row r="25">
          <cell r="D25" t="str">
            <v>WCDA000079</v>
          </cell>
          <cell r="E25" t="str">
            <v>Alh Dahiru Bello</v>
          </cell>
          <cell r="F25" t="str">
            <v>Platinum</v>
          </cell>
          <cell r="G25">
            <v>399</v>
          </cell>
          <cell r="H25">
            <v>0</v>
          </cell>
          <cell r="I25">
            <v>0</v>
          </cell>
          <cell r="J25">
            <v>4</v>
          </cell>
          <cell r="K25">
            <v>7</v>
          </cell>
          <cell r="L25">
            <v>0</v>
          </cell>
          <cell r="M25">
            <v>20</v>
          </cell>
          <cell r="N25">
            <v>10</v>
          </cell>
          <cell r="O25">
            <v>63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109</v>
          </cell>
          <cell r="W25">
            <v>0</v>
          </cell>
          <cell r="X25">
            <v>100</v>
          </cell>
          <cell r="Y25">
            <v>86</v>
          </cell>
          <cell r="Z25">
            <v>0</v>
          </cell>
          <cell r="AA25">
            <v>0</v>
          </cell>
          <cell r="AB25">
            <v>0</v>
          </cell>
          <cell r="AC25">
            <v>62044000</v>
          </cell>
        </row>
        <row r="26">
          <cell r="D26" t="str">
            <v>WCDA000088</v>
          </cell>
          <cell r="E26" t="str">
            <v>Alh Musa Kange</v>
          </cell>
          <cell r="F26" t="str">
            <v>Gold</v>
          </cell>
          <cell r="G26">
            <v>350</v>
          </cell>
          <cell r="H26">
            <v>0</v>
          </cell>
          <cell r="I26">
            <v>0</v>
          </cell>
          <cell r="J26">
            <v>10</v>
          </cell>
          <cell r="K26">
            <v>10</v>
          </cell>
          <cell r="L26">
            <v>0</v>
          </cell>
          <cell r="M26">
            <v>20</v>
          </cell>
          <cell r="N26">
            <v>44</v>
          </cell>
          <cell r="O26">
            <v>24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16</v>
          </cell>
          <cell r="W26">
            <v>0</v>
          </cell>
          <cell r="X26">
            <v>100</v>
          </cell>
          <cell r="Y26">
            <v>126</v>
          </cell>
          <cell r="Z26">
            <v>0</v>
          </cell>
          <cell r="AA26">
            <v>0</v>
          </cell>
          <cell r="AB26">
            <v>0</v>
          </cell>
          <cell r="AC26">
            <v>52406000</v>
          </cell>
        </row>
        <row r="27">
          <cell r="D27" t="str">
            <v>WCDA000089</v>
          </cell>
          <cell r="E27" t="str">
            <v>Alh Namadina</v>
          </cell>
          <cell r="F27" t="str">
            <v>Platinum Plus</v>
          </cell>
          <cell r="G27">
            <v>1481</v>
          </cell>
          <cell r="H27">
            <v>0</v>
          </cell>
          <cell r="I27">
            <v>0</v>
          </cell>
          <cell r="J27">
            <v>7</v>
          </cell>
          <cell r="K27">
            <v>100</v>
          </cell>
          <cell r="L27">
            <v>0</v>
          </cell>
          <cell r="M27">
            <v>3</v>
          </cell>
          <cell r="N27">
            <v>110</v>
          </cell>
          <cell r="O27">
            <v>77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197</v>
          </cell>
          <cell r="W27">
            <v>0</v>
          </cell>
          <cell r="X27">
            <v>461</v>
          </cell>
          <cell r="Y27">
            <v>526</v>
          </cell>
          <cell r="Z27">
            <v>0</v>
          </cell>
          <cell r="AA27">
            <v>0</v>
          </cell>
          <cell r="AB27">
            <v>0</v>
          </cell>
          <cell r="AC27">
            <v>216379000</v>
          </cell>
        </row>
        <row r="28">
          <cell r="D28" t="str">
            <v>WCJA000312</v>
          </cell>
          <cell r="E28" t="str">
            <v>MOHD VANDI</v>
          </cell>
          <cell r="F28" t="str">
            <v>Platinum Plus</v>
          </cell>
          <cell r="G28">
            <v>955</v>
          </cell>
          <cell r="H28">
            <v>0</v>
          </cell>
          <cell r="I28">
            <v>0</v>
          </cell>
          <cell r="J28">
            <v>10</v>
          </cell>
          <cell r="K28">
            <v>70</v>
          </cell>
          <cell r="L28">
            <v>0</v>
          </cell>
          <cell r="M28">
            <v>5</v>
          </cell>
          <cell r="N28">
            <v>100</v>
          </cell>
          <cell r="O28">
            <v>80</v>
          </cell>
          <cell r="P28">
            <v>10</v>
          </cell>
          <cell r="Q28">
            <v>5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550</v>
          </cell>
          <cell r="W28">
            <v>5</v>
          </cell>
          <cell r="X28">
            <v>100</v>
          </cell>
          <cell r="Y28">
            <v>20</v>
          </cell>
          <cell r="Z28">
            <v>0</v>
          </cell>
          <cell r="AA28">
            <v>0</v>
          </cell>
          <cell r="AB28">
            <v>0</v>
          </cell>
          <cell r="AC28">
            <v>130950000</v>
          </cell>
        </row>
        <row r="29">
          <cell r="D29" t="str">
            <v>WCJA000077</v>
          </cell>
          <cell r="E29" t="str">
            <v>Danasabe Abubakar</v>
          </cell>
          <cell r="F29" t="str">
            <v>Gold</v>
          </cell>
          <cell r="G29">
            <v>426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6</v>
          </cell>
          <cell r="N29">
            <v>135</v>
          </cell>
          <cell r="O29">
            <v>40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45</v>
          </cell>
          <cell r="W29">
            <v>0</v>
          </cell>
          <cell r="X29">
            <v>200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65760000</v>
          </cell>
        </row>
        <row r="30">
          <cell r="D30" t="str">
            <v>MBC001526</v>
          </cell>
          <cell r="E30" t="str">
            <v>Rufai Haliru</v>
          </cell>
          <cell r="F30" t="str">
            <v>Platinum</v>
          </cell>
          <cell r="G30">
            <v>700</v>
          </cell>
          <cell r="H30">
            <v>0</v>
          </cell>
          <cell r="I30">
            <v>0</v>
          </cell>
          <cell r="J30">
            <v>100</v>
          </cell>
          <cell r="K30">
            <v>50</v>
          </cell>
          <cell r="L30">
            <v>0</v>
          </cell>
          <cell r="M30">
            <v>50</v>
          </cell>
          <cell r="N30">
            <v>0</v>
          </cell>
          <cell r="O30">
            <v>100</v>
          </cell>
          <cell r="P30">
            <v>50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150</v>
          </cell>
          <cell r="W30">
            <v>50</v>
          </cell>
          <cell r="X30">
            <v>150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130450000</v>
          </cell>
        </row>
        <row r="31">
          <cell r="D31" t="str">
            <v>MBC001930</v>
          </cell>
          <cell r="E31" t="str">
            <v>De - Blessed Investment</v>
          </cell>
          <cell r="F31" t="str">
            <v>Gold</v>
          </cell>
          <cell r="G31">
            <v>350</v>
          </cell>
          <cell r="H31">
            <v>0</v>
          </cell>
          <cell r="I31">
            <v>0</v>
          </cell>
          <cell r="J31">
            <v>50</v>
          </cell>
          <cell r="K31">
            <v>30</v>
          </cell>
          <cell r="L31">
            <v>0</v>
          </cell>
          <cell r="M31">
            <v>20</v>
          </cell>
          <cell r="N31">
            <v>0</v>
          </cell>
          <cell r="O31">
            <v>50</v>
          </cell>
          <cell r="P31">
            <v>30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50</v>
          </cell>
          <cell r="W31">
            <v>20</v>
          </cell>
          <cell r="X31">
            <v>100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67840000</v>
          </cell>
        </row>
        <row r="32">
          <cell r="D32" t="str">
            <v>MBC002873</v>
          </cell>
          <cell r="E32" t="str">
            <v>Hussaini Baba</v>
          </cell>
          <cell r="F32" t="str">
            <v>Gold</v>
          </cell>
          <cell r="G32">
            <v>350</v>
          </cell>
          <cell r="H32">
            <v>0</v>
          </cell>
          <cell r="I32">
            <v>0</v>
          </cell>
          <cell r="J32">
            <v>50</v>
          </cell>
          <cell r="K32">
            <v>30</v>
          </cell>
          <cell r="L32">
            <v>0</v>
          </cell>
          <cell r="M32">
            <v>20</v>
          </cell>
          <cell r="N32">
            <v>0</v>
          </cell>
          <cell r="O32">
            <v>50</v>
          </cell>
          <cell r="P32">
            <v>30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50</v>
          </cell>
          <cell r="W32">
            <v>20</v>
          </cell>
          <cell r="X32">
            <v>100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67840000</v>
          </cell>
        </row>
        <row r="33">
          <cell r="D33" t="str">
            <v>WCJA000001</v>
          </cell>
          <cell r="E33" t="str">
            <v>Haruna Mohammed</v>
          </cell>
          <cell r="F33" t="str">
            <v>Platinum</v>
          </cell>
          <cell r="G33">
            <v>800</v>
          </cell>
          <cell r="H33">
            <v>0</v>
          </cell>
          <cell r="I33">
            <v>0</v>
          </cell>
          <cell r="J33">
            <v>100</v>
          </cell>
          <cell r="K33">
            <v>50</v>
          </cell>
          <cell r="L33">
            <v>0</v>
          </cell>
          <cell r="M33">
            <v>50</v>
          </cell>
          <cell r="N33">
            <v>0</v>
          </cell>
          <cell r="O33">
            <v>100</v>
          </cell>
          <cell r="P33">
            <v>50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150</v>
          </cell>
          <cell r="W33">
            <v>50</v>
          </cell>
          <cell r="X33">
            <v>250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149250000</v>
          </cell>
        </row>
        <row r="34">
          <cell r="D34" t="str">
            <v>WCJA000002</v>
          </cell>
          <cell r="E34" t="str">
            <v>Abdulmumini Usman</v>
          </cell>
          <cell r="F34" t="str">
            <v>Gold</v>
          </cell>
          <cell r="G34">
            <v>350</v>
          </cell>
          <cell r="H34">
            <v>0</v>
          </cell>
          <cell r="I34">
            <v>0</v>
          </cell>
          <cell r="J34">
            <v>50</v>
          </cell>
          <cell r="K34">
            <v>30</v>
          </cell>
          <cell r="L34">
            <v>0</v>
          </cell>
          <cell r="M34">
            <v>20</v>
          </cell>
          <cell r="N34">
            <v>0</v>
          </cell>
          <cell r="O34">
            <v>50</v>
          </cell>
          <cell r="P34">
            <v>30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50</v>
          </cell>
          <cell r="W34">
            <v>20</v>
          </cell>
          <cell r="X34">
            <v>100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67840000</v>
          </cell>
        </row>
        <row r="35">
          <cell r="D35" t="str">
            <v>WCJA000005</v>
          </cell>
          <cell r="E35" t="str">
            <v>Chukudi Ogbo</v>
          </cell>
          <cell r="F35" t="str">
            <v>Gold</v>
          </cell>
          <cell r="G35">
            <v>520</v>
          </cell>
          <cell r="H35">
            <v>0</v>
          </cell>
          <cell r="I35">
            <v>0</v>
          </cell>
          <cell r="J35">
            <v>100</v>
          </cell>
          <cell r="K35">
            <v>50</v>
          </cell>
          <cell r="L35">
            <v>0</v>
          </cell>
          <cell r="M35">
            <v>50</v>
          </cell>
          <cell r="N35">
            <v>0</v>
          </cell>
          <cell r="O35">
            <v>100</v>
          </cell>
          <cell r="P35">
            <v>50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50</v>
          </cell>
          <cell r="W35">
            <v>20</v>
          </cell>
          <cell r="X35">
            <v>100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106360000</v>
          </cell>
        </row>
        <row r="36">
          <cell r="D36" t="str">
            <v>WCJA000007</v>
          </cell>
          <cell r="E36" t="str">
            <v>Fabian Ecomog</v>
          </cell>
          <cell r="F36" t="str">
            <v>Gold</v>
          </cell>
          <cell r="G36">
            <v>400</v>
          </cell>
          <cell r="H36">
            <v>0</v>
          </cell>
          <cell r="I36">
            <v>0</v>
          </cell>
          <cell r="J36">
            <v>50</v>
          </cell>
          <cell r="K36">
            <v>30</v>
          </cell>
          <cell r="L36">
            <v>0</v>
          </cell>
          <cell r="M36">
            <v>20</v>
          </cell>
          <cell r="N36">
            <v>0</v>
          </cell>
          <cell r="O36">
            <v>50</v>
          </cell>
          <cell r="P36">
            <v>30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100</v>
          </cell>
          <cell r="W36">
            <v>20</v>
          </cell>
          <cell r="X36">
            <v>100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73490000</v>
          </cell>
        </row>
        <row r="37">
          <cell r="D37" t="str">
            <v>WCJA000008</v>
          </cell>
          <cell r="E37" t="str">
            <v>Zila Daura</v>
          </cell>
          <cell r="F37" t="str">
            <v>Gold</v>
          </cell>
          <cell r="G37">
            <v>300</v>
          </cell>
          <cell r="H37">
            <v>0</v>
          </cell>
          <cell r="I37">
            <v>0</v>
          </cell>
          <cell r="J37">
            <v>50</v>
          </cell>
          <cell r="K37">
            <v>50</v>
          </cell>
          <cell r="L37">
            <v>0</v>
          </cell>
          <cell r="M37">
            <v>50</v>
          </cell>
          <cell r="N37">
            <v>0</v>
          </cell>
          <cell r="O37">
            <v>50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50</v>
          </cell>
          <cell r="W37">
            <v>0</v>
          </cell>
          <cell r="X37">
            <v>50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57100000</v>
          </cell>
        </row>
        <row r="38">
          <cell r="D38" t="str">
            <v>WCJA000011</v>
          </cell>
          <cell r="E38" t="str">
            <v>Haliru Hassan</v>
          </cell>
          <cell r="F38" t="str">
            <v>Gold</v>
          </cell>
          <cell r="G38">
            <v>400</v>
          </cell>
          <cell r="H38">
            <v>0</v>
          </cell>
          <cell r="I38">
            <v>0</v>
          </cell>
          <cell r="J38">
            <v>50</v>
          </cell>
          <cell r="K38">
            <v>30</v>
          </cell>
          <cell r="L38">
            <v>0</v>
          </cell>
          <cell r="M38">
            <v>20</v>
          </cell>
          <cell r="N38">
            <v>0</v>
          </cell>
          <cell r="O38">
            <v>50</v>
          </cell>
          <cell r="P38">
            <v>30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100</v>
          </cell>
          <cell r="W38">
            <v>20</v>
          </cell>
          <cell r="X38">
            <v>100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73490000</v>
          </cell>
        </row>
        <row r="39">
          <cell r="D39" t="str">
            <v>WCJA000017</v>
          </cell>
          <cell r="E39" t="str">
            <v>Oliver Eze</v>
          </cell>
          <cell r="F39" t="str">
            <v>Gold</v>
          </cell>
          <cell r="G39">
            <v>400</v>
          </cell>
          <cell r="H39">
            <v>0</v>
          </cell>
          <cell r="I39">
            <v>0</v>
          </cell>
          <cell r="J39">
            <v>50</v>
          </cell>
          <cell r="K39">
            <v>30</v>
          </cell>
          <cell r="L39">
            <v>0</v>
          </cell>
          <cell r="M39">
            <v>20</v>
          </cell>
          <cell r="N39">
            <v>0</v>
          </cell>
          <cell r="O39">
            <v>50</v>
          </cell>
          <cell r="P39">
            <v>30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100</v>
          </cell>
          <cell r="W39">
            <v>20</v>
          </cell>
          <cell r="X39">
            <v>100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73490000</v>
          </cell>
        </row>
        <row r="40">
          <cell r="D40" t="str">
            <v>WCJA000379</v>
          </cell>
          <cell r="E40" t="str">
            <v>Amechi Ogbu</v>
          </cell>
          <cell r="F40" t="str">
            <v>Gold</v>
          </cell>
          <cell r="G40">
            <v>400</v>
          </cell>
          <cell r="H40">
            <v>0</v>
          </cell>
          <cell r="I40">
            <v>0</v>
          </cell>
          <cell r="J40">
            <v>100</v>
          </cell>
          <cell r="K40">
            <v>30</v>
          </cell>
          <cell r="L40">
            <v>0</v>
          </cell>
          <cell r="M40">
            <v>20</v>
          </cell>
          <cell r="N40">
            <v>0</v>
          </cell>
          <cell r="O40">
            <v>100</v>
          </cell>
          <cell r="P40">
            <v>50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89700000</v>
          </cell>
        </row>
        <row r="41">
          <cell r="D41" t="str">
            <v>WCJA000119</v>
          </cell>
          <cell r="E41" t="str">
            <v xml:space="preserve">Darazo Usman </v>
          </cell>
          <cell r="F41" t="str">
            <v>Gold</v>
          </cell>
          <cell r="G41">
            <v>299</v>
          </cell>
          <cell r="H41">
            <v>0</v>
          </cell>
          <cell r="I41">
            <v>0</v>
          </cell>
          <cell r="J41">
            <v>5</v>
          </cell>
          <cell r="K41">
            <v>15</v>
          </cell>
          <cell r="L41">
            <v>0</v>
          </cell>
          <cell r="M41">
            <v>5</v>
          </cell>
          <cell r="N41">
            <v>43</v>
          </cell>
          <cell r="O41">
            <v>35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136</v>
          </cell>
          <cell r="W41">
            <v>0</v>
          </cell>
          <cell r="X41">
            <v>60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43588000</v>
          </cell>
        </row>
        <row r="42">
          <cell r="D42" t="str">
            <v>WCJA000120</v>
          </cell>
          <cell r="E42" t="str">
            <v>Sallau Abdullahi</v>
          </cell>
          <cell r="F42" t="str">
            <v>Gold</v>
          </cell>
          <cell r="G42">
            <v>394</v>
          </cell>
          <cell r="H42">
            <v>0</v>
          </cell>
          <cell r="I42">
            <v>0</v>
          </cell>
          <cell r="J42">
            <v>5</v>
          </cell>
          <cell r="K42">
            <v>15</v>
          </cell>
          <cell r="L42">
            <v>0</v>
          </cell>
          <cell r="M42">
            <v>10</v>
          </cell>
          <cell r="N42">
            <v>50</v>
          </cell>
          <cell r="O42">
            <v>20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224</v>
          </cell>
          <cell r="W42">
            <v>0</v>
          </cell>
          <cell r="X42">
            <v>70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53502000</v>
          </cell>
        </row>
        <row r="43">
          <cell r="D43" t="str">
            <v>WCJA000114</v>
          </cell>
          <cell r="E43" t="str">
            <v>Ahmed Musa</v>
          </cell>
          <cell r="F43" t="str">
            <v>Platinum</v>
          </cell>
          <cell r="G43">
            <v>984</v>
          </cell>
          <cell r="H43">
            <v>0</v>
          </cell>
          <cell r="I43">
            <v>0</v>
          </cell>
          <cell r="J43">
            <v>200</v>
          </cell>
          <cell r="K43">
            <v>5</v>
          </cell>
          <cell r="L43">
            <v>0</v>
          </cell>
          <cell r="M43">
            <v>5</v>
          </cell>
          <cell r="N43">
            <v>249</v>
          </cell>
          <cell r="O43">
            <v>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500</v>
          </cell>
          <cell r="W43">
            <v>0</v>
          </cell>
          <cell r="X43">
            <v>20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139015000</v>
          </cell>
        </row>
        <row r="44">
          <cell r="D44" t="str">
            <v>WCJA000117</v>
          </cell>
          <cell r="E44" t="str">
            <v>Abdullahi Adamu</v>
          </cell>
          <cell r="F44" t="str">
            <v>Platinum</v>
          </cell>
          <cell r="G44">
            <v>636</v>
          </cell>
          <cell r="H44">
            <v>0</v>
          </cell>
          <cell r="I44">
            <v>0</v>
          </cell>
          <cell r="J44">
            <v>130</v>
          </cell>
          <cell r="K44">
            <v>5</v>
          </cell>
          <cell r="L44">
            <v>0</v>
          </cell>
          <cell r="M44">
            <v>10</v>
          </cell>
          <cell r="N44">
            <v>231</v>
          </cell>
          <cell r="O44">
            <v>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</v>
          </cell>
          <cell r="W44">
            <v>0</v>
          </cell>
          <cell r="X44">
            <v>5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88840000</v>
          </cell>
        </row>
        <row r="45">
          <cell r="D45" t="str">
            <v>WCJA000130</v>
          </cell>
          <cell r="E45" t="str">
            <v>Danjauro Manu</v>
          </cell>
          <cell r="F45" t="str">
            <v>Gold</v>
          </cell>
          <cell r="G45">
            <v>636</v>
          </cell>
          <cell r="H45">
            <v>0</v>
          </cell>
          <cell r="I45">
            <v>0</v>
          </cell>
          <cell r="J45">
            <v>130</v>
          </cell>
          <cell r="K45">
            <v>5</v>
          </cell>
          <cell r="L45">
            <v>0</v>
          </cell>
          <cell r="M45">
            <v>5</v>
          </cell>
          <cell r="N45">
            <v>241</v>
          </cell>
          <cell r="O45">
            <v>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240</v>
          </cell>
          <cell r="W45">
            <v>0</v>
          </cell>
          <cell r="X45">
            <v>10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88725000</v>
          </cell>
        </row>
        <row r="46">
          <cell r="D46" t="str">
            <v>WCJA000131</v>
          </cell>
          <cell r="E46" t="str">
            <v>Abubakar Mohammed</v>
          </cell>
          <cell r="F46" t="str">
            <v>Platinum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</row>
        <row r="47">
          <cell r="D47" t="str">
            <v>WCJA000300</v>
          </cell>
          <cell r="E47" t="str">
            <v>Peter Yohanna</v>
          </cell>
          <cell r="F47" t="str">
            <v>Gold</v>
          </cell>
          <cell r="G47">
            <v>321</v>
          </cell>
          <cell r="H47">
            <v>0</v>
          </cell>
          <cell r="I47">
            <v>0</v>
          </cell>
          <cell r="J47">
            <v>70</v>
          </cell>
          <cell r="K47">
            <v>5</v>
          </cell>
          <cell r="L47">
            <v>0</v>
          </cell>
          <cell r="M47">
            <v>2</v>
          </cell>
          <cell r="N47">
            <v>55</v>
          </cell>
          <cell r="O47">
            <v>3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180</v>
          </cell>
          <cell r="W47">
            <v>0</v>
          </cell>
          <cell r="X47">
            <v>6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46878000</v>
          </cell>
        </row>
        <row r="48">
          <cell r="D48" t="str">
            <v>MBC001327</v>
          </cell>
          <cell r="E48" t="str">
            <v>Aminu Saeed</v>
          </cell>
          <cell r="F48" t="str">
            <v>Gold</v>
          </cell>
          <cell r="G48">
            <v>966</v>
          </cell>
          <cell r="H48">
            <v>0</v>
          </cell>
          <cell r="I48">
            <v>0</v>
          </cell>
          <cell r="J48">
            <v>35</v>
          </cell>
          <cell r="K48">
            <v>40</v>
          </cell>
          <cell r="L48">
            <v>0</v>
          </cell>
          <cell r="M48">
            <v>10</v>
          </cell>
          <cell r="N48">
            <v>0</v>
          </cell>
          <cell r="O48">
            <v>60</v>
          </cell>
          <cell r="P48">
            <v>0</v>
          </cell>
          <cell r="Q48">
            <v>1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520</v>
          </cell>
          <cell r="W48">
            <v>0</v>
          </cell>
          <cell r="X48">
            <v>300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147031000</v>
          </cell>
        </row>
        <row r="49">
          <cell r="D49" t="str">
            <v>WCJA000095</v>
          </cell>
          <cell r="E49" t="str">
            <v>Titus Onyeka</v>
          </cell>
          <cell r="F49" t="str">
            <v>Gold</v>
          </cell>
          <cell r="G49">
            <v>278</v>
          </cell>
          <cell r="H49">
            <v>0</v>
          </cell>
          <cell r="I49">
            <v>0</v>
          </cell>
          <cell r="J49">
            <v>7</v>
          </cell>
          <cell r="K49">
            <v>6</v>
          </cell>
          <cell r="L49">
            <v>0</v>
          </cell>
          <cell r="M49">
            <v>3</v>
          </cell>
          <cell r="N49">
            <v>25</v>
          </cell>
          <cell r="O49">
            <v>15</v>
          </cell>
          <cell r="P49">
            <v>1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165</v>
          </cell>
          <cell r="W49">
            <v>2</v>
          </cell>
          <cell r="X49">
            <v>54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38511000</v>
          </cell>
        </row>
        <row r="50">
          <cell r="D50" t="str">
            <v>WCJA000102</v>
          </cell>
          <cell r="E50" t="str">
            <v>Abdu Abdullahi</v>
          </cell>
          <cell r="F50" t="str">
            <v>Gold</v>
          </cell>
          <cell r="G50">
            <v>320</v>
          </cell>
          <cell r="H50">
            <v>0</v>
          </cell>
          <cell r="I50">
            <v>0</v>
          </cell>
          <cell r="J50">
            <v>3</v>
          </cell>
          <cell r="K50">
            <v>7</v>
          </cell>
          <cell r="L50">
            <v>0</v>
          </cell>
          <cell r="M50">
            <v>3</v>
          </cell>
          <cell r="N50">
            <v>44</v>
          </cell>
          <cell r="O50">
            <v>15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208</v>
          </cell>
          <cell r="W50">
            <v>0</v>
          </cell>
          <cell r="X50">
            <v>40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41187000</v>
          </cell>
        </row>
        <row r="51">
          <cell r="D51" t="str">
            <v>MBC003463</v>
          </cell>
          <cell r="E51" t="str">
            <v>IDRIS IBRAHIM</v>
          </cell>
          <cell r="F51" t="str">
            <v>Gold</v>
          </cell>
          <cell r="G51">
            <v>396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6</v>
          </cell>
          <cell r="N51">
            <v>20</v>
          </cell>
          <cell r="O51">
            <v>35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135</v>
          </cell>
          <cell r="W51">
            <v>0</v>
          </cell>
          <cell r="X51">
            <v>200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63855000</v>
          </cell>
        </row>
        <row r="52">
          <cell r="D52" t="str">
            <v>WCJA000065</v>
          </cell>
          <cell r="E52" t="str">
            <v>Lawan K waba</v>
          </cell>
          <cell r="F52" t="str">
            <v>Gold</v>
          </cell>
          <cell r="G52">
            <v>396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6</v>
          </cell>
          <cell r="N52">
            <v>20</v>
          </cell>
          <cell r="O52">
            <v>35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135</v>
          </cell>
          <cell r="W52">
            <v>0</v>
          </cell>
          <cell r="X52">
            <v>200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63855000</v>
          </cell>
        </row>
        <row r="53">
          <cell r="D53" t="str">
            <v>WCJA000066</v>
          </cell>
          <cell r="E53" t="str">
            <v>Audu Vwa</v>
          </cell>
          <cell r="F53" t="str">
            <v>Platinum</v>
          </cell>
          <cell r="G53">
            <v>600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20</v>
          </cell>
          <cell r="N53">
            <v>20</v>
          </cell>
          <cell r="O53">
            <v>60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200</v>
          </cell>
          <cell r="W53">
            <v>50</v>
          </cell>
          <cell r="X53">
            <v>250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94450000</v>
          </cell>
        </row>
        <row r="54">
          <cell r="D54" t="str">
            <v>WCJA000151</v>
          </cell>
          <cell r="E54" t="str">
            <v>MUSA YUSUF</v>
          </cell>
          <cell r="F54" t="str">
            <v>Gold</v>
          </cell>
          <cell r="G54">
            <v>460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20</v>
          </cell>
          <cell r="N54">
            <v>10</v>
          </cell>
          <cell r="O54">
            <v>40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150</v>
          </cell>
          <cell r="W54">
            <v>20</v>
          </cell>
          <cell r="X54">
            <v>220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74220000</v>
          </cell>
        </row>
        <row r="55">
          <cell r="D55" t="str">
            <v>WCJA000188</v>
          </cell>
          <cell r="E55" t="str">
            <v>Nadabo Musa</v>
          </cell>
          <cell r="F55" t="str">
            <v>Gold</v>
          </cell>
          <cell r="G55">
            <v>396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6</v>
          </cell>
          <cell r="N55">
            <v>20</v>
          </cell>
          <cell r="O55">
            <v>35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135</v>
          </cell>
          <cell r="W55">
            <v>0</v>
          </cell>
          <cell r="X55">
            <v>200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63855000</v>
          </cell>
        </row>
        <row r="56">
          <cell r="D56" t="str">
            <v>MBC001921</v>
          </cell>
          <cell r="E56" t="str">
            <v>Sunny Holdings Nig</v>
          </cell>
          <cell r="F56" t="str">
            <v>Gold</v>
          </cell>
          <cell r="G56">
            <v>330</v>
          </cell>
          <cell r="H56">
            <v>0</v>
          </cell>
          <cell r="I56">
            <v>0</v>
          </cell>
          <cell r="J56">
            <v>20</v>
          </cell>
          <cell r="K56">
            <v>20</v>
          </cell>
          <cell r="L56">
            <v>0</v>
          </cell>
          <cell r="M56">
            <v>10</v>
          </cell>
          <cell r="N56">
            <v>30</v>
          </cell>
          <cell r="O56">
            <v>100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150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53270000</v>
          </cell>
        </row>
        <row r="57">
          <cell r="D57" t="str">
            <v>MBC002177</v>
          </cell>
          <cell r="E57" t="str">
            <v>Eze Onyebuchi</v>
          </cell>
          <cell r="F57" t="str">
            <v>Gold</v>
          </cell>
          <cell r="G57">
            <v>360</v>
          </cell>
          <cell r="H57">
            <v>0</v>
          </cell>
          <cell r="I57">
            <v>0</v>
          </cell>
          <cell r="J57">
            <v>20</v>
          </cell>
          <cell r="K57">
            <v>20</v>
          </cell>
          <cell r="L57">
            <v>0</v>
          </cell>
          <cell r="M57">
            <v>10</v>
          </cell>
          <cell r="N57">
            <v>30</v>
          </cell>
          <cell r="O57">
            <v>100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150</v>
          </cell>
          <cell r="W57">
            <v>0</v>
          </cell>
          <cell r="X57">
            <v>30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58910000</v>
          </cell>
        </row>
        <row r="58">
          <cell r="D58" t="str">
            <v>MBC003337</v>
          </cell>
          <cell r="E58" t="str">
            <v>A U Supreme Ventures</v>
          </cell>
          <cell r="F58" t="str">
            <v>Gold</v>
          </cell>
          <cell r="G58">
            <v>310</v>
          </cell>
          <cell r="H58">
            <v>0</v>
          </cell>
          <cell r="I58">
            <v>0</v>
          </cell>
          <cell r="J58">
            <v>20</v>
          </cell>
          <cell r="K58">
            <v>20</v>
          </cell>
          <cell r="L58">
            <v>0</v>
          </cell>
          <cell r="M58">
            <v>10</v>
          </cell>
          <cell r="N58">
            <v>30</v>
          </cell>
          <cell r="O58">
            <v>50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150</v>
          </cell>
          <cell r="W58">
            <v>0</v>
          </cell>
          <cell r="X58">
            <v>30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47410000</v>
          </cell>
        </row>
        <row r="59">
          <cell r="D59" t="str">
            <v>WCJA000334</v>
          </cell>
          <cell r="E59" t="str">
            <v>Simon Ossai</v>
          </cell>
          <cell r="F59" t="str">
            <v>Gold</v>
          </cell>
          <cell r="G59">
            <v>340</v>
          </cell>
          <cell r="H59">
            <v>0</v>
          </cell>
          <cell r="I59">
            <v>0</v>
          </cell>
          <cell r="J59">
            <v>20</v>
          </cell>
          <cell r="K59">
            <v>20</v>
          </cell>
          <cell r="L59">
            <v>0</v>
          </cell>
          <cell r="M59">
            <v>10</v>
          </cell>
          <cell r="N59">
            <v>30</v>
          </cell>
          <cell r="O59">
            <v>50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150</v>
          </cell>
          <cell r="W59">
            <v>0</v>
          </cell>
          <cell r="X59">
            <v>60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53050000</v>
          </cell>
        </row>
        <row r="60">
          <cell r="D60" t="str">
            <v>WCJA000082</v>
          </cell>
          <cell r="E60" t="str">
            <v>Abdullahi Sani</v>
          </cell>
          <cell r="F60" t="str">
            <v>Gold</v>
          </cell>
          <cell r="G60">
            <v>384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6</v>
          </cell>
          <cell r="N60">
            <v>20</v>
          </cell>
          <cell r="O60">
            <v>35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35</v>
          </cell>
          <cell r="W60">
            <v>0</v>
          </cell>
          <cell r="X60">
            <v>188</v>
          </cell>
          <cell r="Y60">
            <v>100</v>
          </cell>
          <cell r="Z60">
            <v>0</v>
          </cell>
          <cell r="AA60">
            <v>0</v>
          </cell>
          <cell r="AB60">
            <v>0</v>
          </cell>
          <cell r="AC60">
            <v>61599000</v>
          </cell>
        </row>
        <row r="61">
          <cell r="D61" t="str">
            <v>WCJA000103</v>
          </cell>
          <cell r="E61" t="str">
            <v>Sunday Edeh</v>
          </cell>
          <cell r="F61" t="str">
            <v>Platinum</v>
          </cell>
          <cell r="G61">
            <v>720</v>
          </cell>
          <cell r="H61">
            <v>0</v>
          </cell>
          <cell r="I61">
            <v>0</v>
          </cell>
          <cell r="J61">
            <v>50</v>
          </cell>
          <cell r="K61">
            <v>20</v>
          </cell>
          <cell r="L61">
            <v>0</v>
          </cell>
          <cell r="M61">
            <v>10</v>
          </cell>
          <cell r="N61">
            <v>40</v>
          </cell>
          <cell r="O61">
            <v>100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400</v>
          </cell>
          <cell r="W61">
            <v>0</v>
          </cell>
          <cell r="X61">
            <v>100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109100000</v>
          </cell>
        </row>
        <row r="62">
          <cell r="D62" t="str">
            <v>SWC3120</v>
          </cell>
          <cell r="E62" t="str">
            <v>Aliyu Aishat</v>
          </cell>
          <cell r="F62" t="str">
            <v>Gold</v>
          </cell>
          <cell r="G62">
            <v>290</v>
          </cell>
          <cell r="H62">
            <v>0</v>
          </cell>
          <cell r="I62">
            <v>0</v>
          </cell>
          <cell r="J62">
            <v>50</v>
          </cell>
          <cell r="K62">
            <v>40</v>
          </cell>
          <cell r="L62">
            <v>0</v>
          </cell>
          <cell r="M62">
            <v>10</v>
          </cell>
          <cell r="N62">
            <v>0</v>
          </cell>
          <cell r="O62">
            <v>90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50</v>
          </cell>
          <cell r="W62">
            <v>0</v>
          </cell>
          <cell r="X62">
            <v>50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57550000</v>
          </cell>
        </row>
        <row r="63">
          <cell r="D63" t="str">
            <v>WCJA000031</v>
          </cell>
          <cell r="E63" t="str">
            <v>Ramatu Fatamoye</v>
          </cell>
          <cell r="F63" t="str">
            <v>Gold</v>
          </cell>
          <cell r="G63">
            <v>390</v>
          </cell>
          <cell r="H63">
            <v>0</v>
          </cell>
          <cell r="I63">
            <v>0</v>
          </cell>
          <cell r="J63">
            <v>20</v>
          </cell>
          <cell r="K63">
            <v>30</v>
          </cell>
          <cell r="L63">
            <v>0</v>
          </cell>
          <cell r="M63">
            <v>20</v>
          </cell>
          <cell r="N63">
            <v>20</v>
          </cell>
          <cell r="O63">
            <v>50</v>
          </cell>
          <cell r="P63">
            <v>10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120</v>
          </cell>
          <cell r="W63">
            <v>0</v>
          </cell>
          <cell r="X63">
            <v>120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66100000</v>
          </cell>
        </row>
        <row r="64">
          <cell r="D64" t="str">
            <v>WCFA000183</v>
          </cell>
          <cell r="E64" t="str">
            <v>Majester Obendel</v>
          </cell>
          <cell r="F64" t="str">
            <v>Gold</v>
          </cell>
          <cell r="G64">
            <v>290</v>
          </cell>
          <cell r="H64">
            <v>0</v>
          </cell>
          <cell r="I64">
            <v>0</v>
          </cell>
          <cell r="J64">
            <v>50</v>
          </cell>
          <cell r="K64">
            <v>40</v>
          </cell>
          <cell r="L64">
            <v>0</v>
          </cell>
          <cell r="M64">
            <v>10</v>
          </cell>
          <cell r="N64">
            <v>0</v>
          </cell>
          <cell r="O64">
            <v>90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50</v>
          </cell>
          <cell r="W64">
            <v>0</v>
          </cell>
          <cell r="X64">
            <v>50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57550000</v>
          </cell>
        </row>
        <row r="65">
          <cell r="D65" t="str">
            <v>MBC001360</v>
          </cell>
          <cell r="E65" t="str">
            <v>Danyaya Mohd</v>
          </cell>
          <cell r="F65" t="str">
            <v>Gold</v>
          </cell>
          <cell r="G65">
            <v>460</v>
          </cell>
          <cell r="H65">
            <v>0</v>
          </cell>
          <cell r="I65">
            <v>0</v>
          </cell>
          <cell r="J65">
            <v>100</v>
          </cell>
          <cell r="K65">
            <v>50</v>
          </cell>
          <cell r="L65">
            <v>0</v>
          </cell>
          <cell r="M65">
            <v>10</v>
          </cell>
          <cell r="N65">
            <v>0</v>
          </cell>
          <cell r="O65">
            <v>100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100</v>
          </cell>
          <cell r="W65">
            <v>0</v>
          </cell>
          <cell r="X65">
            <v>100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89700000</v>
          </cell>
        </row>
        <row r="66">
          <cell r="D66" t="str">
            <v>WCJA000018</v>
          </cell>
          <cell r="E66" t="str">
            <v>Zakaria SO</v>
          </cell>
          <cell r="F66" t="str">
            <v>Gold</v>
          </cell>
          <cell r="G66">
            <v>330</v>
          </cell>
          <cell r="H66">
            <v>0</v>
          </cell>
          <cell r="I66">
            <v>0</v>
          </cell>
          <cell r="J66">
            <v>30</v>
          </cell>
          <cell r="K66">
            <v>30</v>
          </cell>
          <cell r="L66">
            <v>0</v>
          </cell>
          <cell r="M66">
            <v>20</v>
          </cell>
          <cell r="N66">
            <v>0</v>
          </cell>
          <cell r="O66">
            <v>50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100</v>
          </cell>
          <cell r="W66">
            <v>0</v>
          </cell>
          <cell r="X66">
            <v>100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58180000</v>
          </cell>
        </row>
        <row r="67">
          <cell r="D67" t="str">
            <v>WCJA000019</v>
          </cell>
          <cell r="E67" t="str">
            <v>Abubakar Chairman</v>
          </cell>
          <cell r="F67" t="str">
            <v>Platinum</v>
          </cell>
          <cell r="G67">
            <v>700</v>
          </cell>
          <cell r="H67">
            <v>0</v>
          </cell>
          <cell r="I67">
            <v>0</v>
          </cell>
          <cell r="J67">
            <v>100</v>
          </cell>
          <cell r="K67">
            <v>50</v>
          </cell>
          <cell r="L67">
            <v>0</v>
          </cell>
          <cell r="M67">
            <v>50</v>
          </cell>
          <cell r="N67">
            <v>0</v>
          </cell>
          <cell r="O67">
            <v>100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200</v>
          </cell>
          <cell r="W67">
            <v>0</v>
          </cell>
          <cell r="X67">
            <v>200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126800000</v>
          </cell>
        </row>
        <row r="68">
          <cell r="D68" t="str">
            <v>WCJA000025</v>
          </cell>
          <cell r="E68" t="str">
            <v>Lawan Danfari</v>
          </cell>
          <cell r="F68" t="str">
            <v>Gold</v>
          </cell>
          <cell r="G68">
            <v>310</v>
          </cell>
          <cell r="H68">
            <v>0</v>
          </cell>
          <cell r="I68">
            <v>0</v>
          </cell>
          <cell r="J68">
            <v>30</v>
          </cell>
          <cell r="K68">
            <v>20</v>
          </cell>
          <cell r="L68">
            <v>0</v>
          </cell>
          <cell r="M68">
            <v>10</v>
          </cell>
          <cell r="N68">
            <v>0</v>
          </cell>
          <cell r="O68">
            <v>100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50</v>
          </cell>
          <cell r="W68">
            <v>0</v>
          </cell>
          <cell r="X68">
            <v>100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60530000</v>
          </cell>
        </row>
        <row r="69">
          <cell r="D69" t="str">
            <v>MBC001620</v>
          </cell>
          <cell r="E69" t="str">
            <v>Sambo Abdullahi</v>
          </cell>
          <cell r="F69" t="str">
            <v>Gold</v>
          </cell>
          <cell r="G69">
            <v>290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6</v>
          </cell>
          <cell r="N69">
            <v>0</v>
          </cell>
          <cell r="O69">
            <v>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28</v>
          </cell>
          <cell r="W69">
            <v>0</v>
          </cell>
          <cell r="X69">
            <v>100</v>
          </cell>
          <cell r="Y69">
            <v>131</v>
          </cell>
          <cell r="Z69">
            <v>0</v>
          </cell>
          <cell r="AA69">
            <v>0</v>
          </cell>
          <cell r="AB69">
            <v>0</v>
          </cell>
          <cell r="AC69">
            <v>43567000</v>
          </cell>
        </row>
        <row r="70">
          <cell r="D70" t="str">
            <v>WCJA000072</v>
          </cell>
          <cell r="E70" t="str">
            <v>Abubakar DanHalima</v>
          </cell>
          <cell r="F70" t="str">
            <v>Gold</v>
          </cell>
          <cell r="G70">
            <v>426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6</v>
          </cell>
          <cell r="N70">
            <v>120</v>
          </cell>
          <cell r="O70">
            <v>55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45</v>
          </cell>
          <cell r="W70">
            <v>0</v>
          </cell>
          <cell r="X70">
            <v>200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67785000</v>
          </cell>
        </row>
        <row r="71">
          <cell r="D71" t="str">
            <v>WCJA000006</v>
          </cell>
          <cell r="E71" t="str">
            <v>Keneth KC</v>
          </cell>
          <cell r="F71" t="str">
            <v>Gold</v>
          </cell>
          <cell r="G71">
            <v>460</v>
          </cell>
          <cell r="H71">
            <v>0</v>
          </cell>
          <cell r="I71">
            <v>0</v>
          </cell>
          <cell r="J71">
            <v>140</v>
          </cell>
          <cell r="K71">
            <v>50</v>
          </cell>
          <cell r="L71">
            <v>0</v>
          </cell>
          <cell r="M71">
            <v>20</v>
          </cell>
          <cell r="N71">
            <v>0</v>
          </cell>
          <cell r="O71">
            <v>100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50</v>
          </cell>
          <cell r="W71">
            <v>0</v>
          </cell>
          <cell r="X71">
            <v>100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96240000</v>
          </cell>
        </row>
        <row r="72">
          <cell r="D72" t="str">
            <v>WCJA000106</v>
          </cell>
          <cell r="E72" t="str">
            <v>Mohammed Sule</v>
          </cell>
          <cell r="F72" t="str">
            <v>Gold</v>
          </cell>
          <cell r="G72">
            <v>300</v>
          </cell>
          <cell r="H72">
            <v>0</v>
          </cell>
          <cell r="I72">
            <v>0</v>
          </cell>
          <cell r="J72">
            <v>30</v>
          </cell>
          <cell r="K72">
            <v>20</v>
          </cell>
          <cell r="L72">
            <v>0</v>
          </cell>
          <cell r="M72">
            <v>10</v>
          </cell>
          <cell r="N72">
            <v>0</v>
          </cell>
          <cell r="O72">
            <v>50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100</v>
          </cell>
          <cell r="W72">
            <v>40</v>
          </cell>
          <cell r="X72">
            <v>50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49800000</v>
          </cell>
        </row>
        <row r="73">
          <cell r="D73" t="str">
            <v>WCPA000024</v>
          </cell>
          <cell r="E73" t="str">
            <v>JONAS DIKE</v>
          </cell>
          <cell r="F73" t="str">
            <v>Gold</v>
          </cell>
          <cell r="G73">
            <v>489</v>
          </cell>
          <cell r="H73">
            <v>0</v>
          </cell>
          <cell r="I73">
            <v>0</v>
          </cell>
          <cell r="J73">
            <v>2</v>
          </cell>
          <cell r="K73">
            <v>0</v>
          </cell>
          <cell r="L73">
            <v>40</v>
          </cell>
          <cell r="M73">
            <v>5</v>
          </cell>
          <cell r="N73">
            <v>0</v>
          </cell>
          <cell r="O73">
            <v>192</v>
          </cell>
          <cell r="P73">
            <v>5</v>
          </cell>
          <cell r="Q73">
            <v>100</v>
          </cell>
          <cell r="R73">
            <v>0</v>
          </cell>
          <cell r="S73">
            <v>0</v>
          </cell>
          <cell r="T73">
            <v>0</v>
          </cell>
          <cell r="U73">
            <v>5</v>
          </cell>
          <cell r="V73">
            <v>10</v>
          </cell>
          <cell r="W73">
            <v>10</v>
          </cell>
          <cell r="X73">
            <v>120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97804500</v>
          </cell>
        </row>
        <row r="74">
          <cell r="D74" t="str">
            <v>WCPA000025</v>
          </cell>
          <cell r="E74" t="str">
            <v>NZE C.N. OKONKWO</v>
          </cell>
          <cell r="F74" t="str">
            <v>Gold</v>
          </cell>
          <cell r="G74">
            <v>443</v>
          </cell>
          <cell r="H74">
            <v>0</v>
          </cell>
          <cell r="I74">
            <v>0</v>
          </cell>
          <cell r="J74">
            <v>2</v>
          </cell>
          <cell r="K74">
            <v>0</v>
          </cell>
          <cell r="L74">
            <v>100</v>
          </cell>
          <cell r="M74">
            <v>5</v>
          </cell>
          <cell r="N74">
            <v>0</v>
          </cell>
          <cell r="O74">
            <v>120</v>
          </cell>
          <cell r="P74">
            <v>3</v>
          </cell>
          <cell r="Q74">
            <v>15</v>
          </cell>
          <cell r="R74">
            <v>0</v>
          </cell>
          <cell r="S74">
            <v>0</v>
          </cell>
          <cell r="T74">
            <v>0</v>
          </cell>
          <cell r="U74">
            <v>20</v>
          </cell>
          <cell r="V74">
            <v>10</v>
          </cell>
          <cell r="W74">
            <v>18</v>
          </cell>
          <cell r="X74">
            <v>150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83524000</v>
          </cell>
        </row>
        <row r="75">
          <cell r="D75" t="str">
            <v>SWC1252</v>
          </cell>
          <cell r="E75" t="str">
            <v>Ugochukwu Ezeja</v>
          </cell>
          <cell r="F75" t="str">
            <v>Platinum Plus</v>
          </cell>
          <cell r="G75">
            <v>1160</v>
          </cell>
          <cell r="H75">
            <v>0</v>
          </cell>
          <cell r="I75">
            <v>0</v>
          </cell>
          <cell r="J75">
            <v>380</v>
          </cell>
          <cell r="K75">
            <v>0</v>
          </cell>
          <cell r="L75">
            <v>10</v>
          </cell>
          <cell r="M75">
            <v>0</v>
          </cell>
          <cell r="N75">
            <v>60</v>
          </cell>
          <cell r="O75">
            <v>390</v>
          </cell>
          <cell r="P75">
            <v>90</v>
          </cell>
          <cell r="Q75">
            <v>0</v>
          </cell>
          <cell r="R75">
            <v>157</v>
          </cell>
          <cell r="S75">
            <v>0</v>
          </cell>
          <cell r="T75">
            <v>0</v>
          </cell>
          <cell r="U75">
            <v>0</v>
          </cell>
          <cell r="V75">
            <v>5</v>
          </cell>
          <cell r="W75">
            <v>20</v>
          </cell>
          <cell r="X75">
            <v>48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254277000</v>
          </cell>
        </row>
        <row r="76">
          <cell r="D76" t="str">
            <v>SWC1989</v>
          </cell>
          <cell r="E76" t="str">
            <v>Ufuanyaegbunam Okechukwu</v>
          </cell>
          <cell r="F76" t="str">
            <v>Gold</v>
          </cell>
          <cell r="G76">
            <v>341</v>
          </cell>
          <cell r="H76">
            <v>0</v>
          </cell>
          <cell r="I76">
            <v>0</v>
          </cell>
          <cell r="J76">
            <v>70</v>
          </cell>
          <cell r="K76">
            <v>0</v>
          </cell>
          <cell r="L76">
            <v>2</v>
          </cell>
          <cell r="M76">
            <v>0</v>
          </cell>
          <cell r="N76">
            <v>0</v>
          </cell>
          <cell r="O76">
            <v>153</v>
          </cell>
          <cell r="P76">
            <v>4</v>
          </cell>
          <cell r="Q76">
            <v>0</v>
          </cell>
          <cell r="R76">
            <v>30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20</v>
          </cell>
          <cell r="X76">
            <v>60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72940000</v>
          </cell>
        </row>
        <row r="77">
          <cell r="D77" t="str">
            <v>SWC2391</v>
          </cell>
          <cell r="E77" t="str">
            <v>Clement Igbafa Afekhena</v>
          </cell>
          <cell r="F77" t="str">
            <v>Platinum</v>
          </cell>
          <cell r="G77">
            <v>635</v>
          </cell>
          <cell r="H77">
            <v>0</v>
          </cell>
          <cell r="I77">
            <v>0</v>
          </cell>
          <cell r="J77">
            <v>190</v>
          </cell>
          <cell r="K77">
            <v>0</v>
          </cell>
          <cell r="L77">
            <v>0</v>
          </cell>
          <cell r="M77">
            <v>0</v>
          </cell>
          <cell r="N77">
            <v>1</v>
          </cell>
          <cell r="O77">
            <v>281</v>
          </cell>
          <cell r="P77">
            <v>1</v>
          </cell>
          <cell r="Q77">
            <v>0</v>
          </cell>
          <cell r="R77">
            <v>50</v>
          </cell>
          <cell r="S77">
            <v>0</v>
          </cell>
          <cell r="T77">
            <v>0</v>
          </cell>
          <cell r="U77">
            <v>0</v>
          </cell>
          <cell r="V77">
            <v>2</v>
          </cell>
          <cell r="W77">
            <v>50</v>
          </cell>
          <cell r="X77">
            <v>60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138932000</v>
          </cell>
        </row>
        <row r="78">
          <cell r="D78" t="str">
            <v>WCFA000139</v>
          </cell>
          <cell r="E78" t="str">
            <v>Damian Eziekwu</v>
          </cell>
          <cell r="F78" t="str">
            <v>Platinum Plus</v>
          </cell>
          <cell r="G78">
            <v>1160</v>
          </cell>
          <cell r="H78">
            <v>0</v>
          </cell>
          <cell r="I78">
            <v>0</v>
          </cell>
          <cell r="J78">
            <v>445</v>
          </cell>
          <cell r="K78">
            <v>0</v>
          </cell>
          <cell r="L78">
            <v>0</v>
          </cell>
          <cell r="M78">
            <v>0</v>
          </cell>
          <cell r="N78">
            <v>1</v>
          </cell>
          <cell r="O78">
            <v>300</v>
          </cell>
          <cell r="P78">
            <v>156</v>
          </cell>
          <cell r="Q78">
            <v>0</v>
          </cell>
          <cell r="R78">
            <v>110</v>
          </cell>
          <cell r="S78">
            <v>0</v>
          </cell>
          <cell r="T78">
            <v>0</v>
          </cell>
          <cell r="U78">
            <v>0</v>
          </cell>
          <cell r="V78">
            <v>5</v>
          </cell>
          <cell r="W78">
            <v>103</v>
          </cell>
          <cell r="X78">
            <v>40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261520000</v>
          </cell>
        </row>
        <row r="79">
          <cell r="D79" t="str">
            <v>WCFA000143</v>
          </cell>
          <cell r="E79" t="str">
            <v>James Okochi</v>
          </cell>
          <cell r="F79" t="str">
            <v>Platinum Plus</v>
          </cell>
          <cell r="G79">
            <v>1160</v>
          </cell>
          <cell r="H79">
            <v>0</v>
          </cell>
          <cell r="I79">
            <v>0</v>
          </cell>
          <cell r="J79">
            <v>500</v>
          </cell>
          <cell r="K79">
            <v>0</v>
          </cell>
          <cell r="L79">
            <v>10</v>
          </cell>
          <cell r="M79">
            <v>0</v>
          </cell>
          <cell r="N79">
            <v>1</v>
          </cell>
          <cell r="O79">
            <v>403</v>
          </cell>
          <cell r="P79">
            <v>6</v>
          </cell>
          <cell r="Q79">
            <v>0</v>
          </cell>
          <cell r="R79">
            <v>75</v>
          </cell>
          <cell r="S79">
            <v>0</v>
          </cell>
          <cell r="T79">
            <v>0</v>
          </cell>
          <cell r="U79">
            <v>0</v>
          </cell>
          <cell r="V79">
            <v>5</v>
          </cell>
          <cell r="W79">
            <v>100</v>
          </cell>
          <cell r="X79">
            <v>60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260546000</v>
          </cell>
        </row>
        <row r="80">
          <cell r="D80" t="str">
            <v>PWCPP000460</v>
          </cell>
          <cell r="E80" t="str">
            <v>Too Good</v>
          </cell>
          <cell r="F80" t="str">
            <v>Gold</v>
          </cell>
          <cell r="G80">
            <v>374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60</v>
          </cell>
          <cell r="M80">
            <v>5</v>
          </cell>
          <cell r="N80">
            <v>0</v>
          </cell>
          <cell r="O80">
            <v>115</v>
          </cell>
          <cell r="P80">
            <v>0</v>
          </cell>
          <cell r="Q80">
            <v>30</v>
          </cell>
          <cell r="R80">
            <v>0</v>
          </cell>
          <cell r="S80">
            <v>0</v>
          </cell>
          <cell r="T80">
            <v>0</v>
          </cell>
          <cell r="U80">
            <v>10</v>
          </cell>
          <cell r="V80">
            <v>7</v>
          </cell>
          <cell r="W80">
            <v>22</v>
          </cell>
          <cell r="X80">
            <v>125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71227000</v>
          </cell>
        </row>
        <row r="81">
          <cell r="D81" t="str">
            <v>WCPA000068</v>
          </cell>
          <cell r="E81" t="str">
            <v>AMAECHI ENEH</v>
          </cell>
          <cell r="F81" t="str">
            <v>Gold</v>
          </cell>
          <cell r="G81">
            <v>320</v>
          </cell>
          <cell r="H81">
            <v>0</v>
          </cell>
          <cell r="I81">
            <v>0</v>
          </cell>
          <cell r="J81">
            <v>3</v>
          </cell>
          <cell r="K81">
            <v>0</v>
          </cell>
          <cell r="L81">
            <v>3</v>
          </cell>
          <cell r="M81">
            <v>0</v>
          </cell>
          <cell r="N81">
            <v>0</v>
          </cell>
          <cell r="O81">
            <v>182</v>
          </cell>
          <cell r="P81">
            <v>47</v>
          </cell>
          <cell r="Q81">
            <v>2</v>
          </cell>
          <cell r="R81">
            <v>0</v>
          </cell>
          <cell r="S81">
            <v>0</v>
          </cell>
          <cell r="T81">
            <v>0</v>
          </cell>
          <cell r="U81">
            <v>3</v>
          </cell>
          <cell r="V81">
            <v>10</v>
          </cell>
          <cell r="W81">
            <v>10</v>
          </cell>
          <cell r="X81">
            <v>60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69660500</v>
          </cell>
        </row>
        <row r="82">
          <cell r="D82" t="str">
            <v>SEC002091</v>
          </cell>
          <cell r="E82" t="str">
            <v>EMEKA EZE</v>
          </cell>
          <cell r="F82" t="str">
            <v>Platinum Plus</v>
          </cell>
          <cell r="G82">
            <v>1156</v>
          </cell>
          <cell r="H82">
            <v>0</v>
          </cell>
          <cell r="I82">
            <v>0</v>
          </cell>
          <cell r="J82">
            <v>2</v>
          </cell>
          <cell r="K82">
            <v>8</v>
          </cell>
          <cell r="L82">
            <v>5</v>
          </cell>
          <cell r="M82">
            <v>1</v>
          </cell>
          <cell r="N82">
            <v>270</v>
          </cell>
          <cell r="O82">
            <v>36</v>
          </cell>
          <cell r="P82">
            <v>0</v>
          </cell>
          <cell r="Q82">
            <v>30</v>
          </cell>
          <cell r="R82">
            <v>0</v>
          </cell>
          <cell r="S82">
            <v>0</v>
          </cell>
          <cell r="T82">
            <v>0</v>
          </cell>
          <cell r="U82">
            <v>4</v>
          </cell>
          <cell r="V82">
            <v>50</v>
          </cell>
          <cell r="W82">
            <v>350</v>
          </cell>
          <cell r="X82">
            <v>400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163300000</v>
          </cell>
        </row>
        <row r="83">
          <cell r="D83" t="str">
            <v>WCPA000171</v>
          </cell>
          <cell r="E83" t="str">
            <v>Obinna Obi</v>
          </cell>
          <cell r="F83" t="str">
            <v>Gold</v>
          </cell>
          <cell r="G83">
            <v>305</v>
          </cell>
          <cell r="H83">
            <v>0</v>
          </cell>
          <cell r="I83">
            <v>0</v>
          </cell>
          <cell r="J83">
            <v>2</v>
          </cell>
          <cell r="K83">
            <v>4</v>
          </cell>
          <cell r="L83">
            <v>1</v>
          </cell>
          <cell r="M83">
            <v>1</v>
          </cell>
          <cell r="N83">
            <v>30</v>
          </cell>
          <cell r="O83">
            <v>9</v>
          </cell>
          <cell r="P83">
            <v>0</v>
          </cell>
          <cell r="Q83">
            <v>6</v>
          </cell>
          <cell r="R83">
            <v>0</v>
          </cell>
          <cell r="S83">
            <v>0</v>
          </cell>
          <cell r="T83">
            <v>0</v>
          </cell>
          <cell r="U83">
            <v>2</v>
          </cell>
          <cell r="V83">
            <v>5</v>
          </cell>
          <cell r="W83">
            <v>145</v>
          </cell>
          <cell r="X83">
            <v>100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43567000</v>
          </cell>
        </row>
        <row r="84">
          <cell r="D84" t="str">
            <v>WCPA000172</v>
          </cell>
          <cell r="E84" t="str">
            <v>Umar Bobo</v>
          </cell>
          <cell r="F84" t="str">
            <v>Platinum Plus</v>
          </cell>
          <cell r="G84">
            <v>1271</v>
          </cell>
          <cell r="H84">
            <v>0</v>
          </cell>
          <cell r="I84">
            <v>0</v>
          </cell>
          <cell r="J84">
            <v>1</v>
          </cell>
          <cell r="K84">
            <v>0</v>
          </cell>
          <cell r="L84">
            <v>5</v>
          </cell>
          <cell r="M84">
            <v>1</v>
          </cell>
          <cell r="N84">
            <v>300</v>
          </cell>
          <cell r="O84">
            <v>24</v>
          </cell>
          <cell r="P84">
            <v>0</v>
          </cell>
          <cell r="Q84">
            <v>30</v>
          </cell>
          <cell r="R84">
            <v>0</v>
          </cell>
          <cell r="S84">
            <v>0</v>
          </cell>
          <cell r="T84">
            <v>0</v>
          </cell>
          <cell r="U84">
            <v>10</v>
          </cell>
          <cell r="V84">
            <v>150</v>
          </cell>
          <cell r="W84">
            <v>250</v>
          </cell>
          <cell r="X84">
            <v>500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181156000</v>
          </cell>
        </row>
        <row r="85">
          <cell r="D85" t="str">
            <v>WCPA000159</v>
          </cell>
          <cell r="E85" t="str">
            <v>Alh Dahiru Baba</v>
          </cell>
          <cell r="F85" t="str">
            <v>Gold</v>
          </cell>
          <cell r="G85">
            <v>340</v>
          </cell>
          <cell r="H85">
            <v>0</v>
          </cell>
          <cell r="I85">
            <v>0</v>
          </cell>
          <cell r="J85">
            <v>2</v>
          </cell>
          <cell r="K85">
            <v>0</v>
          </cell>
          <cell r="L85">
            <v>3</v>
          </cell>
          <cell r="M85">
            <v>1</v>
          </cell>
          <cell r="N85">
            <v>3</v>
          </cell>
          <cell r="O85">
            <v>9</v>
          </cell>
          <cell r="P85">
            <v>0</v>
          </cell>
          <cell r="Q85">
            <v>5</v>
          </cell>
          <cell r="R85">
            <v>0</v>
          </cell>
          <cell r="S85">
            <v>0</v>
          </cell>
          <cell r="T85">
            <v>0</v>
          </cell>
          <cell r="U85">
            <v>5</v>
          </cell>
          <cell r="V85">
            <v>50</v>
          </cell>
          <cell r="W85">
            <v>162</v>
          </cell>
          <cell r="X85">
            <v>100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47785500</v>
          </cell>
        </row>
        <row r="86">
          <cell r="D86" t="str">
            <v>WCPA000161</v>
          </cell>
          <cell r="E86" t="str">
            <v>Alh Isah Musa</v>
          </cell>
          <cell r="F86" t="str">
            <v>Gold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</row>
        <row r="87">
          <cell r="D87" t="str">
            <v>WCPA000085</v>
          </cell>
          <cell r="E87" t="str">
            <v>DENNIS EYA</v>
          </cell>
          <cell r="F87" t="str">
            <v>Platinum</v>
          </cell>
          <cell r="G87">
            <v>1042</v>
          </cell>
          <cell r="H87">
            <v>0</v>
          </cell>
          <cell r="I87">
            <v>0</v>
          </cell>
          <cell r="J87">
            <v>40</v>
          </cell>
          <cell r="K87">
            <v>70</v>
          </cell>
          <cell r="L87">
            <v>6</v>
          </cell>
          <cell r="M87">
            <v>0</v>
          </cell>
          <cell r="N87">
            <v>220</v>
          </cell>
          <cell r="O87">
            <v>150</v>
          </cell>
          <cell r="P87">
            <v>83</v>
          </cell>
          <cell r="Q87">
            <v>3</v>
          </cell>
          <cell r="R87">
            <v>10</v>
          </cell>
          <cell r="S87">
            <v>0</v>
          </cell>
          <cell r="T87">
            <v>0</v>
          </cell>
          <cell r="U87">
            <v>20</v>
          </cell>
          <cell r="V87">
            <v>30</v>
          </cell>
          <cell r="W87">
            <v>150</v>
          </cell>
          <cell r="X87">
            <v>260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174111000</v>
          </cell>
        </row>
        <row r="88">
          <cell r="D88" t="str">
            <v>PWCPP000344</v>
          </cell>
          <cell r="E88" t="str">
            <v>O C C</v>
          </cell>
          <cell r="F88" t="str">
            <v>Platinum</v>
          </cell>
          <cell r="G88">
            <v>971</v>
          </cell>
          <cell r="H88">
            <v>0</v>
          </cell>
          <cell r="I88">
            <v>0</v>
          </cell>
          <cell r="J88">
            <v>30</v>
          </cell>
          <cell r="K88">
            <v>10</v>
          </cell>
          <cell r="L88">
            <v>9</v>
          </cell>
          <cell r="M88">
            <v>0</v>
          </cell>
          <cell r="N88">
            <v>0</v>
          </cell>
          <cell r="O88">
            <v>550</v>
          </cell>
          <cell r="P88">
            <v>50</v>
          </cell>
          <cell r="Q88">
            <v>10</v>
          </cell>
          <cell r="R88">
            <v>5</v>
          </cell>
          <cell r="S88">
            <v>0</v>
          </cell>
          <cell r="T88">
            <v>0</v>
          </cell>
          <cell r="U88">
            <v>2</v>
          </cell>
          <cell r="V88">
            <v>5</v>
          </cell>
          <cell r="W88">
            <v>50</v>
          </cell>
          <cell r="X88">
            <v>250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206709000</v>
          </cell>
        </row>
        <row r="89">
          <cell r="D89" t="str">
            <v>SEC003370</v>
          </cell>
          <cell r="E89" t="str">
            <v>Alaeze Godwin</v>
          </cell>
          <cell r="F89" t="str">
            <v>Gold</v>
          </cell>
          <cell r="G89">
            <v>373</v>
          </cell>
          <cell r="H89">
            <v>0</v>
          </cell>
          <cell r="I89">
            <v>0</v>
          </cell>
          <cell r="J89">
            <v>11</v>
          </cell>
          <cell r="K89">
            <v>2</v>
          </cell>
          <cell r="L89">
            <v>2</v>
          </cell>
          <cell r="M89">
            <v>0</v>
          </cell>
          <cell r="N89">
            <v>0</v>
          </cell>
          <cell r="O89">
            <v>190</v>
          </cell>
          <cell r="P89">
            <v>30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  <cell r="U89">
            <v>2</v>
          </cell>
          <cell r="V89">
            <v>3</v>
          </cell>
          <cell r="W89">
            <v>31</v>
          </cell>
          <cell r="X89">
            <v>100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78324000</v>
          </cell>
        </row>
        <row r="90">
          <cell r="D90" t="str">
            <v>WCPA000101</v>
          </cell>
          <cell r="E90" t="str">
            <v>CHIDI EKE</v>
          </cell>
          <cell r="F90" t="str">
            <v>Platinum</v>
          </cell>
          <cell r="G90">
            <v>741</v>
          </cell>
          <cell r="H90">
            <v>0</v>
          </cell>
          <cell r="I90">
            <v>0</v>
          </cell>
          <cell r="J90">
            <v>50</v>
          </cell>
          <cell r="K90">
            <v>5</v>
          </cell>
          <cell r="L90">
            <v>6</v>
          </cell>
          <cell r="M90">
            <v>0</v>
          </cell>
          <cell r="N90">
            <v>0</v>
          </cell>
          <cell r="O90">
            <v>430</v>
          </cell>
          <cell r="P90">
            <v>70</v>
          </cell>
          <cell r="Q90">
            <v>10</v>
          </cell>
          <cell r="R90">
            <v>5</v>
          </cell>
          <cell r="S90">
            <v>0</v>
          </cell>
          <cell r="T90">
            <v>0</v>
          </cell>
          <cell r="U90">
            <v>5</v>
          </cell>
          <cell r="V90">
            <v>5</v>
          </cell>
          <cell r="W90">
            <v>35</v>
          </cell>
          <cell r="X90">
            <v>120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162327500</v>
          </cell>
        </row>
        <row r="91">
          <cell r="D91" t="str">
            <v>WCPA000104</v>
          </cell>
          <cell r="E91" t="str">
            <v>MENSU BOSS</v>
          </cell>
          <cell r="F91" t="str">
            <v>Platinum Plus</v>
          </cell>
          <cell r="G91">
            <v>1475</v>
          </cell>
          <cell r="H91">
            <v>0</v>
          </cell>
          <cell r="I91">
            <v>0</v>
          </cell>
          <cell r="J91">
            <v>100</v>
          </cell>
          <cell r="K91">
            <v>5</v>
          </cell>
          <cell r="L91">
            <v>10</v>
          </cell>
          <cell r="M91">
            <v>0</v>
          </cell>
          <cell r="N91">
            <v>0</v>
          </cell>
          <cell r="O91">
            <v>900</v>
          </cell>
          <cell r="P91">
            <v>110</v>
          </cell>
          <cell r="Q91">
            <v>10</v>
          </cell>
          <cell r="R91">
            <v>20</v>
          </cell>
          <cell r="S91">
            <v>0</v>
          </cell>
          <cell r="T91">
            <v>0</v>
          </cell>
          <cell r="U91">
            <v>5</v>
          </cell>
          <cell r="V91">
            <v>10</v>
          </cell>
          <cell r="W91">
            <v>55</v>
          </cell>
          <cell r="X91">
            <v>250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324042500</v>
          </cell>
        </row>
        <row r="92">
          <cell r="D92" t="str">
            <v>WCPA000111</v>
          </cell>
          <cell r="E92" t="str">
            <v>PHILIP NWEKE</v>
          </cell>
          <cell r="F92" t="str">
            <v>Platinum</v>
          </cell>
          <cell r="G92">
            <v>688</v>
          </cell>
          <cell r="H92">
            <v>0</v>
          </cell>
          <cell r="I92">
            <v>0</v>
          </cell>
          <cell r="J92">
            <v>40</v>
          </cell>
          <cell r="K92">
            <v>10</v>
          </cell>
          <cell r="L92">
            <v>4</v>
          </cell>
          <cell r="M92">
            <v>0</v>
          </cell>
          <cell r="N92">
            <v>0</v>
          </cell>
          <cell r="O92">
            <v>280</v>
          </cell>
          <cell r="P92">
            <v>100</v>
          </cell>
          <cell r="Q92">
            <v>10</v>
          </cell>
          <cell r="R92">
            <v>8</v>
          </cell>
          <cell r="S92">
            <v>0</v>
          </cell>
          <cell r="T92">
            <v>0</v>
          </cell>
          <cell r="U92">
            <v>6</v>
          </cell>
          <cell r="V92">
            <v>5</v>
          </cell>
          <cell r="W92">
            <v>25</v>
          </cell>
          <cell r="X92">
            <v>200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148019000</v>
          </cell>
        </row>
        <row r="93">
          <cell r="D93" t="str">
            <v>WCPA000061</v>
          </cell>
          <cell r="E93" t="str">
            <v>NDUBUISI ARIRIAHU</v>
          </cell>
          <cell r="F93" t="str">
            <v>Platinum</v>
          </cell>
          <cell r="G93">
            <v>585</v>
          </cell>
          <cell r="H93">
            <v>0</v>
          </cell>
          <cell r="I93">
            <v>0</v>
          </cell>
          <cell r="J93">
            <v>6</v>
          </cell>
          <cell r="K93">
            <v>1</v>
          </cell>
          <cell r="L93">
            <v>2</v>
          </cell>
          <cell r="M93">
            <v>0</v>
          </cell>
          <cell r="N93">
            <v>0</v>
          </cell>
          <cell r="O93">
            <v>285</v>
          </cell>
          <cell r="P93">
            <v>4</v>
          </cell>
          <cell r="Q93">
            <v>2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3</v>
          </cell>
          <cell r="W93">
            <v>51</v>
          </cell>
          <cell r="X93">
            <v>231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118587000</v>
          </cell>
        </row>
        <row r="94">
          <cell r="D94" t="str">
            <v>WCPA000063</v>
          </cell>
          <cell r="E94" t="str">
            <v>CHIEF SIMON EMERE</v>
          </cell>
          <cell r="F94" t="str">
            <v>Platinum</v>
          </cell>
          <cell r="G94">
            <v>523</v>
          </cell>
          <cell r="H94">
            <v>0</v>
          </cell>
          <cell r="I94">
            <v>0</v>
          </cell>
          <cell r="J94">
            <v>6</v>
          </cell>
          <cell r="K94">
            <v>1</v>
          </cell>
          <cell r="L94">
            <v>2</v>
          </cell>
          <cell r="M94">
            <v>0</v>
          </cell>
          <cell r="N94">
            <v>0</v>
          </cell>
          <cell r="O94">
            <v>250</v>
          </cell>
          <cell r="P94">
            <v>4</v>
          </cell>
          <cell r="Q94">
            <v>2</v>
          </cell>
          <cell r="R94">
            <v>0</v>
          </cell>
          <cell r="S94">
            <v>0</v>
          </cell>
          <cell r="T94">
            <v>0</v>
          </cell>
          <cell r="U94">
            <v>1</v>
          </cell>
          <cell r="V94">
            <v>3</v>
          </cell>
          <cell r="W94">
            <v>52</v>
          </cell>
          <cell r="X94">
            <v>202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105302500</v>
          </cell>
        </row>
        <row r="95">
          <cell r="D95" t="str">
            <v>WCPA000001</v>
          </cell>
          <cell r="E95" t="str">
            <v>IBRAHIM ABDULAHI EDI</v>
          </cell>
          <cell r="F95" t="str">
            <v>Platinum</v>
          </cell>
          <cell r="G95">
            <v>656</v>
          </cell>
          <cell r="H95">
            <v>0</v>
          </cell>
          <cell r="I95">
            <v>0</v>
          </cell>
          <cell r="J95">
            <v>5</v>
          </cell>
          <cell r="K95">
            <v>0</v>
          </cell>
          <cell r="L95">
            <v>10</v>
          </cell>
          <cell r="M95">
            <v>3</v>
          </cell>
          <cell r="N95">
            <v>0</v>
          </cell>
          <cell r="O95">
            <v>250</v>
          </cell>
          <cell r="P95">
            <v>10</v>
          </cell>
          <cell r="Q95">
            <v>2</v>
          </cell>
          <cell r="R95">
            <v>0</v>
          </cell>
          <cell r="S95">
            <v>0</v>
          </cell>
          <cell r="T95">
            <v>0</v>
          </cell>
          <cell r="U95">
            <v>1</v>
          </cell>
          <cell r="V95">
            <v>3</v>
          </cell>
          <cell r="W95">
            <v>52</v>
          </cell>
          <cell r="X95">
            <v>320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130541500</v>
          </cell>
        </row>
        <row r="96">
          <cell r="D96" t="str">
            <v>WCPA000004</v>
          </cell>
          <cell r="E96" t="str">
            <v>ADAMU ADO</v>
          </cell>
          <cell r="F96" t="str">
            <v>Gold</v>
          </cell>
          <cell r="G96">
            <v>305</v>
          </cell>
          <cell r="H96">
            <v>0</v>
          </cell>
          <cell r="I96">
            <v>0</v>
          </cell>
          <cell r="J96">
            <v>10</v>
          </cell>
          <cell r="K96">
            <v>0</v>
          </cell>
          <cell r="L96">
            <v>10</v>
          </cell>
          <cell r="M96">
            <v>4</v>
          </cell>
          <cell r="N96">
            <v>0</v>
          </cell>
          <cell r="O96">
            <v>114</v>
          </cell>
          <cell r="P96">
            <v>3</v>
          </cell>
          <cell r="Q96">
            <v>7</v>
          </cell>
          <cell r="R96">
            <v>0</v>
          </cell>
          <cell r="S96">
            <v>0</v>
          </cell>
          <cell r="T96">
            <v>0</v>
          </cell>
          <cell r="U96">
            <v>1</v>
          </cell>
          <cell r="V96">
            <v>26</v>
          </cell>
          <cell r="W96">
            <v>50</v>
          </cell>
          <cell r="X96">
            <v>80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57097500</v>
          </cell>
        </row>
        <row r="97">
          <cell r="D97" t="str">
            <v>WCPA000019</v>
          </cell>
          <cell r="E97" t="str">
            <v>DONALD ODIMEGWU</v>
          </cell>
          <cell r="F97" t="str">
            <v>Gold</v>
          </cell>
          <cell r="G97">
            <v>305</v>
          </cell>
          <cell r="H97">
            <v>0</v>
          </cell>
          <cell r="I97">
            <v>0</v>
          </cell>
          <cell r="J97">
            <v>9</v>
          </cell>
          <cell r="K97">
            <v>1</v>
          </cell>
          <cell r="L97">
            <v>10</v>
          </cell>
          <cell r="M97">
            <v>1</v>
          </cell>
          <cell r="N97">
            <v>0</v>
          </cell>
          <cell r="O97">
            <v>100</v>
          </cell>
          <cell r="P97">
            <v>4</v>
          </cell>
          <cell r="Q97">
            <v>2</v>
          </cell>
          <cell r="R97">
            <v>0</v>
          </cell>
          <cell r="S97">
            <v>0</v>
          </cell>
          <cell r="T97">
            <v>0</v>
          </cell>
          <cell r="U97">
            <v>1</v>
          </cell>
          <cell r="V97">
            <v>2</v>
          </cell>
          <cell r="W97">
            <v>75</v>
          </cell>
          <cell r="X97">
            <v>100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56470500</v>
          </cell>
        </row>
        <row r="98">
          <cell r="D98" t="str">
            <v>SWC3000</v>
          </cell>
          <cell r="E98" t="str">
            <v>Elizabeth Egbeimah</v>
          </cell>
          <cell r="F98" t="str">
            <v>Gold</v>
          </cell>
          <cell r="G98">
            <v>278</v>
          </cell>
          <cell r="H98">
            <v>0</v>
          </cell>
          <cell r="I98">
            <v>0</v>
          </cell>
          <cell r="J98">
            <v>50</v>
          </cell>
          <cell r="K98">
            <v>0</v>
          </cell>
          <cell r="L98">
            <v>3</v>
          </cell>
          <cell r="M98">
            <v>0</v>
          </cell>
          <cell r="N98">
            <v>0</v>
          </cell>
          <cell r="O98">
            <v>131</v>
          </cell>
          <cell r="P98">
            <v>30</v>
          </cell>
          <cell r="Q98">
            <v>2</v>
          </cell>
          <cell r="R98">
            <v>20</v>
          </cell>
          <cell r="S98">
            <v>0</v>
          </cell>
          <cell r="T98">
            <v>0</v>
          </cell>
          <cell r="U98">
            <v>0</v>
          </cell>
          <cell r="V98">
            <v>2</v>
          </cell>
          <cell r="W98">
            <v>0</v>
          </cell>
          <cell r="X98">
            <v>40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62533000</v>
          </cell>
        </row>
        <row r="99">
          <cell r="D99" t="str">
            <v>WCFA000190</v>
          </cell>
          <cell r="E99" t="str">
            <v>Felicia Oji</v>
          </cell>
          <cell r="F99" t="str">
            <v>Gold</v>
          </cell>
          <cell r="G99">
            <v>278</v>
          </cell>
          <cell r="H99">
            <v>0</v>
          </cell>
          <cell r="I99">
            <v>0</v>
          </cell>
          <cell r="J99">
            <v>100</v>
          </cell>
          <cell r="K99">
            <v>0</v>
          </cell>
          <cell r="L99">
            <v>1</v>
          </cell>
          <cell r="M99">
            <v>0</v>
          </cell>
          <cell r="N99">
            <v>0</v>
          </cell>
          <cell r="O99">
            <v>82</v>
          </cell>
          <cell r="P99">
            <v>13</v>
          </cell>
          <cell r="Q99">
            <v>1</v>
          </cell>
          <cell r="R99">
            <v>20</v>
          </cell>
          <cell r="S99">
            <v>0</v>
          </cell>
          <cell r="T99">
            <v>0</v>
          </cell>
          <cell r="U99">
            <v>0</v>
          </cell>
          <cell r="V99">
            <v>5</v>
          </cell>
          <cell r="W99">
            <v>10</v>
          </cell>
          <cell r="X99">
            <v>46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61937000</v>
          </cell>
        </row>
        <row r="100">
          <cell r="D100" t="str">
            <v>WCFA000195</v>
          </cell>
          <cell r="E100" t="str">
            <v>Maria Ogbe</v>
          </cell>
          <cell r="F100" t="str">
            <v>Platinum</v>
          </cell>
          <cell r="G100">
            <v>656</v>
          </cell>
          <cell r="H100">
            <v>0</v>
          </cell>
          <cell r="I100">
            <v>0</v>
          </cell>
          <cell r="J100">
            <v>200</v>
          </cell>
          <cell r="K100">
            <v>0</v>
          </cell>
          <cell r="L100">
            <v>10</v>
          </cell>
          <cell r="M100">
            <v>0</v>
          </cell>
          <cell r="N100">
            <v>8</v>
          </cell>
          <cell r="O100">
            <v>200</v>
          </cell>
          <cell r="P100">
            <v>60</v>
          </cell>
          <cell r="Q100">
            <v>5</v>
          </cell>
          <cell r="R100">
            <v>30</v>
          </cell>
          <cell r="S100">
            <v>0</v>
          </cell>
          <cell r="T100">
            <v>0</v>
          </cell>
          <cell r="U100">
            <v>0</v>
          </cell>
          <cell r="V100">
            <v>5</v>
          </cell>
          <cell r="W100">
            <v>90</v>
          </cell>
          <cell r="X100">
            <v>48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141379000</v>
          </cell>
        </row>
        <row r="101">
          <cell r="D101" t="str">
            <v>PWCPP000511</v>
          </cell>
          <cell r="E101" t="str">
            <v>Ojuiyiowi Eze</v>
          </cell>
          <cell r="F101" t="str">
            <v>Gold</v>
          </cell>
          <cell r="G101">
            <v>310</v>
          </cell>
          <cell r="H101">
            <v>0</v>
          </cell>
          <cell r="I101">
            <v>0</v>
          </cell>
          <cell r="J101">
            <v>6</v>
          </cell>
          <cell r="K101">
            <v>1</v>
          </cell>
          <cell r="L101">
            <v>19</v>
          </cell>
          <cell r="M101">
            <v>1</v>
          </cell>
          <cell r="N101">
            <v>0</v>
          </cell>
          <cell r="O101">
            <v>142</v>
          </cell>
          <cell r="P101">
            <v>0</v>
          </cell>
          <cell r="Q101">
            <v>53</v>
          </cell>
          <cell r="R101">
            <v>0</v>
          </cell>
          <cell r="S101">
            <v>0</v>
          </cell>
          <cell r="T101">
            <v>0</v>
          </cell>
          <cell r="U101">
            <v>1</v>
          </cell>
          <cell r="V101">
            <v>3</v>
          </cell>
          <cell r="W101">
            <v>5</v>
          </cell>
          <cell r="X101">
            <v>79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63619500</v>
          </cell>
        </row>
        <row r="102">
          <cell r="D102" t="str">
            <v>CTAH0003</v>
          </cell>
          <cell r="E102" t="str">
            <v>KEMI SOLOLA</v>
          </cell>
          <cell r="F102" t="str">
            <v>Platinum Plus</v>
          </cell>
          <cell r="G102">
            <v>1331</v>
          </cell>
          <cell r="H102">
            <v>0</v>
          </cell>
          <cell r="I102">
            <v>0</v>
          </cell>
          <cell r="J102">
            <v>240</v>
          </cell>
          <cell r="K102">
            <v>40</v>
          </cell>
          <cell r="L102">
            <v>3</v>
          </cell>
          <cell r="M102">
            <v>1</v>
          </cell>
          <cell r="N102">
            <v>0</v>
          </cell>
          <cell r="O102">
            <v>250</v>
          </cell>
          <cell r="P102">
            <v>10</v>
          </cell>
          <cell r="Q102">
            <v>2</v>
          </cell>
          <cell r="R102">
            <v>65</v>
          </cell>
          <cell r="S102">
            <v>0</v>
          </cell>
          <cell r="T102">
            <v>0</v>
          </cell>
          <cell r="U102">
            <v>0</v>
          </cell>
          <cell r="V102">
            <v>5</v>
          </cell>
          <cell r="W102">
            <v>5</v>
          </cell>
          <cell r="X102">
            <v>700</v>
          </cell>
          <cell r="Y102">
            <v>10</v>
          </cell>
          <cell r="Z102">
            <v>0</v>
          </cell>
          <cell r="AA102">
            <v>0</v>
          </cell>
          <cell r="AB102">
            <v>0</v>
          </cell>
          <cell r="AC102">
            <v>274042000</v>
          </cell>
        </row>
        <row r="103">
          <cell r="D103" t="str">
            <v>LAC2298</v>
          </cell>
          <cell r="E103" t="str">
            <v>WONUJUWONLO VENTURE</v>
          </cell>
          <cell r="F103" t="str">
            <v>Gold</v>
          </cell>
          <cell r="G103">
            <v>352</v>
          </cell>
          <cell r="H103">
            <v>0</v>
          </cell>
          <cell r="I103">
            <v>0</v>
          </cell>
          <cell r="J103">
            <v>80</v>
          </cell>
          <cell r="K103">
            <v>0</v>
          </cell>
          <cell r="L103">
            <v>1</v>
          </cell>
          <cell r="M103">
            <v>1</v>
          </cell>
          <cell r="N103">
            <v>0</v>
          </cell>
          <cell r="O103">
            <v>80</v>
          </cell>
          <cell r="P103">
            <v>1</v>
          </cell>
          <cell r="Q103">
            <v>0</v>
          </cell>
          <cell r="R103">
            <v>30</v>
          </cell>
          <cell r="S103">
            <v>0</v>
          </cell>
          <cell r="T103">
            <v>0</v>
          </cell>
          <cell r="U103">
            <v>0</v>
          </cell>
          <cell r="V103">
            <v>3</v>
          </cell>
          <cell r="W103">
            <v>1</v>
          </cell>
          <cell r="X103">
            <v>150</v>
          </cell>
          <cell r="Y103">
            <v>5</v>
          </cell>
          <cell r="Z103">
            <v>0</v>
          </cell>
          <cell r="AA103">
            <v>0</v>
          </cell>
          <cell r="AB103">
            <v>0</v>
          </cell>
          <cell r="AC103">
            <v>73428000</v>
          </cell>
        </row>
        <row r="104">
          <cell r="D104" t="str">
            <v>LAC3531</v>
          </cell>
          <cell r="E104" t="str">
            <v>CHUKWU EMERIE Stores Limited</v>
          </cell>
          <cell r="F104" t="str">
            <v>Gold</v>
          </cell>
          <cell r="G104">
            <v>300</v>
          </cell>
          <cell r="H104">
            <v>0</v>
          </cell>
          <cell r="I104">
            <v>0</v>
          </cell>
          <cell r="J104">
            <v>40</v>
          </cell>
          <cell r="K104">
            <v>10</v>
          </cell>
          <cell r="L104">
            <v>50</v>
          </cell>
          <cell r="M104">
            <v>1</v>
          </cell>
          <cell r="N104">
            <v>0</v>
          </cell>
          <cell r="O104">
            <v>85</v>
          </cell>
          <cell r="P104">
            <v>0</v>
          </cell>
          <cell r="Q104">
            <v>0</v>
          </cell>
          <cell r="R104">
            <v>14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100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61481000</v>
          </cell>
        </row>
        <row r="105">
          <cell r="D105" t="str">
            <v>CTAW0002</v>
          </cell>
          <cell r="E105" t="str">
            <v>CHIJIOKE ONU</v>
          </cell>
          <cell r="F105" t="str">
            <v>Gold</v>
          </cell>
          <cell r="G105">
            <v>265</v>
          </cell>
          <cell r="H105">
            <v>0</v>
          </cell>
          <cell r="I105">
            <v>0</v>
          </cell>
          <cell r="J105">
            <v>188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30</v>
          </cell>
          <cell r="P105">
            <v>0</v>
          </cell>
          <cell r="Q105">
            <v>0</v>
          </cell>
          <cell r="R105">
            <v>20</v>
          </cell>
          <cell r="S105">
            <v>0</v>
          </cell>
          <cell r="T105">
            <v>0</v>
          </cell>
          <cell r="U105">
            <v>0</v>
          </cell>
          <cell r="V105">
            <v>2</v>
          </cell>
          <cell r="W105">
            <v>0</v>
          </cell>
          <cell r="X105">
            <v>20</v>
          </cell>
          <cell r="Y105">
            <v>5</v>
          </cell>
          <cell r="Z105">
            <v>0</v>
          </cell>
          <cell r="AA105">
            <v>0</v>
          </cell>
          <cell r="AB105">
            <v>0</v>
          </cell>
          <cell r="AC105">
            <v>63399000</v>
          </cell>
        </row>
        <row r="106">
          <cell r="D106" t="str">
            <v>CTAE0006</v>
          </cell>
          <cell r="E106" t="str">
            <v>MR AJAYI  AYINKE</v>
          </cell>
          <cell r="F106" t="str">
            <v>Gold</v>
          </cell>
          <cell r="G106">
            <v>300</v>
          </cell>
          <cell r="H106">
            <v>0</v>
          </cell>
          <cell r="I106">
            <v>0</v>
          </cell>
          <cell r="J106">
            <v>60</v>
          </cell>
          <cell r="K106">
            <v>60</v>
          </cell>
          <cell r="L106">
            <v>5</v>
          </cell>
          <cell r="M106">
            <v>2</v>
          </cell>
          <cell r="N106">
            <v>0</v>
          </cell>
          <cell r="O106">
            <v>80</v>
          </cell>
          <cell r="P106">
            <v>40</v>
          </cell>
          <cell r="Q106">
            <v>0</v>
          </cell>
          <cell r="R106">
            <v>8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40</v>
          </cell>
          <cell r="Y106">
            <v>5</v>
          </cell>
          <cell r="Z106">
            <v>0</v>
          </cell>
          <cell r="AA106">
            <v>0</v>
          </cell>
          <cell r="AB106">
            <v>0</v>
          </cell>
          <cell r="AC106">
            <v>65462000</v>
          </cell>
        </row>
        <row r="107">
          <cell r="D107" t="str">
            <v>CTAE0013</v>
          </cell>
          <cell r="E107" t="str">
            <v>AROWOLO TAIBAT</v>
          </cell>
          <cell r="F107" t="str">
            <v>Gold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</row>
        <row r="108">
          <cell r="D108" t="str">
            <v>CTAE0033</v>
          </cell>
          <cell r="E108" t="str">
            <v>ALHAJA MOGBONJUBOLA OLANREWAJU</v>
          </cell>
          <cell r="F108" t="str">
            <v>Platinum</v>
          </cell>
          <cell r="G108">
            <v>638</v>
          </cell>
          <cell r="H108">
            <v>0</v>
          </cell>
          <cell r="I108">
            <v>0</v>
          </cell>
          <cell r="J108">
            <v>200</v>
          </cell>
          <cell r="K108">
            <v>40</v>
          </cell>
          <cell r="L108">
            <v>31</v>
          </cell>
          <cell r="M108">
            <v>5</v>
          </cell>
          <cell r="N108">
            <v>0</v>
          </cell>
          <cell r="O108">
            <v>90</v>
          </cell>
          <cell r="P108">
            <v>70</v>
          </cell>
          <cell r="Q108">
            <v>5</v>
          </cell>
          <cell r="R108">
            <v>50</v>
          </cell>
          <cell r="S108">
            <v>0</v>
          </cell>
          <cell r="T108">
            <v>0</v>
          </cell>
          <cell r="U108">
            <v>5</v>
          </cell>
          <cell r="V108">
            <v>10</v>
          </cell>
          <cell r="W108">
            <v>5</v>
          </cell>
          <cell r="X108">
            <v>107</v>
          </cell>
          <cell r="Y108">
            <v>20</v>
          </cell>
          <cell r="Z108">
            <v>0</v>
          </cell>
          <cell r="AA108">
            <v>0</v>
          </cell>
          <cell r="AB108">
            <v>0</v>
          </cell>
          <cell r="AC108">
            <v>137193500</v>
          </cell>
        </row>
        <row r="109">
          <cell r="D109" t="str">
            <v>CTAE0045</v>
          </cell>
          <cell r="E109" t="str">
            <v>MRS SEMO &amp; CO</v>
          </cell>
          <cell r="F109" t="str">
            <v>Gold</v>
          </cell>
          <cell r="G109">
            <v>325</v>
          </cell>
          <cell r="H109">
            <v>0</v>
          </cell>
          <cell r="I109">
            <v>0</v>
          </cell>
          <cell r="J109">
            <v>50</v>
          </cell>
          <cell r="K109">
            <v>50</v>
          </cell>
          <cell r="L109">
            <v>20</v>
          </cell>
          <cell r="M109">
            <v>0</v>
          </cell>
          <cell r="N109">
            <v>0</v>
          </cell>
          <cell r="O109">
            <v>50</v>
          </cell>
          <cell r="P109">
            <v>50</v>
          </cell>
          <cell r="Q109">
            <v>0</v>
          </cell>
          <cell r="R109">
            <v>15</v>
          </cell>
          <cell r="S109">
            <v>0</v>
          </cell>
          <cell r="T109">
            <v>0</v>
          </cell>
          <cell r="U109">
            <v>2</v>
          </cell>
          <cell r="V109">
            <v>3</v>
          </cell>
          <cell r="W109">
            <v>5</v>
          </cell>
          <cell r="X109">
            <v>75</v>
          </cell>
          <cell r="Y109">
            <v>5</v>
          </cell>
          <cell r="Z109">
            <v>0</v>
          </cell>
          <cell r="AA109">
            <v>0</v>
          </cell>
          <cell r="AB109">
            <v>0</v>
          </cell>
          <cell r="AC109">
            <v>67788000</v>
          </cell>
        </row>
        <row r="110">
          <cell r="D110" t="str">
            <v>LAC0160</v>
          </cell>
          <cell r="E110" t="str">
            <v>Mumuni Ibrahim</v>
          </cell>
          <cell r="F110" t="str">
            <v>Gold</v>
          </cell>
          <cell r="G110">
            <v>440</v>
          </cell>
          <cell r="H110">
            <v>0</v>
          </cell>
          <cell r="I110">
            <v>0</v>
          </cell>
          <cell r="J110">
            <v>80</v>
          </cell>
          <cell r="K110">
            <v>60</v>
          </cell>
          <cell r="L110">
            <v>25</v>
          </cell>
          <cell r="M110">
            <v>0</v>
          </cell>
          <cell r="N110">
            <v>0</v>
          </cell>
          <cell r="O110">
            <v>70</v>
          </cell>
          <cell r="P110">
            <v>60</v>
          </cell>
          <cell r="Q110">
            <v>0</v>
          </cell>
          <cell r="R110">
            <v>40</v>
          </cell>
          <cell r="S110">
            <v>0</v>
          </cell>
          <cell r="T110">
            <v>0</v>
          </cell>
          <cell r="U110">
            <v>10</v>
          </cell>
          <cell r="V110">
            <v>5</v>
          </cell>
          <cell r="W110">
            <v>5</v>
          </cell>
          <cell r="X110">
            <v>70</v>
          </cell>
          <cell r="Y110">
            <v>15</v>
          </cell>
          <cell r="Z110">
            <v>0</v>
          </cell>
          <cell r="AA110">
            <v>0</v>
          </cell>
          <cell r="AB110">
            <v>0</v>
          </cell>
          <cell r="AC110">
            <v>90305000</v>
          </cell>
        </row>
        <row r="111">
          <cell r="D111" t="str">
            <v>LAC1419</v>
          </cell>
          <cell r="E111" t="str">
            <v>Three Zeroes</v>
          </cell>
          <cell r="F111" t="str">
            <v>Platinum Plus</v>
          </cell>
          <cell r="G111">
            <v>1865</v>
          </cell>
          <cell r="H111">
            <v>0</v>
          </cell>
          <cell r="I111">
            <v>0</v>
          </cell>
          <cell r="J111">
            <v>400</v>
          </cell>
          <cell r="K111">
            <v>253</v>
          </cell>
          <cell r="L111">
            <v>80</v>
          </cell>
          <cell r="M111">
            <v>10</v>
          </cell>
          <cell r="N111">
            <v>0</v>
          </cell>
          <cell r="O111">
            <v>400</v>
          </cell>
          <cell r="P111">
            <v>100</v>
          </cell>
          <cell r="Q111">
            <v>0</v>
          </cell>
          <cell r="R111">
            <v>130</v>
          </cell>
          <cell r="S111">
            <v>0</v>
          </cell>
          <cell r="T111">
            <v>0</v>
          </cell>
          <cell r="U111">
            <v>25</v>
          </cell>
          <cell r="V111">
            <v>30</v>
          </cell>
          <cell r="W111">
            <v>30</v>
          </cell>
          <cell r="X111">
            <v>366</v>
          </cell>
          <cell r="Y111">
            <v>41</v>
          </cell>
          <cell r="Z111">
            <v>0</v>
          </cell>
          <cell r="AA111">
            <v>0</v>
          </cell>
          <cell r="AB111">
            <v>0</v>
          </cell>
          <cell r="AC111">
            <v>384078500</v>
          </cell>
        </row>
        <row r="112">
          <cell r="D112" t="str">
            <v>CTAZ0044</v>
          </cell>
          <cell r="E112" t="str">
            <v>KOFO THOMAS</v>
          </cell>
          <cell r="F112" t="str">
            <v>Platinum Plus</v>
          </cell>
          <cell r="G112">
            <v>688</v>
          </cell>
          <cell r="H112">
            <v>0</v>
          </cell>
          <cell r="I112">
            <v>0</v>
          </cell>
          <cell r="J112">
            <v>490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98</v>
          </cell>
          <cell r="P112">
            <v>0</v>
          </cell>
          <cell r="Q112">
            <v>0</v>
          </cell>
          <cell r="R112">
            <v>20</v>
          </cell>
          <cell r="S112">
            <v>0</v>
          </cell>
          <cell r="T112">
            <v>0</v>
          </cell>
          <cell r="U112">
            <v>0</v>
          </cell>
          <cell r="V112">
            <v>5</v>
          </cell>
          <cell r="W112">
            <v>0</v>
          </cell>
          <cell r="X112">
            <v>50</v>
          </cell>
          <cell r="Y112">
            <v>25</v>
          </cell>
          <cell r="Z112">
            <v>0</v>
          </cell>
          <cell r="AA112">
            <v>0</v>
          </cell>
          <cell r="AB112">
            <v>0</v>
          </cell>
          <cell r="AC112">
            <v>166100000</v>
          </cell>
        </row>
        <row r="113">
          <cell r="D113" t="str">
            <v>LAC0087</v>
          </cell>
          <cell r="E113" t="str">
            <v>Ameh Amos Ifeanyichukwu</v>
          </cell>
          <cell r="F113" t="str">
            <v>Gold</v>
          </cell>
          <cell r="G113">
            <v>325</v>
          </cell>
          <cell r="H113">
            <v>0</v>
          </cell>
          <cell r="I113">
            <v>0</v>
          </cell>
          <cell r="J113">
            <v>270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32</v>
          </cell>
          <cell r="P113">
            <v>0</v>
          </cell>
          <cell r="Q113">
            <v>0</v>
          </cell>
          <cell r="R113">
            <v>5</v>
          </cell>
          <cell r="S113">
            <v>0</v>
          </cell>
          <cell r="T113">
            <v>0</v>
          </cell>
          <cell r="U113">
            <v>0</v>
          </cell>
          <cell r="V113">
            <v>2</v>
          </cell>
          <cell r="W113">
            <v>0</v>
          </cell>
          <cell r="X113">
            <v>15</v>
          </cell>
          <cell r="Y113">
            <v>1</v>
          </cell>
          <cell r="Z113">
            <v>0</v>
          </cell>
          <cell r="AA113">
            <v>0</v>
          </cell>
          <cell r="AB113">
            <v>0</v>
          </cell>
          <cell r="AC113">
            <v>81709000</v>
          </cell>
        </row>
        <row r="114">
          <cell r="D114" t="str">
            <v>WCFA000208</v>
          </cell>
          <cell r="E114" t="str">
            <v>Alhaja Lateef Ayisat</v>
          </cell>
          <cell r="F114" t="str">
            <v>Platinum Plus</v>
          </cell>
          <cell r="G114">
            <v>1004</v>
          </cell>
          <cell r="H114">
            <v>0</v>
          </cell>
          <cell r="I114">
            <v>0</v>
          </cell>
          <cell r="J114">
            <v>400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99</v>
          </cell>
          <cell r="P114">
            <v>305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10</v>
          </cell>
          <cell r="W114">
            <v>140</v>
          </cell>
          <cell r="X114">
            <v>0</v>
          </cell>
          <cell r="Y114">
            <v>50</v>
          </cell>
          <cell r="Z114">
            <v>0</v>
          </cell>
          <cell r="AA114">
            <v>0</v>
          </cell>
          <cell r="AB114">
            <v>0</v>
          </cell>
          <cell r="AC114">
            <v>229375000</v>
          </cell>
        </row>
        <row r="115">
          <cell r="D115" t="str">
            <v>WCFA000177</v>
          </cell>
          <cell r="E115" t="str">
            <v>Samuel Ube</v>
          </cell>
          <cell r="F115" t="str">
            <v>Gold</v>
          </cell>
          <cell r="G115">
            <v>300</v>
          </cell>
          <cell r="H115">
            <v>0</v>
          </cell>
          <cell r="I115">
            <v>0</v>
          </cell>
          <cell r="J115">
            <v>100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79</v>
          </cell>
          <cell r="P115">
            <v>100</v>
          </cell>
          <cell r="Q115">
            <v>0</v>
          </cell>
          <cell r="R115">
            <v>1</v>
          </cell>
          <cell r="S115">
            <v>0</v>
          </cell>
          <cell r="T115">
            <v>0</v>
          </cell>
          <cell r="U115">
            <v>0</v>
          </cell>
          <cell r="V115">
            <v>20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72774000</v>
          </cell>
        </row>
        <row r="116">
          <cell r="D116" t="str">
            <v>SWC2006</v>
          </cell>
          <cell r="E116" t="str">
            <v>MAVELLOUS STORE</v>
          </cell>
          <cell r="F116" t="str">
            <v>Gold</v>
          </cell>
          <cell r="G116">
            <v>638</v>
          </cell>
          <cell r="H116">
            <v>0</v>
          </cell>
          <cell r="I116">
            <v>0</v>
          </cell>
          <cell r="J116">
            <v>200</v>
          </cell>
          <cell r="K116">
            <v>40</v>
          </cell>
          <cell r="L116">
            <v>31</v>
          </cell>
          <cell r="M116">
            <v>5</v>
          </cell>
          <cell r="N116">
            <v>0</v>
          </cell>
          <cell r="O116">
            <v>90</v>
          </cell>
          <cell r="P116">
            <v>70</v>
          </cell>
          <cell r="Q116">
            <v>0</v>
          </cell>
          <cell r="R116">
            <v>55</v>
          </cell>
          <cell r="S116">
            <v>0</v>
          </cell>
          <cell r="T116">
            <v>0</v>
          </cell>
          <cell r="U116">
            <v>5</v>
          </cell>
          <cell r="V116">
            <v>10</v>
          </cell>
          <cell r="W116">
            <v>5</v>
          </cell>
          <cell r="X116">
            <v>107</v>
          </cell>
          <cell r="Y116">
            <v>20</v>
          </cell>
          <cell r="Z116">
            <v>0</v>
          </cell>
          <cell r="AA116">
            <v>0</v>
          </cell>
          <cell r="AB116">
            <v>0</v>
          </cell>
          <cell r="AC116">
            <v>136983500</v>
          </cell>
        </row>
        <row r="117">
          <cell r="D117" t="str">
            <v>WCFA000018</v>
          </cell>
          <cell r="E117" t="str">
            <v>Anifat Ibikunle</v>
          </cell>
          <cell r="F117" t="str">
            <v>Platinum Plus</v>
          </cell>
          <cell r="G117">
            <v>820</v>
          </cell>
          <cell r="H117">
            <v>0</v>
          </cell>
          <cell r="I117">
            <v>0</v>
          </cell>
          <cell r="J117">
            <v>200</v>
          </cell>
          <cell r="K117">
            <v>40</v>
          </cell>
          <cell r="L117">
            <v>31</v>
          </cell>
          <cell r="M117">
            <v>5</v>
          </cell>
          <cell r="N117">
            <v>0</v>
          </cell>
          <cell r="O117">
            <v>250</v>
          </cell>
          <cell r="P117">
            <v>70</v>
          </cell>
          <cell r="Q117">
            <v>0</v>
          </cell>
          <cell r="R117">
            <v>55</v>
          </cell>
          <cell r="S117">
            <v>0</v>
          </cell>
          <cell r="T117">
            <v>0</v>
          </cell>
          <cell r="U117">
            <v>5</v>
          </cell>
          <cell r="V117">
            <v>10</v>
          </cell>
          <cell r="W117">
            <v>5</v>
          </cell>
          <cell r="X117">
            <v>129</v>
          </cell>
          <cell r="Y117">
            <v>20</v>
          </cell>
          <cell r="Z117">
            <v>0</v>
          </cell>
          <cell r="AA117">
            <v>0</v>
          </cell>
          <cell r="AB117">
            <v>0</v>
          </cell>
          <cell r="AC117">
            <v>177919500</v>
          </cell>
        </row>
        <row r="118">
          <cell r="D118" t="str">
            <v>WCFA000039</v>
          </cell>
          <cell r="E118" t="str">
            <v>Fausat Adetunji</v>
          </cell>
          <cell r="F118" t="str">
            <v>Gold</v>
          </cell>
          <cell r="G118">
            <v>314</v>
          </cell>
          <cell r="H118">
            <v>0</v>
          </cell>
          <cell r="I118">
            <v>0</v>
          </cell>
          <cell r="J118">
            <v>67</v>
          </cell>
          <cell r="K118">
            <v>20</v>
          </cell>
          <cell r="L118">
            <v>6</v>
          </cell>
          <cell r="M118">
            <v>3</v>
          </cell>
          <cell r="N118">
            <v>0</v>
          </cell>
          <cell r="O118">
            <v>50</v>
          </cell>
          <cell r="P118">
            <v>10</v>
          </cell>
          <cell r="Q118">
            <v>0</v>
          </cell>
          <cell r="R118">
            <v>30</v>
          </cell>
          <cell r="S118">
            <v>0</v>
          </cell>
          <cell r="T118">
            <v>0</v>
          </cell>
          <cell r="U118">
            <v>15</v>
          </cell>
          <cell r="V118">
            <v>13</v>
          </cell>
          <cell r="W118">
            <v>15</v>
          </cell>
          <cell r="X118">
            <v>80</v>
          </cell>
          <cell r="Y118">
            <v>5</v>
          </cell>
          <cell r="Z118">
            <v>0</v>
          </cell>
          <cell r="AA118">
            <v>0</v>
          </cell>
          <cell r="AB118">
            <v>0</v>
          </cell>
          <cell r="AC118">
            <v>61328500</v>
          </cell>
        </row>
        <row r="119">
          <cell r="D119" t="str">
            <v>WCFA000088</v>
          </cell>
          <cell r="E119" t="str">
            <v>Alfa Yahaya</v>
          </cell>
          <cell r="F119" t="str">
            <v>Gold</v>
          </cell>
          <cell r="G119">
            <v>299</v>
          </cell>
          <cell r="H119">
            <v>0</v>
          </cell>
          <cell r="I119">
            <v>0</v>
          </cell>
          <cell r="J119">
            <v>3</v>
          </cell>
          <cell r="K119">
            <v>46</v>
          </cell>
          <cell r="L119">
            <v>1</v>
          </cell>
          <cell r="M119">
            <v>1</v>
          </cell>
          <cell r="N119">
            <v>20</v>
          </cell>
          <cell r="O119">
            <v>20</v>
          </cell>
          <cell r="P119">
            <v>1</v>
          </cell>
          <cell r="Q119">
            <v>4</v>
          </cell>
          <cell r="R119">
            <v>0</v>
          </cell>
          <cell r="S119">
            <v>0</v>
          </cell>
          <cell r="T119">
            <v>0</v>
          </cell>
          <cell r="U119">
            <v>3</v>
          </cell>
          <cell r="V119">
            <v>5</v>
          </cell>
          <cell r="W119">
            <v>5</v>
          </cell>
          <cell r="X119">
            <v>170</v>
          </cell>
          <cell r="Y119">
            <v>20</v>
          </cell>
          <cell r="Z119">
            <v>0</v>
          </cell>
          <cell r="AA119">
            <v>0</v>
          </cell>
          <cell r="AB119">
            <v>0</v>
          </cell>
          <cell r="AC119">
            <v>52351500</v>
          </cell>
        </row>
        <row r="120">
          <cell r="D120" t="str">
            <v>WCFA000102</v>
          </cell>
          <cell r="E120" t="str">
            <v>Iya Sadiat</v>
          </cell>
          <cell r="F120" t="str">
            <v>Gold</v>
          </cell>
          <cell r="G120">
            <v>450</v>
          </cell>
          <cell r="H120">
            <v>0</v>
          </cell>
          <cell r="I120">
            <v>0</v>
          </cell>
          <cell r="J120">
            <v>15</v>
          </cell>
          <cell r="K120">
            <v>80</v>
          </cell>
          <cell r="L120">
            <v>10</v>
          </cell>
          <cell r="M120">
            <v>1</v>
          </cell>
          <cell r="N120">
            <v>20</v>
          </cell>
          <cell r="O120">
            <v>55</v>
          </cell>
          <cell r="P120">
            <v>1</v>
          </cell>
          <cell r="Q120">
            <v>3</v>
          </cell>
          <cell r="R120">
            <v>17</v>
          </cell>
          <cell r="S120">
            <v>0</v>
          </cell>
          <cell r="T120">
            <v>0</v>
          </cell>
          <cell r="U120">
            <v>8</v>
          </cell>
          <cell r="V120">
            <v>15</v>
          </cell>
          <cell r="W120">
            <v>10</v>
          </cell>
          <cell r="X120">
            <v>200</v>
          </cell>
          <cell r="Y120">
            <v>15</v>
          </cell>
          <cell r="Z120">
            <v>0</v>
          </cell>
          <cell r="AA120">
            <v>0</v>
          </cell>
          <cell r="AB120">
            <v>0</v>
          </cell>
          <cell r="AC120">
            <v>80613000</v>
          </cell>
        </row>
        <row r="121">
          <cell r="D121" t="str">
            <v>WCFA000218</v>
          </cell>
          <cell r="E121" t="str">
            <v>Kelechi Store</v>
          </cell>
          <cell r="F121" t="str">
            <v>Gold</v>
          </cell>
          <cell r="G121">
            <v>300</v>
          </cell>
          <cell r="H121">
            <v>0</v>
          </cell>
          <cell r="I121">
            <v>0</v>
          </cell>
          <cell r="J121">
            <v>151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28</v>
          </cell>
          <cell r="P121">
            <v>75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1</v>
          </cell>
          <cell r="W121">
            <v>45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70624000</v>
          </cell>
        </row>
        <row r="122">
          <cell r="D122" t="str">
            <v>WCFA000220</v>
          </cell>
          <cell r="E122" t="str">
            <v>Mc Igwe</v>
          </cell>
          <cell r="F122" t="str">
            <v>Gold</v>
          </cell>
          <cell r="G122">
            <v>300</v>
          </cell>
          <cell r="H122">
            <v>0</v>
          </cell>
          <cell r="I122">
            <v>0</v>
          </cell>
          <cell r="J122">
            <v>150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28</v>
          </cell>
          <cell r="P122">
            <v>70</v>
          </cell>
          <cell r="Q122">
            <v>0</v>
          </cell>
          <cell r="R122">
            <v>5</v>
          </cell>
          <cell r="S122">
            <v>0</v>
          </cell>
          <cell r="T122">
            <v>0</v>
          </cell>
          <cell r="U122">
            <v>0</v>
          </cell>
          <cell r="V122">
            <v>1</v>
          </cell>
          <cell r="W122">
            <v>46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69891000</v>
          </cell>
        </row>
        <row r="123">
          <cell r="D123" t="str">
            <v>WCFA000027</v>
          </cell>
          <cell r="E123" t="str">
            <v>Abdulramon Mujidat</v>
          </cell>
          <cell r="F123" t="str">
            <v>Platinum Plus</v>
          </cell>
          <cell r="G123">
            <v>820</v>
          </cell>
          <cell r="H123">
            <v>0</v>
          </cell>
          <cell r="I123">
            <v>0</v>
          </cell>
          <cell r="J123">
            <v>200</v>
          </cell>
          <cell r="K123">
            <v>40</v>
          </cell>
          <cell r="L123">
            <v>31</v>
          </cell>
          <cell r="M123">
            <v>5</v>
          </cell>
          <cell r="N123">
            <v>0</v>
          </cell>
          <cell r="O123">
            <v>250</v>
          </cell>
          <cell r="P123">
            <v>70</v>
          </cell>
          <cell r="Q123">
            <v>0</v>
          </cell>
          <cell r="R123">
            <v>55</v>
          </cell>
          <cell r="S123">
            <v>0</v>
          </cell>
          <cell r="T123">
            <v>0</v>
          </cell>
          <cell r="U123">
            <v>5</v>
          </cell>
          <cell r="V123">
            <v>10</v>
          </cell>
          <cell r="W123">
            <v>5</v>
          </cell>
          <cell r="X123">
            <v>129</v>
          </cell>
          <cell r="Y123">
            <v>20</v>
          </cell>
          <cell r="Z123">
            <v>0</v>
          </cell>
          <cell r="AA123">
            <v>0</v>
          </cell>
          <cell r="AB123">
            <v>0</v>
          </cell>
          <cell r="AC123">
            <v>174169500</v>
          </cell>
        </row>
        <row r="124">
          <cell r="D124" t="str">
            <v>WCFA000223</v>
          </cell>
          <cell r="E124" t="str">
            <v>St.Judes Stores</v>
          </cell>
          <cell r="F124" t="str">
            <v>Gold</v>
          </cell>
          <cell r="G124">
            <v>300</v>
          </cell>
          <cell r="H124">
            <v>0</v>
          </cell>
          <cell r="I124">
            <v>0</v>
          </cell>
          <cell r="J124">
            <v>151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28</v>
          </cell>
          <cell r="P124">
            <v>80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1</v>
          </cell>
          <cell r="W124">
            <v>40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71364000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TH EAST"/>
      <sheetName val="Consolidated"/>
      <sheetName val="MIDDLE BELT"/>
      <sheetName val="NORTH"/>
      <sheetName val="OMITTED CUSTOMERS"/>
      <sheetName val="Overdue Credits"/>
      <sheetName val="August Allocation"/>
      <sheetName val="Brand Prices"/>
    </sheetNames>
    <sheetDataSet>
      <sheetData sheetId="0" refreshError="1"/>
      <sheetData sheetId="1">
        <row r="9">
          <cell r="C9" t="str">
            <v>LAC3667</v>
          </cell>
          <cell r="E9" t="str">
            <v>Shivarest vnture Ltd</v>
          </cell>
          <cell r="F9" t="str">
            <v>Partner</v>
          </cell>
          <cell r="G9">
            <v>0</v>
          </cell>
          <cell r="AC9">
            <v>0</v>
          </cell>
        </row>
        <row r="10">
          <cell r="C10" t="str">
            <v>LAC3005</v>
          </cell>
          <cell r="E10" t="str">
            <v>Issa Lukmon Taiwo</v>
          </cell>
          <cell r="F10" t="str">
            <v>Mega Partner</v>
          </cell>
          <cell r="G10">
            <v>151</v>
          </cell>
          <cell r="J10">
            <v>27</v>
          </cell>
          <cell r="K10">
            <v>1</v>
          </cell>
          <cell r="O10">
            <v>30</v>
          </cell>
          <cell r="R10">
            <v>20</v>
          </cell>
          <cell r="U10">
            <v>2</v>
          </cell>
          <cell r="W10">
            <v>1</v>
          </cell>
          <cell r="X10">
            <v>50</v>
          </cell>
          <cell r="Y10">
            <v>20</v>
          </cell>
          <cell r="AC10">
            <v>29059500</v>
          </cell>
        </row>
        <row r="11">
          <cell r="C11" t="str">
            <v>LAC1567</v>
          </cell>
          <cell r="E11" t="str">
            <v>Over to God Stores (RME)</v>
          </cell>
          <cell r="F11" t="str">
            <v>Mega Partner</v>
          </cell>
          <cell r="G11">
            <v>121</v>
          </cell>
          <cell r="J11">
            <v>20</v>
          </cell>
          <cell r="K11">
            <v>2</v>
          </cell>
          <cell r="O11">
            <v>25</v>
          </cell>
          <cell r="R11">
            <v>20</v>
          </cell>
          <cell r="U11">
            <v>2</v>
          </cell>
          <cell r="W11">
            <v>2</v>
          </cell>
          <cell r="X11">
            <v>40</v>
          </cell>
          <cell r="Y11">
            <v>10</v>
          </cell>
          <cell r="AC11">
            <v>23345500</v>
          </cell>
        </row>
        <row r="12">
          <cell r="C12" t="str">
            <v>LAC1611</v>
          </cell>
          <cell r="E12" t="str">
            <v>Oreofe Store (RME)</v>
          </cell>
          <cell r="F12" t="str">
            <v>Partner</v>
          </cell>
          <cell r="G12">
            <v>48</v>
          </cell>
          <cell r="J12">
            <v>8</v>
          </cell>
          <cell r="K12">
            <v>1</v>
          </cell>
          <cell r="L12">
            <v>1</v>
          </cell>
          <cell r="O12">
            <v>10</v>
          </cell>
          <cell r="R12">
            <v>8</v>
          </cell>
          <cell r="U12">
            <v>4</v>
          </cell>
          <cell r="W12">
            <v>1</v>
          </cell>
          <cell r="X12">
            <v>15</v>
          </cell>
          <cell r="AC12">
            <v>9265000</v>
          </cell>
        </row>
        <row r="13">
          <cell r="C13" t="str">
            <v>LAC0314</v>
          </cell>
          <cell r="E13" t="str">
            <v>Iya Keji (RME)</v>
          </cell>
          <cell r="F13" t="str">
            <v>Stockist</v>
          </cell>
          <cell r="G13">
            <v>0</v>
          </cell>
          <cell r="AC13">
            <v>0</v>
          </cell>
        </row>
        <row r="14">
          <cell r="C14" t="str">
            <v>LAC0312</v>
          </cell>
          <cell r="E14" t="str">
            <v>Amah Store (RME)</v>
          </cell>
          <cell r="F14" t="str">
            <v>Partner</v>
          </cell>
          <cell r="G14">
            <v>0</v>
          </cell>
          <cell r="AC14">
            <v>0</v>
          </cell>
        </row>
        <row r="15">
          <cell r="C15" t="str">
            <v>LAC0173</v>
          </cell>
          <cell r="E15" t="str">
            <v>maman moji</v>
          </cell>
          <cell r="F15" t="str">
            <v>Partner</v>
          </cell>
          <cell r="G15">
            <v>22</v>
          </cell>
          <cell r="J15">
            <v>5</v>
          </cell>
          <cell r="O15">
            <v>2</v>
          </cell>
          <cell r="R15">
            <v>3</v>
          </cell>
          <cell r="X15">
            <v>12</v>
          </cell>
          <cell r="AC15">
            <v>4464000</v>
          </cell>
        </row>
        <row r="16">
          <cell r="C16" t="str">
            <v>LAC2313</v>
          </cell>
          <cell r="E16" t="str">
            <v>Iya Itunu Store</v>
          </cell>
          <cell r="F16" t="str">
            <v>Partner</v>
          </cell>
          <cell r="G16">
            <v>50</v>
          </cell>
          <cell r="J16">
            <v>5</v>
          </cell>
          <cell r="O16">
            <v>5</v>
          </cell>
          <cell r="R16">
            <v>10</v>
          </cell>
          <cell r="U16">
            <v>5</v>
          </cell>
          <cell r="V16">
            <v>1</v>
          </cell>
          <cell r="W16">
            <v>4</v>
          </cell>
          <cell r="X16">
            <v>20</v>
          </cell>
          <cell r="AC16">
            <v>8767500</v>
          </cell>
        </row>
        <row r="17">
          <cell r="C17" t="str">
            <v>LAC2312</v>
          </cell>
          <cell r="E17" t="str">
            <v>Orelope Venture Owode</v>
          </cell>
          <cell r="F17" t="str">
            <v>Stockist</v>
          </cell>
          <cell r="G17">
            <v>0</v>
          </cell>
          <cell r="AC17">
            <v>0</v>
          </cell>
        </row>
        <row r="18">
          <cell r="C18" t="str">
            <v>LAC3836</v>
          </cell>
          <cell r="E18" t="str">
            <v>Jay Investment</v>
          </cell>
          <cell r="F18" t="str">
            <v>Stockist</v>
          </cell>
          <cell r="G18">
            <v>26</v>
          </cell>
          <cell r="J18">
            <v>5</v>
          </cell>
          <cell r="O18">
            <v>5</v>
          </cell>
          <cell r="R18">
            <v>5</v>
          </cell>
          <cell r="U18">
            <v>1</v>
          </cell>
          <cell r="V18">
            <v>1</v>
          </cell>
          <cell r="W18">
            <v>1</v>
          </cell>
          <cell r="X18">
            <v>8</v>
          </cell>
          <cell r="AC18">
            <v>5022500</v>
          </cell>
        </row>
        <row r="19">
          <cell r="C19" t="str">
            <v>LAC3884</v>
          </cell>
          <cell r="E19" t="str">
            <v>URCH AND CHUKSENTERPRISES</v>
          </cell>
          <cell r="F19" t="str">
            <v>Stockist</v>
          </cell>
          <cell r="G19">
            <v>16</v>
          </cell>
          <cell r="J19">
            <v>3</v>
          </cell>
          <cell r="O19">
            <v>4</v>
          </cell>
          <cell r="R19">
            <v>2</v>
          </cell>
          <cell r="X19">
            <v>7</v>
          </cell>
          <cell r="AC19">
            <v>3315000</v>
          </cell>
        </row>
        <row r="20">
          <cell r="C20" t="str">
            <v>SWC2877</v>
          </cell>
          <cell r="E20" t="str">
            <v>Akingbade Folukemi</v>
          </cell>
          <cell r="F20" t="str">
            <v>Stockist</v>
          </cell>
          <cell r="G20">
            <v>20</v>
          </cell>
          <cell r="J20">
            <v>20</v>
          </cell>
          <cell r="AC20">
            <v>5230000</v>
          </cell>
        </row>
        <row r="21">
          <cell r="C21" t="str">
            <v>SWC2804</v>
          </cell>
          <cell r="E21" t="str">
            <v>Chinedu Store</v>
          </cell>
          <cell r="F21" t="str">
            <v>Partner</v>
          </cell>
          <cell r="G21">
            <v>45</v>
          </cell>
          <cell r="J21">
            <v>45</v>
          </cell>
          <cell r="AC21">
            <v>11767500</v>
          </cell>
        </row>
        <row r="22">
          <cell r="C22" t="str">
            <v>SWC2361</v>
          </cell>
          <cell r="E22" t="str">
            <v>Kumuyi Sore</v>
          </cell>
          <cell r="F22" t="str">
            <v>Partner</v>
          </cell>
          <cell r="G22">
            <v>40</v>
          </cell>
          <cell r="J22">
            <v>40</v>
          </cell>
          <cell r="AC22">
            <v>10460000</v>
          </cell>
        </row>
        <row r="23">
          <cell r="C23" t="str">
            <v>SWC2360</v>
          </cell>
          <cell r="E23" t="str">
            <v>Godwin Provision Store Venture</v>
          </cell>
          <cell r="F23" t="str">
            <v>Stockist</v>
          </cell>
          <cell r="G23">
            <v>30</v>
          </cell>
          <cell r="J23">
            <v>30</v>
          </cell>
          <cell r="AC23">
            <v>7845000</v>
          </cell>
        </row>
        <row r="24">
          <cell r="C24" t="str">
            <v>SWC2308</v>
          </cell>
          <cell r="E24" t="str">
            <v>Adeyinka Ayo</v>
          </cell>
          <cell r="F24" t="str">
            <v>Stockist</v>
          </cell>
          <cell r="G24">
            <v>11</v>
          </cell>
          <cell r="J24">
            <v>11</v>
          </cell>
          <cell r="AC24">
            <v>2876500</v>
          </cell>
        </row>
        <row r="25">
          <cell r="C25" t="str">
            <v>SWC2274</v>
          </cell>
          <cell r="E25" t="str">
            <v>Oba Ndi Igbo Nig. Ltd.</v>
          </cell>
          <cell r="F25" t="str">
            <v>Stockist</v>
          </cell>
          <cell r="G25">
            <v>20</v>
          </cell>
          <cell r="J25">
            <v>20</v>
          </cell>
          <cell r="AC25">
            <v>5230000</v>
          </cell>
        </row>
        <row r="26">
          <cell r="C26" t="str">
            <v>WCFA000684</v>
          </cell>
          <cell r="E26" t="str">
            <v>Hycent Chukwu (stockist)</v>
          </cell>
          <cell r="F26" t="str">
            <v>Mega Partner</v>
          </cell>
          <cell r="G26">
            <v>140</v>
          </cell>
          <cell r="J26">
            <v>140</v>
          </cell>
          <cell r="AC26">
            <v>36610000</v>
          </cell>
        </row>
        <row r="27">
          <cell r="C27" t="str">
            <v>SWC0882</v>
          </cell>
          <cell r="E27" t="str">
            <v>Desmond Ubeh</v>
          </cell>
          <cell r="F27" t="str">
            <v>Mega Partner</v>
          </cell>
          <cell r="G27">
            <v>150</v>
          </cell>
          <cell r="J27">
            <v>150</v>
          </cell>
          <cell r="AC27">
            <v>39225000</v>
          </cell>
        </row>
        <row r="28">
          <cell r="C28" t="str">
            <v>SWC0874</v>
          </cell>
          <cell r="E28" t="str">
            <v>Donas Stores</v>
          </cell>
          <cell r="F28" t="str">
            <v>Partner</v>
          </cell>
          <cell r="G28">
            <v>40</v>
          </cell>
          <cell r="J28">
            <v>40</v>
          </cell>
          <cell r="AC28">
            <v>10460000</v>
          </cell>
        </row>
        <row r="29">
          <cell r="C29" t="str">
            <v>SWC0873</v>
          </cell>
          <cell r="E29" t="str">
            <v>Samtex Supermart</v>
          </cell>
          <cell r="F29" t="str">
            <v>Partner</v>
          </cell>
          <cell r="G29">
            <v>40</v>
          </cell>
          <cell r="J29">
            <v>40</v>
          </cell>
          <cell r="AC29">
            <v>10460000</v>
          </cell>
        </row>
        <row r="30">
          <cell r="C30" t="str">
            <v>WCFA000685</v>
          </cell>
          <cell r="E30" t="str">
            <v>Pioneer Stores (stockist)</v>
          </cell>
          <cell r="F30" t="str">
            <v>Partner</v>
          </cell>
          <cell r="G30">
            <v>45</v>
          </cell>
          <cell r="J30">
            <v>45</v>
          </cell>
          <cell r="AC30">
            <v>11767500</v>
          </cell>
        </row>
        <row r="31">
          <cell r="C31" t="str">
            <v>WCFA000683</v>
          </cell>
          <cell r="E31" t="str">
            <v>Famous Onome (stockist)</v>
          </cell>
          <cell r="F31" t="str">
            <v>Mega Partner</v>
          </cell>
          <cell r="G31">
            <v>65</v>
          </cell>
          <cell r="J31">
            <v>65</v>
          </cell>
          <cell r="AC31">
            <v>16997500</v>
          </cell>
        </row>
        <row r="32">
          <cell r="C32" t="str">
            <v>SWC0881</v>
          </cell>
          <cell r="E32" t="str">
            <v>Stephen Supermart</v>
          </cell>
          <cell r="F32" t="str">
            <v>Mega Partner</v>
          </cell>
          <cell r="G32">
            <v>130</v>
          </cell>
          <cell r="J32">
            <v>130</v>
          </cell>
          <cell r="AC32">
            <v>33995000</v>
          </cell>
        </row>
        <row r="33">
          <cell r="C33" t="str">
            <v>SWC2927</v>
          </cell>
          <cell r="E33" t="str">
            <v>Muritala Store</v>
          </cell>
          <cell r="F33" t="str">
            <v>Stockist</v>
          </cell>
          <cell r="G33">
            <v>18</v>
          </cell>
          <cell r="J33">
            <v>18</v>
          </cell>
          <cell r="AC33">
            <v>4707000</v>
          </cell>
        </row>
        <row r="34">
          <cell r="C34" t="str">
            <v>SWC2940</v>
          </cell>
          <cell r="E34" t="str">
            <v>Chris Chilly Variety Shop</v>
          </cell>
          <cell r="F34" t="str">
            <v>Stockist</v>
          </cell>
          <cell r="G34">
            <v>25</v>
          </cell>
          <cell r="J34">
            <v>25</v>
          </cell>
          <cell r="AC34">
            <v>6537500</v>
          </cell>
        </row>
        <row r="35">
          <cell r="C35" t="str">
            <v>SWC3059</v>
          </cell>
          <cell r="E35" t="str">
            <v>Zubair Sunday Inimisi</v>
          </cell>
          <cell r="F35" t="str">
            <v>Stockist</v>
          </cell>
          <cell r="G35">
            <v>20</v>
          </cell>
          <cell r="J35">
            <v>20</v>
          </cell>
          <cell r="AC35">
            <v>5230000</v>
          </cell>
        </row>
        <row r="36">
          <cell r="C36" t="str">
            <v>LAC3766</v>
          </cell>
          <cell r="E36" t="str">
            <v>Alhaji Yaya</v>
          </cell>
          <cell r="F36" t="str">
            <v>Stockist</v>
          </cell>
          <cell r="G36">
            <v>20</v>
          </cell>
          <cell r="J36">
            <v>3</v>
          </cell>
          <cell r="L36">
            <v>3</v>
          </cell>
          <cell r="O36">
            <v>3</v>
          </cell>
          <cell r="R36">
            <v>3</v>
          </cell>
          <cell r="X36">
            <v>8</v>
          </cell>
          <cell r="AC36">
            <v>3944000</v>
          </cell>
        </row>
        <row r="37">
          <cell r="C37" t="str">
            <v>LAC0340</v>
          </cell>
          <cell r="E37" t="str">
            <v>MRS OMURHIE</v>
          </cell>
          <cell r="F37" t="str">
            <v>Partner</v>
          </cell>
          <cell r="G37">
            <v>80</v>
          </cell>
          <cell r="J37">
            <v>15</v>
          </cell>
          <cell r="L37">
            <v>1</v>
          </cell>
          <cell r="O37">
            <v>20</v>
          </cell>
          <cell r="R37">
            <v>9</v>
          </cell>
          <cell r="X37">
            <v>35</v>
          </cell>
          <cell r="AC37">
            <v>16606000</v>
          </cell>
        </row>
        <row r="38">
          <cell r="C38" t="str">
            <v>LAC3853</v>
          </cell>
          <cell r="E38" t="str">
            <v>Daniel Akuru</v>
          </cell>
          <cell r="F38" t="str">
            <v>Partner</v>
          </cell>
          <cell r="G38">
            <v>55</v>
          </cell>
          <cell r="J38">
            <v>5</v>
          </cell>
          <cell r="K38">
            <v>2</v>
          </cell>
          <cell r="L38">
            <v>10</v>
          </cell>
          <cell r="O38">
            <v>10</v>
          </cell>
          <cell r="R38">
            <v>5</v>
          </cell>
          <cell r="V38">
            <v>2</v>
          </cell>
          <cell r="W38">
            <v>1</v>
          </cell>
          <cell r="X38">
            <v>20</v>
          </cell>
          <cell r="AC38">
            <v>10551500</v>
          </cell>
        </row>
        <row r="39">
          <cell r="C39" t="str">
            <v>LAC3847</v>
          </cell>
          <cell r="E39" t="str">
            <v>TEE JAY Store</v>
          </cell>
          <cell r="F39" t="str">
            <v>Stockist</v>
          </cell>
          <cell r="G39">
            <v>0</v>
          </cell>
          <cell r="AC39">
            <v>0</v>
          </cell>
        </row>
        <row r="40">
          <cell r="C40" t="str">
            <v>LAC3911</v>
          </cell>
          <cell r="E40" t="str">
            <v>Bright Star Venture</v>
          </cell>
          <cell r="F40" t="str">
            <v>Stockist</v>
          </cell>
          <cell r="G40">
            <v>0</v>
          </cell>
          <cell r="AC40">
            <v>0</v>
          </cell>
        </row>
        <row r="41">
          <cell r="C41" t="str">
            <v>LAC3912</v>
          </cell>
          <cell r="E41" t="str">
            <v>Blessed Royal DOM</v>
          </cell>
          <cell r="F41" t="str">
            <v>Stockist</v>
          </cell>
          <cell r="G41">
            <v>20</v>
          </cell>
          <cell r="J41">
            <v>3</v>
          </cell>
          <cell r="K41">
            <v>2</v>
          </cell>
          <cell r="L41">
            <v>2</v>
          </cell>
          <cell r="O41">
            <v>5</v>
          </cell>
          <cell r="R41">
            <v>2</v>
          </cell>
          <cell r="W41">
            <v>1</v>
          </cell>
          <cell r="X41">
            <v>5</v>
          </cell>
          <cell r="AC41">
            <v>3984000</v>
          </cell>
        </row>
        <row r="42">
          <cell r="C42" t="str">
            <v>LAC3913</v>
          </cell>
          <cell r="E42" t="str">
            <v>Ugwuanyi Chukwudi</v>
          </cell>
          <cell r="F42" t="str">
            <v>Stockist</v>
          </cell>
          <cell r="G42">
            <v>0</v>
          </cell>
          <cell r="AC42">
            <v>0</v>
          </cell>
        </row>
        <row r="43">
          <cell r="C43" t="str">
            <v>SWC2872</v>
          </cell>
          <cell r="E43" t="str">
            <v>MUMMY NAFISAT - RME</v>
          </cell>
          <cell r="F43" t="str">
            <v>Stockist</v>
          </cell>
          <cell r="G43">
            <v>17</v>
          </cell>
          <cell r="J43">
            <v>5.3</v>
          </cell>
          <cell r="K43">
            <v>0.5</v>
          </cell>
          <cell r="L43">
            <v>0.5</v>
          </cell>
          <cell r="O43">
            <v>1</v>
          </cell>
          <cell r="R43">
            <v>0</v>
          </cell>
          <cell r="S43">
            <v>0</v>
          </cell>
          <cell r="T43">
            <v>0</v>
          </cell>
          <cell r="U43">
            <v>1</v>
          </cell>
          <cell r="V43">
            <v>1.4</v>
          </cell>
          <cell r="W43">
            <v>0.8</v>
          </cell>
          <cell r="X43">
            <v>6.5</v>
          </cell>
          <cell r="AC43">
            <v>3371900</v>
          </cell>
        </row>
        <row r="44">
          <cell r="C44" t="str">
            <v>SWC2869</v>
          </cell>
          <cell r="E44" t="str">
            <v>Olaosebikan Stores - RME</v>
          </cell>
          <cell r="F44" t="str">
            <v>Stockist</v>
          </cell>
          <cell r="G44">
            <v>40</v>
          </cell>
          <cell r="J44">
            <v>19</v>
          </cell>
          <cell r="L44">
            <v>0.1</v>
          </cell>
          <cell r="O44">
            <v>6</v>
          </cell>
          <cell r="R44">
            <v>1.98</v>
          </cell>
          <cell r="S44">
            <v>0</v>
          </cell>
          <cell r="T44">
            <v>0</v>
          </cell>
          <cell r="U44">
            <v>0.125</v>
          </cell>
          <cell r="V44">
            <v>0.25</v>
          </cell>
          <cell r="W44">
            <v>2.1749999999999998</v>
          </cell>
          <cell r="X44">
            <v>10.119999999999999</v>
          </cell>
          <cell r="Y44">
            <v>0.25</v>
          </cell>
          <cell r="AC44">
            <v>8879517.5</v>
          </cell>
        </row>
        <row r="45">
          <cell r="C45" t="str">
            <v>SWC2687</v>
          </cell>
          <cell r="E45" t="str">
            <v>Iya Bose</v>
          </cell>
          <cell r="F45" t="str">
            <v>Stockist</v>
          </cell>
          <cell r="G45">
            <v>30</v>
          </cell>
          <cell r="J45">
            <v>5</v>
          </cell>
          <cell r="L45">
            <v>0.5</v>
          </cell>
          <cell r="O45">
            <v>3</v>
          </cell>
          <cell r="R45">
            <v>0</v>
          </cell>
          <cell r="U45">
            <v>2.5</v>
          </cell>
          <cell r="V45">
            <v>2</v>
          </cell>
          <cell r="W45">
            <v>2</v>
          </cell>
          <cell r="X45">
            <v>13</v>
          </cell>
          <cell r="Y45">
            <v>2</v>
          </cell>
          <cell r="AC45">
            <v>5480750</v>
          </cell>
        </row>
        <row r="46">
          <cell r="C46" t="str">
            <v>SWC2662</v>
          </cell>
          <cell r="E46" t="str">
            <v>Iya Dada (RME)</v>
          </cell>
          <cell r="F46" t="str">
            <v>Partner</v>
          </cell>
          <cell r="G46">
            <v>15</v>
          </cell>
          <cell r="J46">
            <v>1</v>
          </cell>
          <cell r="L46">
            <v>1</v>
          </cell>
          <cell r="O46">
            <v>1</v>
          </cell>
          <cell r="R46">
            <v>1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2</v>
          </cell>
          <cell r="X46">
            <v>6</v>
          </cell>
          <cell r="Y46">
            <v>1</v>
          </cell>
          <cell r="AC46">
            <v>2502000</v>
          </cell>
        </row>
        <row r="47">
          <cell r="C47" t="str">
            <v>SWC1812</v>
          </cell>
          <cell r="E47" t="str">
            <v>Iya Faruq (RME)</v>
          </cell>
          <cell r="F47" t="str">
            <v>Stockist</v>
          </cell>
          <cell r="G47">
            <v>0</v>
          </cell>
          <cell r="L47">
            <v>0</v>
          </cell>
          <cell r="S47">
            <v>0</v>
          </cell>
          <cell r="T47">
            <v>0</v>
          </cell>
          <cell r="AC47">
            <v>0</v>
          </cell>
        </row>
        <row r="48">
          <cell r="C48" t="str">
            <v>SWC0951</v>
          </cell>
          <cell r="E48" t="str">
            <v>MRS PAUL</v>
          </cell>
          <cell r="F48" t="str">
            <v>Stockist</v>
          </cell>
          <cell r="G48">
            <v>10</v>
          </cell>
          <cell r="J48">
            <v>7.5</v>
          </cell>
          <cell r="L48">
            <v>0</v>
          </cell>
          <cell r="O48">
            <v>1</v>
          </cell>
          <cell r="S48">
            <v>0</v>
          </cell>
          <cell r="T48">
            <v>0</v>
          </cell>
          <cell r="U48">
            <v>0.4</v>
          </cell>
          <cell r="V48">
            <v>0.1</v>
          </cell>
          <cell r="W48">
            <v>0</v>
          </cell>
          <cell r="X48">
            <v>1</v>
          </cell>
          <cell r="AC48">
            <v>2433600</v>
          </cell>
        </row>
        <row r="49">
          <cell r="C49" t="str">
            <v>SWC1699</v>
          </cell>
          <cell r="E49" t="str">
            <v>Iya Alimot</v>
          </cell>
          <cell r="F49" t="str">
            <v>Partner</v>
          </cell>
          <cell r="G49">
            <v>40</v>
          </cell>
          <cell r="J49">
            <v>13</v>
          </cell>
          <cell r="L49">
            <v>1.5</v>
          </cell>
          <cell r="O49">
            <v>1.5</v>
          </cell>
          <cell r="R49">
            <v>1.2</v>
          </cell>
          <cell r="S49">
            <v>0</v>
          </cell>
          <cell r="T49">
            <v>0</v>
          </cell>
          <cell r="U49">
            <v>0.75</v>
          </cell>
          <cell r="V49">
            <v>0.3</v>
          </cell>
          <cell r="W49">
            <v>20</v>
          </cell>
          <cell r="X49">
            <v>0.75</v>
          </cell>
          <cell r="Y49">
            <v>1</v>
          </cell>
          <cell r="AC49">
            <v>6819575</v>
          </cell>
        </row>
        <row r="50">
          <cell r="C50" t="str">
            <v>SWC1052</v>
          </cell>
          <cell r="E50" t="str">
            <v>Alhaja Adija Kubura</v>
          </cell>
          <cell r="F50" t="str">
            <v>Stockist</v>
          </cell>
          <cell r="G50">
            <v>0</v>
          </cell>
          <cell r="AC50">
            <v>0</v>
          </cell>
        </row>
        <row r="51">
          <cell r="C51" t="str">
            <v>SWC1051</v>
          </cell>
          <cell r="E51" t="str">
            <v>BABA ISA</v>
          </cell>
          <cell r="F51" t="str">
            <v>Stockist</v>
          </cell>
          <cell r="G51">
            <v>11</v>
          </cell>
          <cell r="J51">
            <v>1</v>
          </cell>
          <cell r="L51">
            <v>0</v>
          </cell>
          <cell r="O51">
            <v>2</v>
          </cell>
          <cell r="R51">
            <v>0.5</v>
          </cell>
          <cell r="S51">
            <v>0</v>
          </cell>
          <cell r="T51">
            <v>0</v>
          </cell>
          <cell r="U51">
            <v>1</v>
          </cell>
          <cell r="V51">
            <v>0.5</v>
          </cell>
          <cell r="W51">
            <v>2</v>
          </cell>
          <cell r="X51">
            <v>3</v>
          </cell>
          <cell r="Y51">
            <v>1</v>
          </cell>
          <cell r="AC51">
            <v>1862500</v>
          </cell>
        </row>
        <row r="52">
          <cell r="C52" t="str">
            <v>SWC0865</v>
          </cell>
          <cell r="E52" t="str">
            <v>Iya Ibeji (Stockiest)</v>
          </cell>
          <cell r="F52" t="str">
            <v>Partner</v>
          </cell>
          <cell r="G52">
            <v>45</v>
          </cell>
          <cell r="J52">
            <v>2</v>
          </cell>
          <cell r="L52">
            <v>2</v>
          </cell>
          <cell r="O52">
            <v>5</v>
          </cell>
          <cell r="R52">
            <v>1</v>
          </cell>
          <cell r="S52">
            <v>0</v>
          </cell>
          <cell r="T52">
            <v>0</v>
          </cell>
          <cell r="U52">
            <v>1</v>
          </cell>
          <cell r="V52">
            <v>0</v>
          </cell>
          <cell r="W52">
            <v>1</v>
          </cell>
          <cell r="X52">
            <v>33</v>
          </cell>
          <cell r="Y52">
            <v>0</v>
          </cell>
          <cell r="AC52">
            <v>8610000</v>
          </cell>
        </row>
        <row r="53">
          <cell r="C53" t="str">
            <v>SWC1685</v>
          </cell>
          <cell r="E53" t="str">
            <v>TEE &amp; KAY</v>
          </cell>
          <cell r="F53" t="str">
            <v>Partner</v>
          </cell>
          <cell r="G53">
            <v>35</v>
          </cell>
          <cell r="J53">
            <v>15.1</v>
          </cell>
          <cell r="L53">
            <v>0.1</v>
          </cell>
          <cell r="O53">
            <v>2</v>
          </cell>
          <cell r="R53">
            <v>2</v>
          </cell>
          <cell r="S53">
            <v>0</v>
          </cell>
          <cell r="T53">
            <v>0</v>
          </cell>
          <cell r="U53">
            <v>0.125</v>
          </cell>
          <cell r="V53">
            <v>0.25</v>
          </cell>
          <cell r="W53">
            <v>2.1749999999999998</v>
          </cell>
          <cell r="X53">
            <v>13</v>
          </cell>
          <cell r="Y53">
            <v>0.25</v>
          </cell>
          <cell r="AC53">
            <v>7483437.5</v>
          </cell>
        </row>
        <row r="54">
          <cell r="C54" t="str">
            <v>SWC1270</v>
          </cell>
          <cell r="E54" t="str">
            <v>IYA DAMMY</v>
          </cell>
          <cell r="F54" t="str">
            <v>Stockist</v>
          </cell>
          <cell r="G54">
            <v>0</v>
          </cell>
          <cell r="L54">
            <v>0</v>
          </cell>
          <cell r="S54">
            <v>0</v>
          </cell>
          <cell r="T54">
            <v>0</v>
          </cell>
          <cell r="AC54">
            <v>0</v>
          </cell>
        </row>
        <row r="55">
          <cell r="C55" t="str">
            <v>SWC1107</v>
          </cell>
          <cell r="E55" t="str">
            <v>IYA FOLLY</v>
          </cell>
          <cell r="F55" t="str">
            <v>Partner</v>
          </cell>
          <cell r="G55">
            <v>35</v>
          </cell>
          <cell r="J55">
            <v>5</v>
          </cell>
          <cell r="L55">
            <v>0.5</v>
          </cell>
          <cell r="O55">
            <v>6</v>
          </cell>
          <cell r="R55">
            <v>0</v>
          </cell>
          <cell r="U55">
            <v>2.5</v>
          </cell>
          <cell r="V55">
            <v>2</v>
          </cell>
          <cell r="W55">
            <v>2</v>
          </cell>
          <cell r="X55">
            <v>15</v>
          </cell>
          <cell r="Y55">
            <v>2</v>
          </cell>
          <cell r="AC55">
            <v>6549250</v>
          </cell>
        </row>
        <row r="56">
          <cell r="C56" t="str">
            <v>SWC0955</v>
          </cell>
          <cell r="E56" t="str">
            <v>IYA NIYI</v>
          </cell>
          <cell r="F56" t="str">
            <v>Partner</v>
          </cell>
          <cell r="G56">
            <v>35</v>
          </cell>
          <cell r="J56">
            <v>5</v>
          </cell>
          <cell r="L56">
            <v>0.5</v>
          </cell>
          <cell r="O56">
            <v>6</v>
          </cell>
          <cell r="R56">
            <v>0</v>
          </cell>
          <cell r="U56">
            <v>2.5</v>
          </cell>
          <cell r="V56">
            <v>2</v>
          </cell>
          <cell r="W56">
            <v>2</v>
          </cell>
          <cell r="X56">
            <v>15</v>
          </cell>
          <cell r="Y56">
            <v>2</v>
          </cell>
          <cell r="AC56">
            <v>6549250</v>
          </cell>
        </row>
        <row r="57">
          <cell r="C57" t="str">
            <v>RCP000045</v>
          </cell>
          <cell r="E57" t="str">
            <v>Alhaja Alaranse (Stockiest)</v>
          </cell>
          <cell r="F57" t="str">
            <v>Stockist</v>
          </cell>
          <cell r="G57">
            <v>0</v>
          </cell>
          <cell r="AC57">
            <v>0</v>
          </cell>
        </row>
        <row r="58">
          <cell r="C58" t="str">
            <v>SWC1845</v>
          </cell>
          <cell r="E58" t="str">
            <v>MRS ALAYO (RME)</v>
          </cell>
          <cell r="F58" t="str">
            <v>Stockist</v>
          </cell>
          <cell r="G58">
            <v>20</v>
          </cell>
          <cell r="J58">
            <v>4.18</v>
          </cell>
          <cell r="L58">
            <v>0</v>
          </cell>
          <cell r="O58">
            <v>4.2</v>
          </cell>
          <cell r="R58">
            <v>2.12</v>
          </cell>
          <cell r="S58">
            <v>0</v>
          </cell>
          <cell r="T58">
            <v>0</v>
          </cell>
          <cell r="U58">
            <v>0.05</v>
          </cell>
          <cell r="V58">
            <v>0.15</v>
          </cell>
          <cell r="W58">
            <v>2</v>
          </cell>
          <cell r="X58">
            <v>7.3</v>
          </cell>
          <cell r="AC58">
            <v>3992835</v>
          </cell>
        </row>
        <row r="59">
          <cell r="C59" t="str">
            <v>SWC2242</v>
          </cell>
          <cell r="E59" t="str">
            <v>MADAM GOODLUCK</v>
          </cell>
          <cell r="F59" t="str">
            <v>Stockist</v>
          </cell>
          <cell r="G59">
            <v>15.000000000000002</v>
          </cell>
          <cell r="J59">
            <v>6.48</v>
          </cell>
          <cell r="L59">
            <v>0</v>
          </cell>
          <cell r="O59">
            <v>2</v>
          </cell>
          <cell r="R59">
            <v>0.47</v>
          </cell>
          <cell r="S59">
            <v>0</v>
          </cell>
          <cell r="T59">
            <v>0</v>
          </cell>
          <cell r="U59">
            <v>1.3</v>
          </cell>
          <cell r="V59">
            <v>2.5</v>
          </cell>
          <cell r="W59">
            <v>2</v>
          </cell>
          <cell r="X59">
            <v>0.25</v>
          </cell>
          <cell r="AC59">
            <v>2917810</v>
          </cell>
        </row>
        <row r="60">
          <cell r="C60" t="str">
            <v>SWC2935</v>
          </cell>
          <cell r="E60" t="str">
            <v>AWOBAJO STORE</v>
          </cell>
          <cell r="F60" t="str">
            <v>Stockist</v>
          </cell>
          <cell r="G60">
            <v>60</v>
          </cell>
          <cell r="J60">
            <v>15</v>
          </cell>
          <cell r="L60">
            <v>3</v>
          </cell>
          <cell r="O60">
            <v>11.5</v>
          </cell>
          <cell r="R60">
            <v>1.5</v>
          </cell>
          <cell r="S60">
            <v>0</v>
          </cell>
          <cell r="T60">
            <v>0</v>
          </cell>
          <cell r="U60">
            <v>1</v>
          </cell>
          <cell r="V60">
            <v>1</v>
          </cell>
          <cell r="W60">
            <v>1</v>
          </cell>
          <cell r="X60">
            <v>24</v>
          </cell>
          <cell r="Y60">
            <v>2</v>
          </cell>
          <cell r="AC60">
            <v>12399500</v>
          </cell>
        </row>
        <row r="61">
          <cell r="C61" t="str">
            <v>SWC2962</v>
          </cell>
          <cell r="E61" t="str">
            <v>Mummy Pius</v>
          </cell>
          <cell r="F61" t="str">
            <v>Stockist</v>
          </cell>
          <cell r="G61">
            <v>11</v>
          </cell>
          <cell r="J61">
            <v>2</v>
          </cell>
          <cell r="L61">
            <v>1</v>
          </cell>
          <cell r="O61">
            <v>2</v>
          </cell>
          <cell r="R61">
            <v>1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5</v>
          </cell>
          <cell r="Y61">
            <v>0</v>
          </cell>
          <cell r="AC61">
            <v>2246500</v>
          </cell>
        </row>
        <row r="62">
          <cell r="C62" t="str">
            <v>SWC2816</v>
          </cell>
          <cell r="E62" t="str">
            <v>Morufat Ayoola</v>
          </cell>
          <cell r="F62" t="str">
            <v>Stockist</v>
          </cell>
          <cell r="G62">
            <v>10</v>
          </cell>
          <cell r="J62">
            <v>0.6</v>
          </cell>
          <cell r="K62">
            <v>0</v>
          </cell>
          <cell r="L62">
            <v>2.4</v>
          </cell>
          <cell r="N62">
            <v>0</v>
          </cell>
          <cell r="O62">
            <v>1</v>
          </cell>
          <cell r="P62">
            <v>1</v>
          </cell>
          <cell r="Q62">
            <v>0</v>
          </cell>
          <cell r="U62">
            <v>0</v>
          </cell>
          <cell r="V62">
            <v>0</v>
          </cell>
          <cell r="W62">
            <v>0</v>
          </cell>
          <cell r="X62">
            <v>4</v>
          </cell>
          <cell r="Y62">
            <v>1</v>
          </cell>
          <cell r="AC62">
            <v>1937600</v>
          </cell>
        </row>
        <row r="63">
          <cell r="C63" t="str">
            <v>SWC2338</v>
          </cell>
          <cell r="E63" t="str">
            <v>Iya Blessing</v>
          </cell>
          <cell r="F63" t="str">
            <v>Partner</v>
          </cell>
          <cell r="G63">
            <v>40</v>
          </cell>
          <cell r="J63">
            <v>2.0499999999999998</v>
          </cell>
          <cell r="K63">
            <v>2.5</v>
          </cell>
          <cell r="L63">
            <v>1.2</v>
          </cell>
          <cell r="N63">
            <v>0</v>
          </cell>
          <cell r="O63">
            <v>6</v>
          </cell>
          <cell r="P63">
            <v>14</v>
          </cell>
          <cell r="Q63">
            <v>0</v>
          </cell>
          <cell r="R63">
            <v>0.25</v>
          </cell>
          <cell r="U63">
            <v>1</v>
          </cell>
          <cell r="V63">
            <v>1</v>
          </cell>
          <cell r="W63">
            <v>1</v>
          </cell>
          <cell r="X63">
            <v>10</v>
          </cell>
          <cell r="Y63">
            <v>1</v>
          </cell>
          <cell r="AC63">
            <v>8596050</v>
          </cell>
        </row>
        <row r="64">
          <cell r="C64" t="str">
            <v>SWC2337</v>
          </cell>
          <cell r="E64" t="str">
            <v>Iya Fathia</v>
          </cell>
          <cell r="F64" t="str">
            <v>Partner</v>
          </cell>
          <cell r="G64">
            <v>40</v>
          </cell>
          <cell r="J64">
            <v>1</v>
          </cell>
          <cell r="K64">
            <v>5</v>
          </cell>
          <cell r="L64">
            <v>5.7</v>
          </cell>
          <cell r="N64">
            <v>0</v>
          </cell>
          <cell r="O64">
            <v>6</v>
          </cell>
          <cell r="P64">
            <v>13</v>
          </cell>
          <cell r="Q64">
            <v>0</v>
          </cell>
          <cell r="R64">
            <v>0.5</v>
          </cell>
          <cell r="U64">
            <v>1</v>
          </cell>
          <cell r="V64">
            <v>1</v>
          </cell>
          <cell r="W64">
            <v>1.8</v>
          </cell>
          <cell r="X64">
            <v>5</v>
          </cell>
          <cell r="Y64">
            <v>0</v>
          </cell>
          <cell r="AC64">
            <v>8359400</v>
          </cell>
        </row>
        <row r="65">
          <cell r="C65" t="str">
            <v>SWC2336</v>
          </cell>
          <cell r="E65" t="str">
            <v>L&amp;B Stores</v>
          </cell>
          <cell r="F65" t="str">
            <v>Partner</v>
          </cell>
          <cell r="G65">
            <v>0</v>
          </cell>
          <cell r="AC65">
            <v>0</v>
          </cell>
        </row>
        <row r="66">
          <cell r="C66" t="str">
            <v>SWC0049</v>
          </cell>
          <cell r="E66" t="str">
            <v>Omo Eko</v>
          </cell>
          <cell r="F66" t="str">
            <v>Mega Partner</v>
          </cell>
          <cell r="G66">
            <v>0</v>
          </cell>
          <cell r="AC66">
            <v>0</v>
          </cell>
        </row>
        <row r="67">
          <cell r="C67" t="str">
            <v>SWC0045</v>
          </cell>
          <cell r="E67" t="str">
            <v>Iya Abedeen</v>
          </cell>
          <cell r="F67" t="str">
            <v>Partner</v>
          </cell>
          <cell r="G67">
            <v>9.9999999999999982</v>
          </cell>
          <cell r="J67">
            <v>0.1</v>
          </cell>
          <cell r="K67">
            <v>0.78</v>
          </cell>
          <cell r="L67">
            <v>0.1</v>
          </cell>
          <cell r="N67">
            <v>0</v>
          </cell>
          <cell r="O67">
            <v>0.4</v>
          </cell>
          <cell r="P67">
            <v>0.8</v>
          </cell>
          <cell r="Q67">
            <v>0</v>
          </cell>
          <cell r="R67">
            <v>0.18</v>
          </cell>
          <cell r="U67">
            <v>4</v>
          </cell>
          <cell r="V67">
            <v>0.2</v>
          </cell>
          <cell r="W67">
            <v>0.34</v>
          </cell>
          <cell r="X67">
            <v>2.9</v>
          </cell>
          <cell r="Y67">
            <v>0.2</v>
          </cell>
          <cell r="AC67">
            <v>1558640</v>
          </cell>
        </row>
        <row r="68">
          <cell r="C68" t="str">
            <v>WCFA000688</v>
          </cell>
          <cell r="E68" t="str">
            <v>Mr John (stockist)</v>
          </cell>
          <cell r="F68" t="str">
            <v>Mega Partner</v>
          </cell>
          <cell r="G68">
            <v>70</v>
          </cell>
          <cell r="J68">
            <v>1</v>
          </cell>
          <cell r="K68">
            <v>5</v>
          </cell>
          <cell r="L68">
            <v>1.36</v>
          </cell>
          <cell r="N68">
            <v>0</v>
          </cell>
          <cell r="O68">
            <v>8</v>
          </cell>
          <cell r="P68">
            <v>36</v>
          </cell>
          <cell r="Q68">
            <v>0</v>
          </cell>
          <cell r="R68">
            <v>0.8</v>
          </cell>
          <cell r="U68">
            <v>1</v>
          </cell>
          <cell r="V68">
            <v>0.04</v>
          </cell>
          <cell r="W68">
            <v>0.8</v>
          </cell>
          <cell r="X68">
            <v>6</v>
          </cell>
          <cell r="Y68">
            <v>10</v>
          </cell>
          <cell r="AC68">
            <v>15217620</v>
          </cell>
        </row>
        <row r="69">
          <cell r="C69" t="str">
            <v>WCFA000686</v>
          </cell>
          <cell r="E69" t="str">
            <v>Iya Fayisa (stockist)</v>
          </cell>
          <cell r="F69" t="str">
            <v>Partner</v>
          </cell>
          <cell r="G69">
            <v>36</v>
          </cell>
          <cell r="J69">
            <v>1</v>
          </cell>
          <cell r="K69">
            <v>1</v>
          </cell>
          <cell r="L69">
            <v>1.4</v>
          </cell>
          <cell r="N69">
            <v>0</v>
          </cell>
          <cell r="O69">
            <v>3</v>
          </cell>
          <cell r="P69">
            <v>12</v>
          </cell>
          <cell r="Q69">
            <v>0</v>
          </cell>
          <cell r="R69">
            <v>0.28000000000000003</v>
          </cell>
          <cell r="U69">
            <v>1</v>
          </cell>
          <cell r="V69">
            <v>3.52</v>
          </cell>
          <cell r="W69">
            <v>2.2000000000000002</v>
          </cell>
          <cell r="X69">
            <v>5.8</v>
          </cell>
          <cell r="Y69">
            <v>4.8</v>
          </cell>
          <cell r="AC69">
            <v>6944980</v>
          </cell>
        </row>
        <row r="70">
          <cell r="C70" t="str">
            <v>SWC1120</v>
          </cell>
          <cell r="E70" t="str">
            <v>ALH. LIMOTA BASIRI</v>
          </cell>
          <cell r="F70" t="str">
            <v>Stockist</v>
          </cell>
          <cell r="G70">
            <v>0</v>
          </cell>
          <cell r="AC70">
            <v>0</v>
          </cell>
        </row>
        <row r="71">
          <cell r="C71" t="str">
            <v>SWC1118</v>
          </cell>
          <cell r="E71" t="str">
            <v>IYA LAYI</v>
          </cell>
          <cell r="F71" t="str">
            <v>Partner</v>
          </cell>
          <cell r="G71">
            <v>45.000000000000007</v>
          </cell>
          <cell r="J71">
            <v>8</v>
          </cell>
          <cell r="K71">
            <v>2.9</v>
          </cell>
          <cell r="L71">
            <v>0.22</v>
          </cell>
          <cell r="N71">
            <v>0</v>
          </cell>
          <cell r="O71">
            <v>6</v>
          </cell>
          <cell r="P71">
            <v>19</v>
          </cell>
          <cell r="Q71">
            <v>0</v>
          </cell>
          <cell r="R71">
            <v>0.18</v>
          </cell>
          <cell r="U71">
            <v>1</v>
          </cell>
          <cell r="V71">
            <v>0.1</v>
          </cell>
          <cell r="W71">
            <v>0.4</v>
          </cell>
          <cell r="X71">
            <v>6</v>
          </cell>
          <cell r="Y71">
            <v>1.2</v>
          </cell>
          <cell r="AC71">
            <v>10446020</v>
          </cell>
        </row>
        <row r="72">
          <cell r="C72" t="str">
            <v>SWC1114</v>
          </cell>
          <cell r="E72" t="str">
            <v>IYA SUNDAY</v>
          </cell>
          <cell r="F72" t="str">
            <v>Stockist</v>
          </cell>
          <cell r="G72">
            <v>14.999999999999998</v>
          </cell>
          <cell r="J72">
            <v>0.1</v>
          </cell>
          <cell r="K72">
            <v>0.78</v>
          </cell>
          <cell r="L72">
            <v>0.1</v>
          </cell>
          <cell r="N72">
            <v>0</v>
          </cell>
          <cell r="O72">
            <v>0.4</v>
          </cell>
          <cell r="P72">
            <v>9.8000000000000007</v>
          </cell>
          <cell r="Q72">
            <v>0</v>
          </cell>
          <cell r="R72">
            <v>0.18</v>
          </cell>
          <cell r="U72">
            <v>0</v>
          </cell>
          <cell r="V72">
            <v>0.2</v>
          </cell>
          <cell r="W72">
            <v>0.34</v>
          </cell>
          <cell r="X72">
            <v>2.9</v>
          </cell>
          <cell r="Y72">
            <v>0.2</v>
          </cell>
          <cell r="AC72">
            <v>3492140</v>
          </cell>
        </row>
        <row r="73">
          <cell r="C73" t="str">
            <v>SWC0957</v>
          </cell>
          <cell r="E73" t="str">
            <v>Mama Jemila</v>
          </cell>
          <cell r="F73" t="str">
            <v>Partner</v>
          </cell>
          <cell r="G73">
            <v>25</v>
          </cell>
          <cell r="J73">
            <v>1</v>
          </cell>
          <cell r="K73">
            <v>1</v>
          </cell>
          <cell r="L73">
            <v>0.22</v>
          </cell>
          <cell r="N73">
            <v>1</v>
          </cell>
          <cell r="O73">
            <v>2</v>
          </cell>
          <cell r="P73">
            <v>12.9</v>
          </cell>
          <cell r="Q73">
            <v>0</v>
          </cell>
          <cell r="R73">
            <v>0.18</v>
          </cell>
          <cell r="U73">
            <v>1</v>
          </cell>
          <cell r="V73">
            <v>0.1</v>
          </cell>
          <cell r="W73">
            <v>0.4</v>
          </cell>
          <cell r="X73">
            <v>4</v>
          </cell>
          <cell r="Y73">
            <v>1.2</v>
          </cell>
          <cell r="AC73">
            <v>5483420</v>
          </cell>
        </row>
        <row r="74">
          <cell r="C74" t="str">
            <v>SWC0923</v>
          </cell>
          <cell r="E74" t="str">
            <v>Iya Toheeb</v>
          </cell>
          <cell r="F74" t="str">
            <v>Partner</v>
          </cell>
          <cell r="G74">
            <v>20</v>
          </cell>
          <cell r="J74">
            <v>0.1</v>
          </cell>
          <cell r="K74">
            <v>0.7</v>
          </cell>
          <cell r="L74">
            <v>1.02</v>
          </cell>
          <cell r="N74">
            <v>0</v>
          </cell>
          <cell r="O74">
            <v>6</v>
          </cell>
          <cell r="P74">
            <v>5</v>
          </cell>
          <cell r="Q74">
            <v>0</v>
          </cell>
          <cell r="R74">
            <v>0.28000000000000003</v>
          </cell>
          <cell r="U74">
            <v>1</v>
          </cell>
          <cell r="V74">
            <v>0.2</v>
          </cell>
          <cell r="W74">
            <v>0.3</v>
          </cell>
          <cell r="X74">
            <v>2</v>
          </cell>
          <cell r="Y74">
            <v>3.4</v>
          </cell>
          <cell r="AC74">
            <v>3983620</v>
          </cell>
        </row>
        <row r="75">
          <cell r="C75" t="str">
            <v>RCFA000673</v>
          </cell>
          <cell r="E75" t="str">
            <v>Iya sofiat (Stockist)</v>
          </cell>
          <cell r="F75" t="str">
            <v>Mega Partner</v>
          </cell>
          <cell r="G75">
            <v>50.000000000000007</v>
          </cell>
          <cell r="J75">
            <v>0.2</v>
          </cell>
          <cell r="K75">
            <v>1.36</v>
          </cell>
          <cell r="L75">
            <v>4</v>
          </cell>
          <cell r="N75">
            <v>0</v>
          </cell>
          <cell r="O75">
            <v>9</v>
          </cell>
          <cell r="P75">
            <v>23</v>
          </cell>
          <cell r="Q75">
            <v>0</v>
          </cell>
          <cell r="R75">
            <v>0.34</v>
          </cell>
          <cell r="U75">
            <v>1</v>
          </cell>
          <cell r="V75">
            <v>0.2</v>
          </cell>
          <cell r="W75">
            <v>0.4</v>
          </cell>
          <cell r="X75">
            <v>5</v>
          </cell>
          <cell r="Y75">
            <v>5.5</v>
          </cell>
          <cell r="AC75">
            <v>10870960</v>
          </cell>
        </row>
        <row r="76">
          <cell r="C76" t="str">
            <v>SWC2265</v>
          </cell>
          <cell r="E76" t="str">
            <v>Boss Internationl Ventures</v>
          </cell>
          <cell r="F76" t="str">
            <v>Partner</v>
          </cell>
          <cell r="G76">
            <v>9.9999999999999982</v>
          </cell>
          <cell r="J76">
            <v>0.1</v>
          </cell>
          <cell r="K76">
            <v>0.78</v>
          </cell>
          <cell r="L76">
            <v>0.1</v>
          </cell>
          <cell r="N76">
            <v>0</v>
          </cell>
          <cell r="O76">
            <v>0.4</v>
          </cell>
          <cell r="P76">
            <v>1.8</v>
          </cell>
          <cell r="Q76">
            <v>0</v>
          </cell>
          <cell r="R76">
            <v>0.18</v>
          </cell>
          <cell r="U76">
            <v>3</v>
          </cell>
          <cell r="V76">
            <v>0.2</v>
          </cell>
          <cell r="W76">
            <v>0.34</v>
          </cell>
          <cell r="X76">
            <v>2.9</v>
          </cell>
          <cell r="Y76">
            <v>0.2</v>
          </cell>
          <cell r="AC76">
            <v>1715140</v>
          </cell>
        </row>
        <row r="77">
          <cell r="C77" t="str">
            <v>SWC2262</v>
          </cell>
          <cell r="E77" t="str">
            <v>Alhaja Alapadi</v>
          </cell>
          <cell r="F77" t="str">
            <v>Partner</v>
          </cell>
          <cell r="G77">
            <v>0</v>
          </cell>
          <cell r="AC77">
            <v>0</v>
          </cell>
        </row>
        <row r="78">
          <cell r="C78" t="str">
            <v>SWC0933</v>
          </cell>
          <cell r="E78" t="str">
            <v>OGB Ventures</v>
          </cell>
          <cell r="F78" t="str">
            <v>Partner</v>
          </cell>
          <cell r="G78">
            <v>0</v>
          </cell>
          <cell r="J78">
            <v>0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Q78">
            <v>0</v>
          </cell>
          <cell r="R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AC78">
            <v>0</v>
          </cell>
        </row>
        <row r="79">
          <cell r="C79" t="str">
            <v>SWC2212</v>
          </cell>
          <cell r="E79" t="str">
            <v>Dendark Concept</v>
          </cell>
          <cell r="F79" t="str">
            <v>Partner</v>
          </cell>
          <cell r="G79">
            <v>20</v>
          </cell>
          <cell r="J79">
            <v>2</v>
          </cell>
          <cell r="K79">
            <v>2</v>
          </cell>
          <cell r="O79">
            <v>8</v>
          </cell>
          <cell r="R79">
            <v>1</v>
          </cell>
          <cell r="V79">
            <v>2</v>
          </cell>
          <cell r="X79">
            <v>4</v>
          </cell>
          <cell r="Y79">
            <v>1</v>
          </cell>
          <cell r="AC79">
            <v>3957000</v>
          </cell>
        </row>
        <row r="80">
          <cell r="C80" t="str">
            <v>SWC1117</v>
          </cell>
          <cell r="E80" t="str">
            <v>IYA ISIAKA</v>
          </cell>
          <cell r="F80" t="str">
            <v>Stockist</v>
          </cell>
          <cell r="G80">
            <v>11.999999999999998</v>
          </cell>
          <cell r="J80">
            <v>0.1</v>
          </cell>
          <cell r="K80">
            <v>0.6</v>
          </cell>
          <cell r="L80">
            <v>0.5</v>
          </cell>
          <cell r="N80">
            <v>0</v>
          </cell>
          <cell r="O80">
            <v>0.48</v>
          </cell>
          <cell r="P80">
            <v>7.4</v>
          </cell>
          <cell r="Q80">
            <v>0</v>
          </cell>
          <cell r="R80">
            <v>0.18</v>
          </cell>
          <cell r="U80">
            <v>0</v>
          </cell>
          <cell r="V80">
            <v>0.1</v>
          </cell>
          <cell r="W80">
            <v>0.2</v>
          </cell>
          <cell r="X80">
            <v>2</v>
          </cell>
          <cell r="Y80">
            <v>0.44</v>
          </cell>
          <cell r="AC80">
            <v>2751940</v>
          </cell>
        </row>
        <row r="81">
          <cell r="C81" t="str">
            <v>RCFA000672</v>
          </cell>
          <cell r="E81" t="str">
            <v>Mr. Keneth (Stockist)</v>
          </cell>
          <cell r="F81" t="str">
            <v>Stockist</v>
          </cell>
          <cell r="G81">
            <v>0</v>
          </cell>
          <cell r="AC81">
            <v>0</v>
          </cell>
        </row>
        <row r="82">
          <cell r="C82" t="str">
            <v>SWC2969</v>
          </cell>
          <cell r="E82" t="str">
            <v>Iya Dauda</v>
          </cell>
          <cell r="F82" t="str">
            <v>Partner</v>
          </cell>
          <cell r="G82">
            <v>40</v>
          </cell>
          <cell r="J82">
            <v>5</v>
          </cell>
          <cell r="K82">
            <v>2.9</v>
          </cell>
          <cell r="L82">
            <v>0.22</v>
          </cell>
          <cell r="N82">
            <v>0</v>
          </cell>
          <cell r="O82">
            <v>6</v>
          </cell>
          <cell r="P82">
            <v>17</v>
          </cell>
          <cell r="Q82">
            <v>0</v>
          </cell>
          <cell r="R82">
            <v>0.18</v>
          </cell>
          <cell r="U82">
            <v>1</v>
          </cell>
          <cell r="V82">
            <v>0.1</v>
          </cell>
          <cell r="W82">
            <v>0.4</v>
          </cell>
          <cell r="X82">
            <v>6</v>
          </cell>
          <cell r="Y82">
            <v>1.2</v>
          </cell>
          <cell r="AC82">
            <v>9138520</v>
          </cell>
        </row>
        <row r="83">
          <cell r="C83" t="str">
            <v>SWC2846</v>
          </cell>
          <cell r="E83" t="str">
            <v>Orelope Ventures</v>
          </cell>
          <cell r="F83" t="str">
            <v>Partner</v>
          </cell>
          <cell r="G83">
            <v>35.950000000000003</v>
          </cell>
          <cell r="J83">
            <v>1</v>
          </cell>
          <cell r="K83">
            <v>1</v>
          </cell>
          <cell r="L83">
            <v>1.2</v>
          </cell>
          <cell r="N83">
            <v>0</v>
          </cell>
          <cell r="O83">
            <v>4</v>
          </cell>
          <cell r="P83">
            <v>19.5</v>
          </cell>
          <cell r="Q83">
            <v>0</v>
          </cell>
          <cell r="R83">
            <v>0.25</v>
          </cell>
          <cell r="U83">
            <v>1</v>
          </cell>
          <cell r="V83">
            <v>1</v>
          </cell>
          <cell r="W83">
            <v>1</v>
          </cell>
          <cell r="X83">
            <v>5</v>
          </cell>
          <cell r="Y83">
            <v>1</v>
          </cell>
          <cell r="AC83">
            <v>8092975</v>
          </cell>
        </row>
        <row r="84">
          <cell r="C84" t="str">
            <v>SWC2840</v>
          </cell>
          <cell r="E84" t="str">
            <v>Iya Funke - RME</v>
          </cell>
          <cell r="F84" t="str">
            <v>Stockist</v>
          </cell>
          <cell r="G84">
            <v>26</v>
          </cell>
          <cell r="J84">
            <v>0.1</v>
          </cell>
          <cell r="K84">
            <v>2.2999999999999998</v>
          </cell>
          <cell r="L84">
            <v>3.5</v>
          </cell>
          <cell r="N84">
            <v>0.1</v>
          </cell>
          <cell r="O84">
            <v>2.2999999999999998</v>
          </cell>
          <cell r="Q84">
            <v>0.1</v>
          </cell>
          <cell r="R84">
            <v>0.6</v>
          </cell>
          <cell r="U84">
            <v>1</v>
          </cell>
          <cell r="V84">
            <v>0.1</v>
          </cell>
          <cell r="W84">
            <v>0.9</v>
          </cell>
          <cell r="X84">
            <v>5</v>
          </cell>
          <cell r="Y84">
            <v>10</v>
          </cell>
          <cell r="AC84">
            <v>3985100</v>
          </cell>
        </row>
        <row r="85">
          <cell r="C85" t="str">
            <v>LAC3729</v>
          </cell>
          <cell r="E85" t="str">
            <v>Iya Fatia</v>
          </cell>
          <cell r="F85" t="str">
            <v>Stockist</v>
          </cell>
          <cell r="G85">
            <v>80</v>
          </cell>
          <cell r="J85">
            <v>35</v>
          </cell>
          <cell r="L85">
            <v>2</v>
          </cell>
          <cell r="O85">
            <v>16</v>
          </cell>
          <cell r="P85">
            <v>19</v>
          </cell>
          <cell r="X85">
            <v>8</v>
          </cell>
          <cell r="AC85">
            <v>19668000</v>
          </cell>
        </row>
        <row r="86">
          <cell r="C86" t="str">
            <v>LAC3666</v>
          </cell>
          <cell r="E86" t="str">
            <v>Iya Jamiu- RME</v>
          </cell>
          <cell r="F86" t="str">
            <v>Partner</v>
          </cell>
          <cell r="G86">
            <v>35</v>
          </cell>
          <cell r="J86">
            <v>17</v>
          </cell>
          <cell r="O86">
            <v>7</v>
          </cell>
          <cell r="P86">
            <v>8</v>
          </cell>
          <cell r="X86">
            <v>3</v>
          </cell>
          <cell r="AC86">
            <v>8716500</v>
          </cell>
        </row>
        <row r="87">
          <cell r="C87" t="str">
            <v>LAC0670</v>
          </cell>
          <cell r="E87" t="str">
            <v>MR EMEKA</v>
          </cell>
          <cell r="F87" t="str">
            <v>Stockist</v>
          </cell>
          <cell r="G87">
            <v>15</v>
          </cell>
          <cell r="J87">
            <v>7</v>
          </cell>
          <cell r="K87">
            <v>0.5</v>
          </cell>
          <cell r="L87">
            <v>0.5</v>
          </cell>
          <cell r="O87">
            <v>2</v>
          </cell>
          <cell r="P87">
            <v>4</v>
          </cell>
          <cell r="W87">
            <v>1</v>
          </cell>
          <cell r="AC87">
            <v>3626500</v>
          </cell>
        </row>
        <row r="88">
          <cell r="C88" t="str">
            <v>LAC0669</v>
          </cell>
          <cell r="E88" t="str">
            <v>IYA AMIDA</v>
          </cell>
          <cell r="F88" t="str">
            <v>Partner</v>
          </cell>
          <cell r="G88">
            <v>40</v>
          </cell>
          <cell r="J88">
            <v>20</v>
          </cell>
          <cell r="O88">
            <v>7</v>
          </cell>
          <cell r="P88">
            <v>10</v>
          </cell>
          <cell r="X88">
            <v>3</v>
          </cell>
          <cell r="AC88">
            <v>10024000</v>
          </cell>
        </row>
        <row r="89">
          <cell r="C89" t="str">
            <v>LAC3919</v>
          </cell>
          <cell r="E89" t="str">
            <v>Mama Uche Store</v>
          </cell>
          <cell r="F89" t="str">
            <v>Stockist</v>
          </cell>
          <cell r="G89">
            <v>10</v>
          </cell>
          <cell r="J89">
            <v>5</v>
          </cell>
          <cell r="O89">
            <v>3</v>
          </cell>
          <cell r="X89">
            <v>2</v>
          </cell>
          <cell r="AC89">
            <v>2376000</v>
          </cell>
        </row>
        <row r="90">
          <cell r="C90" t="str">
            <v>LAC3004</v>
          </cell>
          <cell r="E90" t="str">
            <v>Obosi Store</v>
          </cell>
          <cell r="F90" t="str">
            <v>Stockist</v>
          </cell>
          <cell r="G90">
            <v>0</v>
          </cell>
          <cell r="AC90">
            <v>0</v>
          </cell>
        </row>
        <row r="91">
          <cell r="C91" t="str">
            <v>LAC1849</v>
          </cell>
          <cell r="E91" t="str">
            <v>Faruku Hassan (RME)</v>
          </cell>
          <cell r="F91" t="str">
            <v>Mega Partner</v>
          </cell>
          <cell r="G91">
            <v>40</v>
          </cell>
          <cell r="J91">
            <v>21</v>
          </cell>
          <cell r="N91">
            <v>0</v>
          </cell>
          <cell r="O91">
            <v>10</v>
          </cell>
          <cell r="P91">
            <v>7</v>
          </cell>
          <cell r="X91">
            <v>2</v>
          </cell>
          <cell r="AC91">
            <v>10004000</v>
          </cell>
        </row>
        <row r="92">
          <cell r="C92" t="str">
            <v>SWC3101</v>
          </cell>
          <cell r="E92" t="str">
            <v>Angela Ugwu</v>
          </cell>
          <cell r="F92" t="str">
            <v>Stockist</v>
          </cell>
          <cell r="G92">
            <v>11</v>
          </cell>
          <cell r="J92">
            <v>11</v>
          </cell>
          <cell r="AC92">
            <v>2876500</v>
          </cell>
        </row>
        <row r="93">
          <cell r="C93" t="str">
            <v>SWC3352</v>
          </cell>
          <cell r="E93" t="str">
            <v>Emmakemoo Ventures</v>
          </cell>
          <cell r="F93" t="str">
            <v>Stockist</v>
          </cell>
          <cell r="G93">
            <v>20</v>
          </cell>
          <cell r="J93">
            <v>20</v>
          </cell>
          <cell r="AC93">
            <v>5230000</v>
          </cell>
        </row>
        <row r="94">
          <cell r="C94" t="str">
            <v>SWC3357</v>
          </cell>
          <cell r="E94" t="str">
            <v>Crown Mother Ventures (RME)</v>
          </cell>
          <cell r="F94" t="str">
            <v>Stockist</v>
          </cell>
          <cell r="G94">
            <v>35</v>
          </cell>
          <cell r="J94">
            <v>35</v>
          </cell>
          <cell r="AC94">
            <v>9152500</v>
          </cell>
        </row>
        <row r="95">
          <cell r="C95" t="str">
            <v>LAC3932</v>
          </cell>
          <cell r="E95" t="str">
            <v>OmojowogbeOluwaseun Christianah (Iya Favour)</v>
          </cell>
          <cell r="F95" t="str">
            <v>Stockist</v>
          </cell>
          <cell r="G95">
            <v>10</v>
          </cell>
          <cell r="J95">
            <v>5</v>
          </cell>
          <cell r="O95">
            <v>3</v>
          </cell>
          <cell r="X95">
            <v>2</v>
          </cell>
          <cell r="AC95">
            <v>2376000</v>
          </cell>
        </row>
        <row r="96">
          <cell r="C96" t="str">
            <v>LAC3978</v>
          </cell>
          <cell r="E96" t="str">
            <v>Madam 33 store</v>
          </cell>
          <cell r="F96" t="str">
            <v>Stockist</v>
          </cell>
          <cell r="G96">
            <v>0</v>
          </cell>
          <cell r="AC96">
            <v>0</v>
          </cell>
        </row>
        <row r="97">
          <cell r="C97" t="str">
            <v>LAC4108</v>
          </cell>
          <cell r="E97" t="str">
            <v>Omotola Olatunji Store</v>
          </cell>
          <cell r="F97" t="str">
            <v>Stockist</v>
          </cell>
          <cell r="G97">
            <v>15</v>
          </cell>
          <cell r="J97">
            <v>8</v>
          </cell>
          <cell r="O97">
            <v>1</v>
          </cell>
          <cell r="P97">
            <v>4</v>
          </cell>
          <cell r="X97">
            <v>2</v>
          </cell>
          <cell r="AC97">
            <v>3745500</v>
          </cell>
        </row>
        <row r="98">
          <cell r="C98" t="str">
            <v>LAC4158</v>
          </cell>
          <cell r="E98" t="str">
            <v>REMI Store</v>
          </cell>
          <cell r="F98" t="str">
            <v>Stockist</v>
          </cell>
          <cell r="G98">
            <v>40</v>
          </cell>
          <cell r="J98">
            <v>20</v>
          </cell>
          <cell r="O98">
            <v>7</v>
          </cell>
          <cell r="P98">
            <v>10</v>
          </cell>
          <cell r="X98">
            <v>3</v>
          </cell>
          <cell r="AC98">
            <v>10024000</v>
          </cell>
        </row>
        <row r="99">
          <cell r="C99" t="str">
            <v>LAC4167</v>
          </cell>
          <cell r="E99" t="str">
            <v>Taiwo Babs Enterprise</v>
          </cell>
          <cell r="F99" t="str">
            <v>Stockist</v>
          </cell>
          <cell r="G99">
            <v>17</v>
          </cell>
          <cell r="J99">
            <v>8</v>
          </cell>
          <cell r="O99">
            <v>2</v>
          </cell>
          <cell r="P99">
            <v>3</v>
          </cell>
          <cell r="X99">
            <v>4</v>
          </cell>
          <cell r="AC99">
            <v>4091500</v>
          </cell>
        </row>
        <row r="100">
          <cell r="C100" t="str">
            <v>LAC4180</v>
          </cell>
          <cell r="E100" t="str">
            <v>Nacass Venture</v>
          </cell>
          <cell r="F100" t="str">
            <v>Stockist</v>
          </cell>
          <cell r="G100">
            <v>30</v>
          </cell>
          <cell r="J100">
            <v>15</v>
          </cell>
          <cell r="O100">
            <v>5</v>
          </cell>
          <cell r="P100">
            <v>7</v>
          </cell>
          <cell r="X100">
            <v>3</v>
          </cell>
          <cell r="AC100">
            <v>7471000</v>
          </cell>
        </row>
        <row r="101">
          <cell r="C101" t="str">
            <v>SWC3085</v>
          </cell>
          <cell r="E101" t="str">
            <v>Akinyode Idowu</v>
          </cell>
          <cell r="F101" t="str">
            <v>Partner</v>
          </cell>
          <cell r="G101">
            <v>36.000000000000007</v>
          </cell>
          <cell r="J101">
            <v>4</v>
          </cell>
          <cell r="K101">
            <v>9</v>
          </cell>
          <cell r="O101">
            <v>5</v>
          </cell>
          <cell r="P101">
            <v>10.8</v>
          </cell>
          <cell r="R101">
            <v>2.2000000000000002</v>
          </cell>
          <cell r="T101">
            <v>0</v>
          </cell>
          <cell r="U101">
            <v>0.1</v>
          </cell>
          <cell r="V101">
            <v>0.1</v>
          </cell>
          <cell r="W101">
            <v>0.2</v>
          </cell>
          <cell r="X101">
            <v>4</v>
          </cell>
          <cell r="Y101">
            <v>0.6</v>
          </cell>
          <cell r="AC101">
            <v>7786750</v>
          </cell>
        </row>
        <row r="102">
          <cell r="C102" t="str">
            <v>SWC3180</v>
          </cell>
          <cell r="E102" t="str">
            <v>Almarufat Ventures</v>
          </cell>
          <cell r="F102" t="str">
            <v>Partner</v>
          </cell>
          <cell r="G102">
            <v>34.999999999999993</v>
          </cell>
          <cell r="J102">
            <v>0.2</v>
          </cell>
          <cell r="K102">
            <v>1</v>
          </cell>
          <cell r="L102">
            <v>1.04</v>
          </cell>
          <cell r="N102">
            <v>0</v>
          </cell>
          <cell r="O102">
            <v>3.6</v>
          </cell>
          <cell r="P102">
            <v>12.6</v>
          </cell>
          <cell r="Q102">
            <v>0</v>
          </cell>
          <cell r="R102">
            <v>0.36</v>
          </cell>
          <cell r="U102">
            <v>3</v>
          </cell>
          <cell r="V102">
            <v>5.4</v>
          </cell>
          <cell r="W102">
            <v>0.2</v>
          </cell>
          <cell r="X102">
            <v>6.8</v>
          </cell>
          <cell r="Y102">
            <v>0.8</v>
          </cell>
          <cell r="AC102">
            <v>6910240</v>
          </cell>
        </row>
        <row r="103">
          <cell r="C103" t="str">
            <v>LAC3901</v>
          </cell>
          <cell r="E103" t="str">
            <v>Bumi Shittu</v>
          </cell>
          <cell r="F103" t="str">
            <v>Stockist</v>
          </cell>
          <cell r="G103">
            <v>0</v>
          </cell>
          <cell r="AC103">
            <v>0</v>
          </cell>
        </row>
        <row r="104">
          <cell r="C104" t="str">
            <v>LAC3921</v>
          </cell>
          <cell r="E104" t="str">
            <v>Daudu Titilayo</v>
          </cell>
          <cell r="F104" t="str">
            <v>Stockist</v>
          </cell>
          <cell r="G104">
            <v>20</v>
          </cell>
          <cell r="J104">
            <v>5</v>
          </cell>
          <cell r="K104">
            <v>1</v>
          </cell>
          <cell r="O104">
            <v>5</v>
          </cell>
          <cell r="R104">
            <v>1</v>
          </cell>
          <cell r="V104">
            <v>1</v>
          </cell>
          <cell r="W104">
            <v>1</v>
          </cell>
          <cell r="X104">
            <v>6</v>
          </cell>
          <cell r="AC104">
            <v>4138000</v>
          </cell>
        </row>
        <row r="105">
          <cell r="C105" t="str">
            <v>LAC3902</v>
          </cell>
          <cell r="E105" t="str">
            <v>Oluwadamilare Unique Venture</v>
          </cell>
          <cell r="F105" t="str">
            <v>Stockist</v>
          </cell>
          <cell r="G105">
            <v>26</v>
          </cell>
          <cell r="J105">
            <v>8</v>
          </cell>
          <cell r="O105">
            <v>3</v>
          </cell>
          <cell r="R105">
            <v>5</v>
          </cell>
          <cell r="U105">
            <v>1</v>
          </cell>
          <cell r="W105">
            <v>1</v>
          </cell>
          <cell r="X105">
            <v>8</v>
          </cell>
          <cell r="AC105">
            <v>5232500</v>
          </cell>
        </row>
        <row r="106">
          <cell r="C106" t="str">
            <v>LAC3975</v>
          </cell>
          <cell r="E106" t="str">
            <v>Samuel Bankole</v>
          </cell>
          <cell r="F106" t="str">
            <v>Stockist</v>
          </cell>
          <cell r="G106">
            <v>55</v>
          </cell>
          <cell r="J106">
            <v>15</v>
          </cell>
          <cell r="K106">
            <v>0.5</v>
          </cell>
          <cell r="L106">
            <v>0.5</v>
          </cell>
          <cell r="N106">
            <v>0</v>
          </cell>
          <cell r="O106">
            <v>10</v>
          </cell>
          <cell r="R106">
            <v>6</v>
          </cell>
          <cell r="U106">
            <v>1</v>
          </cell>
          <cell r="V106">
            <v>1</v>
          </cell>
          <cell r="W106">
            <v>1</v>
          </cell>
          <cell r="X106">
            <v>20</v>
          </cell>
          <cell r="AC106">
            <v>11372000</v>
          </cell>
        </row>
        <row r="107">
          <cell r="C107" t="str">
            <v>LAC3948</v>
          </cell>
          <cell r="E107" t="str">
            <v>Noble Store(Adewunmi Idowu)</v>
          </cell>
          <cell r="F107" t="str">
            <v>Stockist</v>
          </cell>
          <cell r="G107">
            <v>0</v>
          </cell>
          <cell r="AC107">
            <v>0</v>
          </cell>
        </row>
        <row r="108">
          <cell r="C108" t="str">
            <v>LAC4107</v>
          </cell>
          <cell r="E108" t="str">
            <v>Idris Adetoun</v>
          </cell>
          <cell r="F108" t="str">
            <v>Stockist</v>
          </cell>
          <cell r="G108">
            <v>20</v>
          </cell>
          <cell r="J108">
            <v>2</v>
          </cell>
          <cell r="L108">
            <v>2</v>
          </cell>
          <cell r="O108">
            <v>5</v>
          </cell>
          <cell r="R108">
            <v>3</v>
          </cell>
          <cell r="U108">
            <v>1</v>
          </cell>
          <cell r="W108">
            <v>1</v>
          </cell>
          <cell r="X108">
            <v>6</v>
          </cell>
          <cell r="AC108">
            <v>3809500</v>
          </cell>
        </row>
        <row r="109">
          <cell r="C109" t="str">
            <v>SWC3280</v>
          </cell>
          <cell r="E109" t="str">
            <v>Olorunwa Stores</v>
          </cell>
          <cell r="F109" t="str">
            <v>Partner</v>
          </cell>
          <cell r="G109">
            <v>70</v>
          </cell>
          <cell r="J109">
            <v>21.5</v>
          </cell>
          <cell r="L109">
            <v>2</v>
          </cell>
          <cell r="O109">
            <v>5.5</v>
          </cell>
          <cell r="R109">
            <v>2</v>
          </cell>
          <cell r="S109">
            <v>0</v>
          </cell>
          <cell r="T109">
            <v>0</v>
          </cell>
          <cell r="U109">
            <v>0.25</v>
          </cell>
          <cell r="V109">
            <v>0.5</v>
          </cell>
          <cell r="W109">
            <v>0.75</v>
          </cell>
          <cell r="X109">
            <v>37.5</v>
          </cell>
          <cell r="AC109">
            <v>14766875</v>
          </cell>
        </row>
        <row r="110">
          <cell r="C110" t="str">
            <v>SWC3007</v>
          </cell>
          <cell r="E110" t="str">
            <v>Ojuolape Trading Stores Ltd</v>
          </cell>
          <cell r="F110" t="str">
            <v>Stockist</v>
          </cell>
          <cell r="G110">
            <v>0</v>
          </cell>
          <cell r="AC110">
            <v>0</v>
          </cell>
        </row>
        <row r="111">
          <cell r="C111" t="str">
            <v>LAC0313</v>
          </cell>
          <cell r="E111" t="str">
            <v>Suwanik Store (RME)</v>
          </cell>
          <cell r="F111" t="str">
            <v>Stockist</v>
          </cell>
          <cell r="G111">
            <v>0</v>
          </cell>
          <cell r="AC111">
            <v>0</v>
          </cell>
        </row>
        <row r="112">
          <cell r="C112" t="str">
            <v>LAC1612</v>
          </cell>
          <cell r="E112" t="str">
            <v>Njoku Darlington (RME)</v>
          </cell>
          <cell r="F112" t="str">
            <v>Stockist</v>
          </cell>
          <cell r="G112">
            <v>10</v>
          </cell>
          <cell r="J112">
            <v>1</v>
          </cell>
          <cell r="L112">
            <v>1</v>
          </cell>
          <cell r="O112">
            <v>2</v>
          </cell>
          <cell r="R112">
            <v>1</v>
          </cell>
          <cell r="X112">
            <v>5</v>
          </cell>
          <cell r="AC112">
            <v>1985000</v>
          </cell>
        </row>
        <row r="113">
          <cell r="C113" t="str">
            <v>SWC2105</v>
          </cell>
          <cell r="E113" t="str">
            <v>Iya Aminat</v>
          </cell>
          <cell r="F113" t="str">
            <v>Stockist</v>
          </cell>
          <cell r="G113">
            <v>0</v>
          </cell>
          <cell r="AC113">
            <v>0</v>
          </cell>
        </row>
        <row r="114">
          <cell r="C114" t="str">
            <v>SWC3284</v>
          </cell>
          <cell r="E114" t="str">
            <v>Ucheson Progressive Store</v>
          </cell>
          <cell r="F114" t="str">
            <v>Stockist</v>
          </cell>
          <cell r="G114">
            <v>0</v>
          </cell>
          <cell r="AC114">
            <v>0</v>
          </cell>
        </row>
        <row r="115">
          <cell r="C115" t="str">
            <v>LAC4206</v>
          </cell>
          <cell r="E115" t="str">
            <v>Iya Emma Store</v>
          </cell>
          <cell r="F115" t="str">
            <v>Stockist</v>
          </cell>
          <cell r="G115">
            <v>40</v>
          </cell>
          <cell r="J115">
            <v>20</v>
          </cell>
          <cell r="O115">
            <v>9</v>
          </cell>
          <cell r="P115">
            <v>8</v>
          </cell>
          <cell r="X115">
            <v>3</v>
          </cell>
          <cell r="AC115">
            <v>9962000</v>
          </cell>
        </row>
        <row r="116">
          <cell r="C116" t="str">
            <v>SWC 3272</v>
          </cell>
          <cell r="E116" t="str">
            <v>Abba Jude</v>
          </cell>
          <cell r="F116" t="str">
            <v xml:space="preserve">Probation </v>
          </cell>
          <cell r="G116">
            <v>35</v>
          </cell>
          <cell r="J116">
            <v>0.2</v>
          </cell>
          <cell r="K116">
            <v>0.1</v>
          </cell>
          <cell r="L116">
            <v>0.1</v>
          </cell>
          <cell r="N116">
            <v>0.1</v>
          </cell>
          <cell r="O116">
            <v>5</v>
          </cell>
          <cell r="P116">
            <v>10</v>
          </cell>
          <cell r="Q116">
            <v>0.5</v>
          </cell>
          <cell r="R116">
            <v>2</v>
          </cell>
          <cell r="U116">
            <v>1</v>
          </cell>
          <cell r="V116">
            <v>0.1</v>
          </cell>
          <cell r="W116">
            <v>1.9</v>
          </cell>
          <cell r="X116">
            <v>9</v>
          </cell>
          <cell r="Y116">
            <v>5</v>
          </cell>
          <cell r="AC116">
            <v>6842700</v>
          </cell>
        </row>
        <row r="117">
          <cell r="C117" t="str">
            <v>SWC3277</v>
          </cell>
          <cell r="E117" t="str">
            <v>Seabis continental</v>
          </cell>
          <cell r="F117" t="str">
            <v>Stockist</v>
          </cell>
          <cell r="G117">
            <v>45.000000000000007</v>
          </cell>
          <cell r="J117">
            <v>0.1</v>
          </cell>
          <cell r="K117">
            <v>0.7</v>
          </cell>
          <cell r="L117">
            <v>0.1</v>
          </cell>
          <cell r="N117">
            <v>0.4</v>
          </cell>
          <cell r="O117">
            <v>17</v>
          </cell>
          <cell r="P117">
            <v>20</v>
          </cell>
          <cell r="Q117">
            <v>0.1</v>
          </cell>
          <cell r="R117">
            <v>0.1</v>
          </cell>
          <cell r="U117">
            <v>0.2</v>
          </cell>
          <cell r="V117">
            <v>0.1</v>
          </cell>
          <cell r="W117">
            <v>0.2</v>
          </cell>
          <cell r="X117">
            <v>3</v>
          </cell>
          <cell r="Y117">
            <v>3</v>
          </cell>
          <cell r="AC117">
            <v>10347400</v>
          </cell>
        </row>
        <row r="118">
          <cell r="C118" t="str">
            <v>SWC3430</v>
          </cell>
          <cell r="E118" t="str">
            <v>Ibrahim Yusuf</v>
          </cell>
          <cell r="F118" t="str">
            <v xml:space="preserve">Probation </v>
          </cell>
          <cell r="G118">
            <v>0</v>
          </cell>
          <cell r="AC118">
            <v>0</v>
          </cell>
        </row>
        <row r="119">
          <cell r="C119" t="str">
            <v>LAC4187</v>
          </cell>
          <cell r="E119" t="str">
            <v>Iya Ebube</v>
          </cell>
          <cell r="F119" t="str">
            <v>Stockist</v>
          </cell>
          <cell r="G119">
            <v>20</v>
          </cell>
          <cell r="J119">
            <v>5</v>
          </cell>
          <cell r="O119">
            <v>5</v>
          </cell>
          <cell r="R119">
            <v>1</v>
          </cell>
          <cell r="U119">
            <v>1</v>
          </cell>
          <cell r="W119">
            <v>1</v>
          </cell>
          <cell r="X119">
            <v>7</v>
          </cell>
          <cell r="AC119">
            <v>4142500</v>
          </cell>
        </row>
        <row r="120">
          <cell r="C120" t="str">
            <v>SWC3422</v>
          </cell>
          <cell r="E120" t="str">
            <v>Mummy Dare</v>
          </cell>
          <cell r="F120" t="str">
            <v>Stockist</v>
          </cell>
          <cell r="G120">
            <v>0</v>
          </cell>
          <cell r="AC120">
            <v>0</v>
          </cell>
        </row>
        <row r="121">
          <cell r="C121" t="str">
            <v>SWC3421</v>
          </cell>
          <cell r="E121" t="str">
            <v xml:space="preserve"> Bola Paul</v>
          </cell>
          <cell r="F121" t="str">
            <v>Stockist</v>
          </cell>
          <cell r="G121">
            <v>0</v>
          </cell>
          <cell r="AC121">
            <v>0</v>
          </cell>
        </row>
        <row r="122">
          <cell r="C122" t="str">
            <v>LAC4238</v>
          </cell>
          <cell r="E122" t="str">
            <v>Victor Store</v>
          </cell>
          <cell r="F122" t="str">
            <v>Stockist</v>
          </cell>
          <cell r="G122">
            <v>10</v>
          </cell>
          <cell r="J122">
            <v>4</v>
          </cell>
          <cell r="O122">
            <v>2</v>
          </cell>
          <cell r="X122">
            <v>4</v>
          </cell>
          <cell r="AC122">
            <v>2261000</v>
          </cell>
        </row>
        <row r="123">
          <cell r="C123" t="str">
            <v>LAC4237</v>
          </cell>
          <cell r="E123" t="str">
            <v>Nogis Store</v>
          </cell>
          <cell r="F123" t="str">
            <v>Stockist</v>
          </cell>
          <cell r="G123">
            <v>15</v>
          </cell>
          <cell r="J123">
            <v>6</v>
          </cell>
          <cell r="O123">
            <v>3</v>
          </cell>
          <cell r="P123">
            <v>2</v>
          </cell>
          <cell r="X123">
            <v>4</v>
          </cell>
          <cell r="AC123">
            <v>3537500</v>
          </cell>
        </row>
        <row r="124">
          <cell r="C124" t="str">
            <v>LAC4239</v>
          </cell>
          <cell r="E124" t="str">
            <v>Paul Store</v>
          </cell>
          <cell r="F124" t="str">
            <v>Stockist</v>
          </cell>
          <cell r="G124">
            <v>10</v>
          </cell>
          <cell r="J124">
            <v>4</v>
          </cell>
          <cell r="O124">
            <v>2</v>
          </cell>
          <cell r="X124">
            <v>4</v>
          </cell>
          <cell r="AC124">
            <v>2261000</v>
          </cell>
        </row>
        <row r="125">
          <cell r="C125" t="str">
            <v>SWC3272</v>
          </cell>
          <cell r="E125" t="str">
            <v>Amos Bekke</v>
          </cell>
          <cell r="F125" t="str">
            <v>Stockist</v>
          </cell>
          <cell r="G125">
            <v>25</v>
          </cell>
          <cell r="J125">
            <v>2</v>
          </cell>
          <cell r="K125">
            <v>2</v>
          </cell>
          <cell r="O125">
            <v>13</v>
          </cell>
          <cell r="R125">
            <v>1</v>
          </cell>
          <cell r="V125">
            <v>2</v>
          </cell>
          <cell r="X125">
            <v>4</v>
          </cell>
          <cell r="Y125">
            <v>1</v>
          </cell>
          <cell r="AC125">
            <v>5109500</v>
          </cell>
        </row>
        <row r="126">
          <cell r="C126" t="str">
            <v xml:space="preserve">SWC2985
</v>
          </cell>
          <cell r="E126" t="str">
            <v>Mohammad Conde</v>
          </cell>
          <cell r="F126" t="str">
            <v>Stockist</v>
          </cell>
          <cell r="G126">
            <v>10</v>
          </cell>
          <cell r="J126">
            <v>0.6</v>
          </cell>
          <cell r="K126">
            <v>0</v>
          </cell>
          <cell r="L126">
            <v>2.4</v>
          </cell>
          <cell r="N126">
            <v>0</v>
          </cell>
          <cell r="O126">
            <v>1</v>
          </cell>
          <cell r="P126">
            <v>1</v>
          </cell>
          <cell r="Q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4</v>
          </cell>
          <cell r="Y126">
            <v>1</v>
          </cell>
          <cell r="AC126">
            <v>1937600</v>
          </cell>
        </row>
        <row r="127">
          <cell r="C127" t="str">
            <v>SWC3528</v>
          </cell>
          <cell r="E127" t="str">
            <v xml:space="preserve">Mummy Jamal </v>
          </cell>
          <cell r="F127" t="str">
            <v>Probation</v>
          </cell>
          <cell r="G127">
            <v>13</v>
          </cell>
          <cell r="J127">
            <v>0.6</v>
          </cell>
          <cell r="K127">
            <v>0</v>
          </cell>
          <cell r="L127">
            <v>2.4</v>
          </cell>
          <cell r="N127">
            <v>0</v>
          </cell>
          <cell r="O127">
            <v>4</v>
          </cell>
          <cell r="P127">
            <v>1</v>
          </cell>
          <cell r="Q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4</v>
          </cell>
          <cell r="Y127">
            <v>1</v>
          </cell>
          <cell r="AC127">
            <v>2629100</v>
          </cell>
        </row>
        <row r="128">
          <cell r="C128" t="str">
            <v>SWC3468</v>
          </cell>
          <cell r="E128" t="str">
            <v>Fatbat Venture</v>
          </cell>
          <cell r="F128" t="str">
            <v>Stockist</v>
          </cell>
          <cell r="G128">
            <v>11</v>
          </cell>
          <cell r="J128">
            <v>3</v>
          </cell>
          <cell r="O128">
            <v>2</v>
          </cell>
          <cell r="R128">
            <v>1</v>
          </cell>
          <cell r="T128">
            <v>0</v>
          </cell>
          <cell r="W128">
            <v>0</v>
          </cell>
          <cell r="X128">
            <v>5</v>
          </cell>
          <cell r="AC128">
            <v>2332500</v>
          </cell>
        </row>
        <row r="129">
          <cell r="C129" t="str">
            <v>LAC4270</v>
          </cell>
          <cell r="E129" t="str">
            <v>Muhammodu Modi</v>
          </cell>
          <cell r="F129" t="str">
            <v>Stockiest</v>
          </cell>
          <cell r="G129">
            <v>25</v>
          </cell>
          <cell r="J129">
            <v>5</v>
          </cell>
          <cell r="O129">
            <v>5</v>
          </cell>
          <cell r="R129">
            <v>3</v>
          </cell>
          <cell r="X129">
            <v>12</v>
          </cell>
          <cell r="AC129">
            <v>5155500</v>
          </cell>
        </row>
        <row r="130">
          <cell r="C130" t="str">
            <v>LAC4288</v>
          </cell>
          <cell r="E130" t="str">
            <v>Sowunmi Nig. Ltd</v>
          </cell>
          <cell r="F130" t="str">
            <v>Stockiest</v>
          </cell>
          <cell r="G130">
            <v>10</v>
          </cell>
          <cell r="J130">
            <v>2</v>
          </cell>
          <cell r="O130">
            <v>2</v>
          </cell>
          <cell r="R130">
            <v>1</v>
          </cell>
          <cell r="X130">
            <v>5</v>
          </cell>
          <cell r="AC130">
            <v>2071000</v>
          </cell>
        </row>
        <row r="131">
          <cell r="C131" t="str">
            <v>LAC4289</v>
          </cell>
          <cell r="E131" t="str">
            <v>Meletes World Service</v>
          </cell>
          <cell r="F131" t="str">
            <v>Stockiest</v>
          </cell>
          <cell r="G131">
            <v>10</v>
          </cell>
          <cell r="J131">
            <v>2</v>
          </cell>
          <cell r="O131">
            <v>2</v>
          </cell>
          <cell r="R131">
            <v>1</v>
          </cell>
          <cell r="X131">
            <v>5</v>
          </cell>
          <cell r="AC131">
            <v>2071000</v>
          </cell>
        </row>
        <row r="132">
          <cell r="C132" t="str">
            <v>LAC4290</v>
          </cell>
          <cell r="E132" t="str">
            <v>Bishop venture</v>
          </cell>
          <cell r="F132" t="str">
            <v>Stockiest</v>
          </cell>
          <cell r="G132">
            <v>10</v>
          </cell>
          <cell r="J132">
            <v>2</v>
          </cell>
          <cell r="O132">
            <v>2</v>
          </cell>
          <cell r="R132">
            <v>1</v>
          </cell>
          <cell r="X132">
            <v>5</v>
          </cell>
          <cell r="AC132">
            <v>2071000</v>
          </cell>
        </row>
        <row r="133">
          <cell r="C133" t="str">
            <v>SWC2876</v>
          </cell>
          <cell r="E133" t="str">
            <v>EMMANUEL AGRO</v>
          </cell>
          <cell r="F133" t="str">
            <v>Partner</v>
          </cell>
          <cell r="G133">
            <v>50</v>
          </cell>
          <cell r="H133">
            <v>0</v>
          </cell>
          <cell r="I133">
            <v>0</v>
          </cell>
          <cell r="J133">
            <v>7</v>
          </cell>
          <cell r="K133">
            <v>1.5</v>
          </cell>
          <cell r="L133">
            <v>1</v>
          </cell>
          <cell r="M133">
            <v>0</v>
          </cell>
          <cell r="N133">
            <v>0</v>
          </cell>
          <cell r="O133">
            <v>20</v>
          </cell>
          <cell r="P133">
            <v>0.2</v>
          </cell>
          <cell r="Q133">
            <v>0.6</v>
          </cell>
          <cell r="R133">
            <v>7</v>
          </cell>
          <cell r="S133">
            <v>0</v>
          </cell>
          <cell r="T133">
            <v>0</v>
          </cell>
          <cell r="U133">
            <v>0</v>
          </cell>
          <cell r="V133">
            <v>0.7</v>
          </cell>
          <cell r="W133">
            <v>0.5</v>
          </cell>
          <cell r="X133">
            <v>11.5</v>
          </cell>
          <cell r="Y133">
            <v>0</v>
          </cell>
          <cell r="AC133">
            <v>10358900</v>
          </cell>
        </row>
        <row r="134">
          <cell r="C134" t="str">
            <v>SWC2755</v>
          </cell>
          <cell r="E134" t="str">
            <v>Benzoro Store</v>
          </cell>
          <cell r="F134" t="str">
            <v>Partner</v>
          </cell>
          <cell r="G134">
            <v>50</v>
          </cell>
          <cell r="H134">
            <v>0</v>
          </cell>
          <cell r="I134">
            <v>0</v>
          </cell>
          <cell r="J134">
            <v>2</v>
          </cell>
          <cell r="K134">
            <v>2</v>
          </cell>
          <cell r="L134">
            <v>2</v>
          </cell>
          <cell r="M134">
            <v>0</v>
          </cell>
          <cell r="N134">
            <v>0</v>
          </cell>
          <cell r="O134">
            <v>16</v>
          </cell>
          <cell r="P134">
            <v>0</v>
          </cell>
          <cell r="Q134">
            <v>3.4</v>
          </cell>
          <cell r="R134">
            <v>6</v>
          </cell>
          <cell r="S134">
            <v>0</v>
          </cell>
          <cell r="T134">
            <v>0</v>
          </cell>
          <cell r="U134">
            <v>2</v>
          </cell>
          <cell r="V134">
            <v>2.4</v>
          </cell>
          <cell r="W134">
            <v>1.4</v>
          </cell>
          <cell r="X134">
            <v>12.8</v>
          </cell>
          <cell r="Y134">
            <v>0</v>
          </cell>
          <cell r="AC134">
            <v>9468200</v>
          </cell>
        </row>
        <row r="135">
          <cell r="C135" t="str">
            <v>WCFA000159</v>
          </cell>
          <cell r="E135" t="str">
            <v>Paul Ovieba</v>
          </cell>
          <cell r="F135" t="str">
            <v>Partner</v>
          </cell>
          <cell r="G135">
            <v>40</v>
          </cell>
          <cell r="H135">
            <v>0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0</v>
          </cell>
          <cell r="N135">
            <v>0</v>
          </cell>
          <cell r="O135">
            <v>12</v>
          </cell>
          <cell r="P135">
            <v>0</v>
          </cell>
          <cell r="Q135">
            <v>2</v>
          </cell>
          <cell r="R135">
            <v>9</v>
          </cell>
          <cell r="S135">
            <v>0</v>
          </cell>
          <cell r="T135">
            <v>0</v>
          </cell>
          <cell r="U135">
            <v>1</v>
          </cell>
          <cell r="V135">
            <v>2</v>
          </cell>
          <cell r="W135">
            <v>0.5</v>
          </cell>
          <cell r="X135">
            <v>10.5</v>
          </cell>
          <cell r="Y135">
            <v>0</v>
          </cell>
          <cell r="AC135">
            <v>7420000</v>
          </cell>
        </row>
        <row r="136">
          <cell r="C136" t="str">
            <v>SWC0888</v>
          </cell>
          <cell r="E136" t="str">
            <v>Ejike Nnamani (Stockiest)</v>
          </cell>
          <cell r="F136" t="str">
            <v>Stockist</v>
          </cell>
          <cell r="G136">
            <v>24.95</v>
          </cell>
          <cell r="H136">
            <v>0</v>
          </cell>
          <cell r="I136">
            <v>0</v>
          </cell>
          <cell r="J136">
            <v>0.2</v>
          </cell>
          <cell r="K136">
            <v>0</v>
          </cell>
          <cell r="L136">
            <v>0.5</v>
          </cell>
          <cell r="M136">
            <v>0</v>
          </cell>
          <cell r="N136">
            <v>1.1000000000000001</v>
          </cell>
          <cell r="O136">
            <v>19.399999999999999</v>
          </cell>
          <cell r="P136">
            <v>0</v>
          </cell>
          <cell r="Q136">
            <v>1</v>
          </cell>
          <cell r="R136">
            <v>2</v>
          </cell>
          <cell r="S136">
            <v>0</v>
          </cell>
          <cell r="T136">
            <v>0</v>
          </cell>
          <cell r="U136">
            <v>0.05</v>
          </cell>
          <cell r="V136">
            <v>0.2</v>
          </cell>
          <cell r="W136">
            <v>0</v>
          </cell>
          <cell r="X136">
            <v>0.5</v>
          </cell>
          <cell r="Y136">
            <v>0</v>
          </cell>
          <cell r="AC136">
            <v>5314500</v>
          </cell>
        </row>
        <row r="137">
          <cell r="C137" t="str">
            <v>SWC2356</v>
          </cell>
          <cell r="E137" t="str">
            <v>Amos Abu</v>
          </cell>
          <cell r="F137" t="str">
            <v>Mega Partner</v>
          </cell>
          <cell r="G137">
            <v>70</v>
          </cell>
          <cell r="H137">
            <v>0</v>
          </cell>
          <cell r="I137">
            <v>0</v>
          </cell>
          <cell r="J137">
            <v>5</v>
          </cell>
          <cell r="K137">
            <v>1</v>
          </cell>
          <cell r="L137">
            <v>2</v>
          </cell>
          <cell r="M137">
            <v>0</v>
          </cell>
          <cell r="N137">
            <v>0</v>
          </cell>
          <cell r="O137">
            <v>20.5</v>
          </cell>
          <cell r="P137">
            <v>0.5</v>
          </cell>
          <cell r="Q137">
            <v>1</v>
          </cell>
          <cell r="R137">
            <v>15</v>
          </cell>
          <cell r="S137">
            <v>0</v>
          </cell>
          <cell r="T137">
            <v>0</v>
          </cell>
          <cell r="U137">
            <v>1</v>
          </cell>
          <cell r="V137">
            <v>3</v>
          </cell>
          <cell r="W137">
            <v>3</v>
          </cell>
          <cell r="X137">
            <v>18</v>
          </cell>
          <cell r="Y137">
            <v>0</v>
          </cell>
          <cell r="AC137">
            <v>13223000</v>
          </cell>
        </row>
        <row r="138">
          <cell r="C138" t="str">
            <v>SWC2203</v>
          </cell>
          <cell r="E138" t="str">
            <v>Otega Super Store</v>
          </cell>
          <cell r="F138" t="str">
            <v>Partner</v>
          </cell>
          <cell r="G138">
            <v>35</v>
          </cell>
          <cell r="H138">
            <v>0</v>
          </cell>
          <cell r="I138">
            <v>0</v>
          </cell>
          <cell r="J138">
            <v>1.2</v>
          </cell>
          <cell r="K138">
            <v>1</v>
          </cell>
          <cell r="L138">
            <v>0.8</v>
          </cell>
          <cell r="M138">
            <v>0</v>
          </cell>
          <cell r="N138">
            <v>0</v>
          </cell>
          <cell r="O138">
            <v>10</v>
          </cell>
          <cell r="P138">
            <v>0</v>
          </cell>
          <cell r="Q138">
            <v>5.5</v>
          </cell>
          <cell r="R138">
            <v>6.1</v>
          </cell>
          <cell r="S138">
            <v>0</v>
          </cell>
          <cell r="T138">
            <v>0</v>
          </cell>
          <cell r="U138">
            <v>0.4</v>
          </cell>
          <cell r="V138">
            <v>2.8</v>
          </cell>
          <cell r="W138">
            <v>0.4</v>
          </cell>
          <cell r="X138">
            <v>6.8</v>
          </cell>
          <cell r="Y138">
            <v>0</v>
          </cell>
          <cell r="AC138">
            <v>6528900</v>
          </cell>
        </row>
        <row r="139">
          <cell r="C139" t="str">
            <v>SWC1818</v>
          </cell>
          <cell r="E139" t="str">
            <v>Madam Isaac Chukwudike (RME)</v>
          </cell>
          <cell r="F139" t="str">
            <v>Partner</v>
          </cell>
          <cell r="G139">
            <v>35</v>
          </cell>
          <cell r="H139">
            <v>0</v>
          </cell>
          <cell r="I139">
            <v>0</v>
          </cell>
          <cell r="J139">
            <v>0.7</v>
          </cell>
          <cell r="K139">
            <v>0</v>
          </cell>
          <cell r="L139">
            <v>0.3</v>
          </cell>
          <cell r="M139">
            <v>0</v>
          </cell>
          <cell r="N139">
            <v>0</v>
          </cell>
          <cell r="O139">
            <v>21</v>
          </cell>
          <cell r="P139">
            <v>0.2</v>
          </cell>
          <cell r="Q139">
            <v>4.0999999999999996</v>
          </cell>
          <cell r="R139">
            <v>3.5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0.2</v>
          </cell>
          <cell r="X139">
            <v>4</v>
          </cell>
          <cell r="Y139">
            <v>0</v>
          </cell>
          <cell r="AC139">
            <v>7289100</v>
          </cell>
        </row>
        <row r="140">
          <cell r="C140" t="str">
            <v>SWC0033</v>
          </cell>
          <cell r="E140" t="str">
            <v>Madam Rosemary</v>
          </cell>
          <cell r="F140" t="str">
            <v>Partner</v>
          </cell>
          <cell r="G140">
            <v>35</v>
          </cell>
          <cell r="H140">
            <v>0</v>
          </cell>
          <cell r="I140">
            <v>0</v>
          </cell>
          <cell r="J140">
            <v>1.4</v>
          </cell>
          <cell r="K140">
            <v>0</v>
          </cell>
          <cell r="L140">
            <v>3.8</v>
          </cell>
          <cell r="M140">
            <v>0</v>
          </cell>
          <cell r="N140">
            <v>0</v>
          </cell>
          <cell r="O140">
            <v>16</v>
          </cell>
          <cell r="P140">
            <v>0</v>
          </cell>
          <cell r="Q140">
            <v>2</v>
          </cell>
          <cell r="R140">
            <v>4.4000000000000004</v>
          </cell>
          <cell r="S140">
            <v>0</v>
          </cell>
          <cell r="T140">
            <v>0</v>
          </cell>
          <cell r="U140">
            <v>0.3</v>
          </cell>
          <cell r="V140">
            <v>0.7</v>
          </cell>
          <cell r="W140">
            <v>0.4</v>
          </cell>
          <cell r="X140">
            <v>6</v>
          </cell>
          <cell r="Y140">
            <v>0</v>
          </cell>
          <cell r="AC140">
            <v>7017150</v>
          </cell>
        </row>
        <row r="141">
          <cell r="C141" t="str">
            <v>SWC1823</v>
          </cell>
          <cell r="E141" t="str">
            <v>Mr Pauluns Store (RME)</v>
          </cell>
          <cell r="F141" t="str">
            <v>Stockist</v>
          </cell>
          <cell r="G141">
            <v>0</v>
          </cell>
          <cell r="H141">
            <v>0</v>
          </cell>
          <cell r="I141">
            <v>0</v>
          </cell>
          <cell r="K141">
            <v>0</v>
          </cell>
          <cell r="N141">
            <v>0</v>
          </cell>
          <cell r="P141">
            <v>0</v>
          </cell>
          <cell r="S141">
            <v>0</v>
          </cell>
          <cell r="T141">
            <v>0</v>
          </cell>
          <cell r="Y141">
            <v>0</v>
          </cell>
          <cell r="AC141">
            <v>0</v>
          </cell>
        </row>
        <row r="142">
          <cell r="C142" t="str">
            <v>SWC2271</v>
          </cell>
          <cell r="E142" t="str">
            <v>Larry Happy</v>
          </cell>
          <cell r="F142" t="str">
            <v>Partner</v>
          </cell>
          <cell r="G142">
            <v>35</v>
          </cell>
          <cell r="H142">
            <v>0</v>
          </cell>
          <cell r="I142">
            <v>0</v>
          </cell>
          <cell r="J142">
            <v>0.3</v>
          </cell>
          <cell r="K142">
            <v>0</v>
          </cell>
          <cell r="L142">
            <v>0.3</v>
          </cell>
          <cell r="M142">
            <v>0</v>
          </cell>
          <cell r="N142">
            <v>0</v>
          </cell>
          <cell r="O142">
            <v>20.7</v>
          </cell>
          <cell r="P142">
            <v>0</v>
          </cell>
          <cell r="Q142">
            <v>1</v>
          </cell>
          <cell r="R142">
            <v>4.9000000000000004</v>
          </cell>
          <cell r="S142">
            <v>0</v>
          </cell>
          <cell r="T142">
            <v>0</v>
          </cell>
          <cell r="U142">
            <v>1</v>
          </cell>
          <cell r="V142">
            <v>0.6</v>
          </cell>
          <cell r="W142">
            <v>0.2</v>
          </cell>
          <cell r="X142">
            <v>6</v>
          </cell>
          <cell r="Y142">
            <v>0</v>
          </cell>
          <cell r="AC142">
            <v>7123800</v>
          </cell>
        </row>
        <row r="143">
          <cell r="C143" t="str">
            <v>SWC2174</v>
          </cell>
          <cell r="E143" t="str">
            <v>Lady Jane Integrated</v>
          </cell>
          <cell r="F143" t="str">
            <v>Partner</v>
          </cell>
          <cell r="G143">
            <v>35</v>
          </cell>
          <cell r="H143">
            <v>0</v>
          </cell>
          <cell r="I143">
            <v>0</v>
          </cell>
          <cell r="J143">
            <v>0.7</v>
          </cell>
          <cell r="K143">
            <v>0</v>
          </cell>
          <cell r="L143">
            <v>0.3</v>
          </cell>
          <cell r="M143">
            <v>0</v>
          </cell>
          <cell r="N143">
            <v>0</v>
          </cell>
          <cell r="O143">
            <v>18.5</v>
          </cell>
          <cell r="P143">
            <v>0</v>
          </cell>
          <cell r="Q143">
            <v>4.2</v>
          </cell>
          <cell r="R143">
            <v>0</v>
          </cell>
          <cell r="S143">
            <v>0</v>
          </cell>
          <cell r="T143">
            <v>0</v>
          </cell>
          <cell r="U143">
            <v>1</v>
          </cell>
          <cell r="V143">
            <v>0.1</v>
          </cell>
          <cell r="W143">
            <v>6.7</v>
          </cell>
          <cell r="X143">
            <v>3.5</v>
          </cell>
          <cell r="Y143">
            <v>0</v>
          </cell>
          <cell r="AC143">
            <v>6819800</v>
          </cell>
        </row>
        <row r="144">
          <cell r="C144" t="str">
            <v>WCFA000156</v>
          </cell>
          <cell r="E144" t="str">
            <v>S.K Awe</v>
          </cell>
          <cell r="F144" t="str">
            <v>Partner</v>
          </cell>
          <cell r="G144">
            <v>35</v>
          </cell>
          <cell r="H144">
            <v>0</v>
          </cell>
          <cell r="I144">
            <v>0</v>
          </cell>
          <cell r="J144">
            <v>1.1000000000000001</v>
          </cell>
          <cell r="K144">
            <v>1</v>
          </cell>
          <cell r="L144">
            <v>1.94</v>
          </cell>
          <cell r="M144">
            <v>0</v>
          </cell>
          <cell r="N144">
            <v>0</v>
          </cell>
          <cell r="O144">
            <v>18.36</v>
          </cell>
          <cell r="P144">
            <v>0.3</v>
          </cell>
          <cell r="Q144">
            <v>0.4</v>
          </cell>
          <cell r="R144">
            <v>3</v>
          </cell>
          <cell r="S144">
            <v>0</v>
          </cell>
          <cell r="T144">
            <v>0</v>
          </cell>
          <cell r="U144">
            <v>0</v>
          </cell>
          <cell r="V144">
            <v>1</v>
          </cell>
          <cell r="W144">
            <v>2.8</v>
          </cell>
          <cell r="X144">
            <v>5.0999999999999996</v>
          </cell>
          <cell r="Y144">
            <v>0</v>
          </cell>
          <cell r="AC144">
            <v>7014800</v>
          </cell>
        </row>
        <row r="145">
          <cell r="C145" t="str">
            <v>SWC2217</v>
          </cell>
          <cell r="E145" t="str">
            <v>Sunday Oloyede</v>
          </cell>
          <cell r="F145" t="str">
            <v>Mega Partner</v>
          </cell>
          <cell r="G145">
            <v>110</v>
          </cell>
          <cell r="H145">
            <v>0</v>
          </cell>
          <cell r="I145">
            <v>0</v>
          </cell>
          <cell r="J145">
            <v>7</v>
          </cell>
          <cell r="K145">
            <v>15</v>
          </cell>
          <cell r="L145">
            <v>1.8</v>
          </cell>
          <cell r="M145">
            <v>0</v>
          </cell>
          <cell r="N145">
            <v>0</v>
          </cell>
          <cell r="O145">
            <v>51</v>
          </cell>
          <cell r="P145">
            <v>0</v>
          </cell>
          <cell r="Q145">
            <v>3</v>
          </cell>
          <cell r="R145">
            <v>10</v>
          </cell>
          <cell r="S145">
            <v>0</v>
          </cell>
          <cell r="T145">
            <v>0</v>
          </cell>
          <cell r="U145">
            <v>0</v>
          </cell>
          <cell r="V145">
            <v>1</v>
          </cell>
          <cell r="W145">
            <v>1</v>
          </cell>
          <cell r="X145">
            <v>20.2</v>
          </cell>
          <cell r="Y145">
            <v>0</v>
          </cell>
          <cell r="AC145">
            <v>22573600</v>
          </cell>
        </row>
        <row r="146">
          <cell r="C146" t="str">
            <v>SWC2202</v>
          </cell>
          <cell r="E146" t="str">
            <v>Mr Friday Itikun</v>
          </cell>
          <cell r="F146" t="str">
            <v>Partner</v>
          </cell>
          <cell r="G146">
            <v>45.000000000000007</v>
          </cell>
          <cell r="H146">
            <v>0</v>
          </cell>
          <cell r="I146">
            <v>0</v>
          </cell>
          <cell r="J146">
            <v>3.3</v>
          </cell>
          <cell r="K146">
            <v>0.3</v>
          </cell>
          <cell r="L146">
            <v>1</v>
          </cell>
          <cell r="M146">
            <v>0</v>
          </cell>
          <cell r="N146">
            <v>0</v>
          </cell>
          <cell r="O146">
            <v>20.6</v>
          </cell>
          <cell r="P146">
            <v>0.1</v>
          </cell>
          <cell r="Q146">
            <v>0.3</v>
          </cell>
          <cell r="R146">
            <v>4.8</v>
          </cell>
          <cell r="S146">
            <v>0</v>
          </cell>
          <cell r="T146">
            <v>0</v>
          </cell>
          <cell r="U146">
            <v>0.5</v>
          </cell>
          <cell r="V146">
            <v>1</v>
          </cell>
          <cell r="W146">
            <v>1</v>
          </cell>
          <cell r="X146">
            <v>12.1</v>
          </cell>
          <cell r="Y146">
            <v>0</v>
          </cell>
          <cell r="AC146">
            <v>9175450</v>
          </cell>
        </row>
        <row r="147">
          <cell r="C147" t="str">
            <v>SWC2200</v>
          </cell>
          <cell r="E147" t="str">
            <v>Madam Evelyn</v>
          </cell>
          <cell r="F147" t="str">
            <v>Partner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AC147">
            <v>0</v>
          </cell>
        </row>
        <row r="148">
          <cell r="C148" t="str">
            <v>SWC2194</v>
          </cell>
          <cell r="E148" t="str">
            <v>Mrs Blessing Edosomwan</v>
          </cell>
          <cell r="F148" t="str">
            <v>Partner</v>
          </cell>
          <cell r="G148">
            <v>35</v>
          </cell>
          <cell r="H148">
            <v>0</v>
          </cell>
          <cell r="I148">
            <v>0</v>
          </cell>
          <cell r="J148">
            <v>1.4</v>
          </cell>
          <cell r="K148">
            <v>0</v>
          </cell>
          <cell r="L148">
            <v>3.8</v>
          </cell>
          <cell r="M148">
            <v>0</v>
          </cell>
          <cell r="N148">
            <v>0</v>
          </cell>
          <cell r="O148">
            <v>16</v>
          </cell>
          <cell r="P148">
            <v>0</v>
          </cell>
          <cell r="Q148">
            <v>2</v>
          </cell>
          <cell r="R148">
            <v>4.4000000000000004</v>
          </cell>
          <cell r="S148">
            <v>0</v>
          </cell>
          <cell r="T148">
            <v>0</v>
          </cell>
          <cell r="U148">
            <v>0.3</v>
          </cell>
          <cell r="V148">
            <v>0.7</v>
          </cell>
          <cell r="W148">
            <v>0.4</v>
          </cell>
          <cell r="X148">
            <v>6</v>
          </cell>
          <cell r="Y148">
            <v>0</v>
          </cell>
          <cell r="AC148">
            <v>7017150</v>
          </cell>
        </row>
        <row r="149">
          <cell r="C149" t="str">
            <v>SWC2190</v>
          </cell>
          <cell r="E149" t="str">
            <v>Austin Odo</v>
          </cell>
          <cell r="F149" t="str">
            <v>Partner</v>
          </cell>
          <cell r="G149">
            <v>35</v>
          </cell>
          <cell r="H149">
            <v>0</v>
          </cell>
          <cell r="I149">
            <v>0</v>
          </cell>
          <cell r="J149">
            <v>0.4</v>
          </cell>
          <cell r="K149">
            <v>1</v>
          </cell>
          <cell r="L149">
            <v>1</v>
          </cell>
          <cell r="M149">
            <v>0</v>
          </cell>
          <cell r="N149">
            <v>0</v>
          </cell>
          <cell r="O149">
            <v>15</v>
          </cell>
          <cell r="P149">
            <v>0.2</v>
          </cell>
          <cell r="Q149">
            <v>0.8</v>
          </cell>
          <cell r="R149">
            <v>4.3</v>
          </cell>
          <cell r="S149">
            <v>0</v>
          </cell>
          <cell r="T149">
            <v>0</v>
          </cell>
          <cell r="U149">
            <v>0.8</v>
          </cell>
          <cell r="V149">
            <v>1.5</v>
          </cell>
          <cell r="W149">
            <v>1</v>
          </cell>
          <cell r="X149">
            <v>9</v>
          </cell>
          <cell r="Y149">
            <v>0</v>
          </cell>
          <cell r="AC149">
            <v>6800200</v>
          </cell>
        </row>
        <row r="150">
          <cell r="C150" t="str">
            <v>SWC2137</v>
          </cell>
          <cell r="E150" t="str">
            <v>Pillar Bliss Enterprise</v>
          </cell>
          <cell r="F150" t="str">
            <v>Partner</v>
          </cell>
          <cell r="G150">
            <v>35</v>
          </cell>
          <cell r="H150">
            <v>0</v>
          </cell>
          <cell r="I150">
            <v>0</v>
          </cell>
          <cell r="J150">
            <v>0.4</v>
          </cell>
          <cell r="K150">
            <v>0</v>
          </cell>
          <cell r="L150">
            <v>0.7</v>
          </cell>
          <cell r="M150">
            <v>0</v>
          </cell>
          <cell r="N150">
            <v>0</v>
          </cell>
          <cell r="O150">
            <v>14</v>
          </cell>
          <cell r="P150">
            <v>0</v>
          </cell>
          <cell r="Q150">
            <v>6</v>
          </cell>
          <cell r="R150">
            <v>4.9000000000000004</v>
          </cell>
          <cell r="S150">
            <v>0</v>
          </cell>
          <cell r="T150">
            <v>0</v>
          </cell>
          <cell r="U150">
            <v>0.3</v>
          </cell>
          <cell r="V150">
            <v>1.5</v>
          </cell>
          <cell r="W150">
            <v>0.2</v>
          </cell>
          <cell r="X150">
            <v>7</v>
          </cell>
          <cell r="Y150">
            <v>0</v>
          </cell>
          <cell r="AC150">
            <v>6825450</v>
          </cell>
        </row>
        <row r="151">
          <cell r="C151" t="str">
            <v>SWC2136</v>
          </cell>
          <cell r="E151" t="str">
            <v>Madam Gloria</v>
          </cell>
          <cell r="F151" t="str">
            <v>Partner</v>
          </cell>
          <cell r="G151">
            <v>35</v>
          </cell>
          <cell r="H151">
            <v>0</v>
          </cell>
          <cell r="I151">
            <v>0</v>
          </cell>
          <cell r="J151">
            <v>1</v>
          </cell>
          <cell r="K151">
            <v>0.9</v>
          </cell>
          <cell r="L151">
            <v>1</v>
          </cell>
          <cell r="M151">
            <v>0</v>
          </cell>
          <cell r="N151">
            <v>0</v>
          </cell>
          <cell r="O151">
            <v>20</v>
          </cell>
          <cell r="P151">
            <v>0</v>
          </cell>
          <cell r="Q151">
            <v>0.5</v>
          </cell>
          <cell r="R151">
            <v>3</v>
          </cell>
          <cell r="S151">
            <v>0</v>
          </cell>
          <cell r="T151">
            <v>0</v>
          </cell>
          <cell r="U151">
            <v>0</v>
          </cell>
          <cell r="V151">
            <v>0.4</v>
          </cell>
          <cell r="W151">
            <v>0.2</v>
          </cell>
          <cell r="X151">
            <v>8</v>
          </cell>
          <cell r="Y151">
            <v>0</v>
          </cell>
          <cell r="AC151">
            <v>7307800</v>
          </cell>
        </row>
        <row r="152">
          <cell r="C152" t="str">
            <v>SWC2040</v>
          </cell>
          <cell r="E152" t="str">
            <v>Folake Seweje (RME)</v>
          </cell>
          <cell r="F152" t="str">
            <v>Partner</v>
          </cell>
          <cell r="G152">
            <v>35</v>
          </cell>
          <cell r="H152">
            <v>0</v>
          </cell>
          <cell r="I152">
            <v>0</v>
          </cell>
          <cell r="J152">
            <v>1</v>
          </cell>
          <cell r="K152">
            <v>1</v>
          </cell>
          <cell r="L152">
            <v>1</v>
          </cell>
          <cell r="M152">
            <v>0</v>
          </cell>
          <cell r="N152">
            <v>0</v>
          </cell>
          <cell r="O152">
            <v>12.5</v>
          </cell>
          <cell r="P152">
            <v>0.2</v>
          </cell>
          <cell r="Q152">
            <v>0.6</v>
          </cell>
          <cell r="R152">
            <v>7</v>
          </cell>
          <cell r="S152">
            <v>0</v>
          </cell>
          <cell r="T152">
            <v>0</v>
          </cell>
          <cell r="U152">
            <v>0.5</v>
          </cell>
          <cell r="V152">
            <v>1.2</v>
          </cell>
          <cell r="W152">
            <v>1</v>
          </cell>
          <cell r="X152">
            <v>9</v>
          </cell>
          <cell r="Y152">
            <v>0</v>
          </cell>
          <cell r="AC152">
            <v>6668150</v>
          </cell>
        </row>
        <row r="153">
          <cell r="C153" t="str">
            <v>SWC1879</v>
          </cell>
          <cell r="E153" t="str">
            <v>Friday Store</v>
          </cell>
          <cell r="F153" t="str">
            <v>Partner</v>
          </cell>
          <cell r="G153">
            <v>35</v>
          </cell>
          <cell r="H153">
            <v>0</v>
          </cell>
          <cell r="I153">
            <v>0</v>
          </cell>
          <cell r="J153">
            <v>1.5</v>
          </cell>
          <cell r="K153">
            <v>1</v>
          </cell>
          <cell r="L153">
            <v>1</v>
          </cell>
          <cell r="M153">
            <v>0</v>
          </cell>
          <cell r="N153">
            <v>0</v>
          </cell>
          <cell r="O153">
            <v>17.2</v>
          </cell>
          <cell r="P153">
            <v>0</v>
          </cell>
          <cell r="Q153">
            <v>0.5</v>
          </cell>
          <cell r="R153">
            <v>4.3</v>
          </cell>
          <cell r="S153">
            <v>0</v>
          </cell>
          <cell r="T153">
            <v>0</v>
          </cell>
          <cell r="U153">
            <v>0.5</v>
          </cell>
          <cell r="V153">
            <v>1.8</v>
          </cell>
          <cell r="W153">
            <v>2</v>
          </cell>
          <cell r="X153">
            <v>5.2</v>
          </cell>
          <cell r="Y153">
            <v>0</v>
          </cell>
          <cell r="AC153">
            <v>6886450</v>
          </cell>
        </row>
        <row r="154">
          <cell r="C154" t="str">
            <v>SWC0040</v>
          </cell>
          <cell r="E154" t="str">
            <v>CY Stores</v>
          </cell>
          <cell r="F154" t="str">
            <v>Partner</v>
          </cell>
          <cell r="G154">
            <v>35</v>
          </cell>
          <cell r="H154">
            <v>0</v>
          </cell>
          <cell r="I154">
            <v>0</v>
          </cell>
          <cell r="J154">
            <v>1.5</v>
          </cell>
          <cell r="K154">
            <v>1</v>
          </cell>
          <cell r="L154">
            <v>1</v>
          </cell>
          <cell r="M154">
            <v>0</v>
          </cell>
          <cell r="N154">
            <v>0</v>
          </cell>
          <cell r="O154">
            <v>17.2</v>
          </cell>
          <cell r="P154">
            <v>0</v>
          </cell>
          <cell r="Q154">
            <v>0.5</v>
          </cell>
          <cell r="R154">
            <v>4.3</v>
          </cell>
          <cell r="S154">
            <v>0</v>
          </cell>
          <cell r="T154">
            <v>0</v>
          </cell>
          <cell r="U154">
            <v>0.5</v>
          </cell>
          <cell r="V154">
            <v>1.8</v>
          </cell>
          <cell r="W154">
            <v>2</v>
          </cell>
          <cell r="X154">
            <v>5.2</v>
          </cell>
          <cell r="Y154">
            <v>0</v>
          </cell>
          <cell r="AC154">
            <v>6886450</v>
          </cell>
        </row>
        <row r="155">
          <cell r="C155" t="str">
            <v>SWC3316</v>
          </cell>
          <cell r="E155" t="str">
            <v>M.K Stores</v>
          </cell>
          <cell r="F155" t="str">
            <v>Stockist</v>
          </cell>
          <cell r="G155">
            <v>10</v>
          </cell>
          <cell r="H155">
            <v>0</v>
          </cell>
          <cell r="I155">
            <v>0</v>
          </cell>
          <cell r="J155">
            <v>0.1</v>
          </cell>
          <cell r="K155">
            <v>0</v>
          </cell>
          <cell r="L155">
            <v>0.2</v>
          </cell>
          <cell r="M155">
            <v>0</v>
          </cell>
          <cell r="N155">
            <v>0</v>
          </cell>
          <cell r="O155">
            <v>4.4000000000000004</v>
          </cell>
          <cell r="P155">
            <v>0</v>
          </cell>
          <cell r="Q155">
            <v>1</v>
          </cell>
          <cell r="R155">
            <v>0</v>
          </cell>
          <cell r="S155">
            <v>0</v>
          </cell>
          <cell r="T155">
            <v>0</v>
          </cell>
          <cell r="U155">
            <v>0.3</v>
          </cell>
          <cell r="V155">
            <v>1</v>
          </cell>
          <cell r="W155">
            <v>1</v>
          </cell>
          <cell r="X155">
            <v>2</v>
          </cell>
          <cell r="Y155">
            <v>0</v>
          </cell>
          <cell r="AC155">
            <v>1897450</v>
          </cell>
        </row>
        <row r="156">
          <cell r="C156" t="str">
            <v>SWC3419</v>
          </cell>
          <cell r="E156" t="str">
            <v>Paul Ifeanyi (RME)</v>
          </cell>
          <cell r="F156" t="str">
            <v>Stockist</v>
          </cell>
          <cell r="G156">
            <v>15</v>
          </cell>
          <cell r="H156">
            <v>0</v>
          </cell>
          <cell r="I156">
            <v>0</v>
          </cell>
          <cell r="J156">
            <v>0.1</v>
          </cell>
          <cell r="K156">
            <v>0</v>
          </cell>
          <cell r="L156">
            <v>0.2</v>
          </cell>
          <cell r="M156">
            <v>0</v>
          </cell>
          <cell r="N156">
            <v>0</v>
          </cell>
          <cell r="O156">
            <v>7.4</v>
          </cell>
          <cell r="P156">
            <v>0</v>
          </cell>
          <cell r="Q156">
            <v>0.5</v>
          </cell>
          <cell r="R156">
            <v>0.5</v>
          </cell>
          <cell r="S156">
            <v>0</v>
          </cell>
          <cell r="T156">
            <v>0</v>
          </cell>
          <cell r="U156">
            <v>0.3</v>
          </cell>
          <cell r="V156">
            <v>0.5</v>
          </cell>
          <cell r="W156">
            <v>0.5</v>
          </cell>
          <cell r="X156">
            <v>5</v>
          </cell>
          <cell r="AC156">
            <v>3019950</v>
          </cell>
        </row>
        <row r="157">
          <cell r="C157" t="str">
            <v>SWC3441</v>
          </cell>
          <cell r="E157" t="str">
            <v>Nwabuwa Sandra</v>
          </cell>
          <cell r="F157" t="str">
            <v>Stockist</v>
          </cell>
          <cell r="G157">
            <v>35</v>
          </cell>
          <cell r="H157">
            <v>0</v>
          </cell>
          <cell r="I157">
            <v>0</v>
          </cell>
          <cell r="J157">
            <v>4.5</v>
          </cell>
          <cell r="K157">
            <v>0</v>
          </cell>
          <cell r="L157">
            <v>0.3</v>
          </cell>
          <cell r="M157">
            <v>0</v>
          </cell>
          <cell r="N157">
            <v>0</v>
          </cell>
          <cell r="O157">
            <v>22.3</v>
          </cell>
          <cell r="P157">
            <v>0</v>
          </cell>
          <cell r="Q157">
            <v>0.5</v>
          </cell>
          <cell r="R157">
            <v>0.5</v>
          </cell>
          <cell r="S157">
            <v>0</v>
          </cell>
          <cell r="T157">
            <v>0</v>
          </cell>
          <cell r="U157">
            <v>0.2</v>
          </cell>
          <cell r="V157">
            <v>0.5</v>
          </cell>
          <cell r="W157">
            <v>0.2</v>
          </cell>
          <cell r="X157">
            <v>6</v>
          </cell>
          <cell r="AC157">
            <v>7766500</v>
          </cell>
        </row>
        <row r="158">
          <cell r="C158" t="str">
            <v>SWC3160</v>
          </cell>
          <cell r="E158" t="str">
            <v>Bello Jimoh</v>
          </cell>
          <cell r="F158" t="str">
            <v>Stockist</v>
          </cell>
          <cell r="G158">
            <v>14.95</v>
          </cell>
          <cell r="J158">
            <v>2</v>
          </cell>
          <cell r="K158">
            <v>1</v>
          </cell>
          <cell r="L158">
            <v>0.3</v>
          </cell>
          <cell r="N158">
            <v>0</v>
          </cell>
          <cell r="O158">
            <v>5</v>
          </cell>
          <cell r="P158">
            <v>0</v>
          </cell>
          <cell r="Q158">
            <v>0.25</v>
          </cell>
          <cell r="R158">
            <v>1</v>
          </cell>
          <cell r="S158">
            <v>0</v>
          </cell>
          <cell r="T158">
            <v>0</v>
          </cell>
          <cell r="U158">
            <v>0.2</v>
          </cell>
          <cell r="V158">
            <v>1</v>
          </cell>
          <cell r="W158">
            <v>0.2</v>
          </cell>
          <cell r="X158">
            <v>4</v>
          </cell>
          <cell r="AC158">
            <v>3005975</v>
          </cell>
        </row>
        <row r="159">
          <cell r="C159" t="str">
            <v>SWC3465</v>
          </cell>
          <cell r="E159" t="str">
            <v>John Osita</v>
          </cell>
          <cell r="F159" t="str">
            <v>Stockist</v>
          </cell>
          <cell r="G159">
            <v>19.999999999999996</v>
          </cell>
          <cell r="J159">
            <v>1</v>
          </cell>
          <cell r="K159">
            <v>1.2</v>
          </cell>
          <cell r="L159">
            <v>0.25</v>
          </cell>
          <cell r="N159">
            <v>0.5</v>
          </cell>
          <cell r="O159">
            <v>8</v>
          </cell>
          <cell r="P159">
            <v>0</v>
          </cell>
          <cell r="Q159">
            <v>0.2</v>
          </cell>
          <cell r="R159">
            <v>1</v>
          </cell>
          <cell r="S159">
            <v>0</v>
          </cell>
          <cell r="T159">
            <v>0</v>
          </cell>
          <cell r="U159">
            <v>0.2</v>
          </cell>
          <cell r="V159">
            <v>1</v>
          </cell>
          <cell r="W159">
            <v>0.2</v>
          </cell>
          <cell r="X159">
            <v>6.45</v>
          </cell>
          <cell r="AC159">
            <v>3962550</v>
          </cell>
        </row>
        <row r="160">
          <cell r="C160" t="str">
            <v>SEC003550</v>
          </cell>
          <cell r="E160" t="str">
            <v>Ndukwe Ozoemelam</v>
          </cell>
          <cell r="F160" t="str">
            <v>Stockist</v>
          </cell>
          <cell r="G160">
            <v>70</v>
          </cell>
          <cell r="J160">
            <v>30</v>
          </cell>
          <cell r="O160">
            <v>5</v>
          </cell>
          <cell r="P160">
            <v>35</v>
          </cell>
          <cell r="AC160">
            <v>18150000</v>
          </cell>
        </row>
        <row r="161">
          <cell r="C161" t="str">
            <v>SEC003369</v>
          </cell>
          <cell r="E161" t="str">
            <v>LOVETH George Etukudo</v>
          </cell>
          <cell r="F161" t="str">
            <v>Partner</v>
          </cell>
          <cell r="G161">
            <v>105</v>
          </cell>
          <cell r="J161">
            <v>16</v>
          </cell>
          <cell r="K161">
            <v>0</v>
          </cell>
          <cell r="L161">
            <v>10</v>
          </cell>
          <cell r="M161">
            <v>0</v>
          </cell>
          <cell r="N161">
            <v>0</v>
          </cell>
          <cell r="O161">
            <v>40</v>
          </cell>
          <cell r="P161">
            <v>5</v>
          </cell>
          <cell r="Q161">
            <v>0</v>
          </cell>
          <cell r="U161">
            <v>1</v>
          </cell>
          <cell r="V161">
            <v>1</v>
          </cell>
          <cell r="W161">
            <v>2</v>
          </cell>
          <cell r="X161">
            <v>30</v>
          </cell>
          <cell r="AC161">
            <v>22567000</v>
          </cell>
        </row>
        <row r="162">
          <cell r="C162" t="str">
            <v>SEC001103</v>
          </cell>
          <cell r="E162" t="str">
            <v>Monday Nweka</v>
          </cell>
          <cell r="F162" t="str">
            <v>Stockist</v>
          </cell>
          <cell r="G162">
            <v>10</v>
          </cell>
          <cell r="J162">
            <v>1</v>
          </cell>
          <cell r="O162">
            <v>5</v>
          </cell>
          <cell r="Q162">
            <v>1</v>
          </cell>
          <cell r="V162">
            <v>1</v>
          </cell>
          <cell r="X162">
            <v>2</v>
          </cell>
          <cell r="AC162">
            <v>2091000</v>
          </cell>
        </row>
        <row r="163">
          <cell r="C163" t="str">
            <v>SEC003647</v>
          </cell>
          <cell r="E163" t="str">
            <v>Mfon Ndarake Udo (RME)</v>
          </cell>
          <cell r="F163" t="str">
            <v>Partner</v>
          </cell>
          <cell r="G163">
            <v>35</v>
          </cell>
          <cell r="L163">
            <v>2</v>
          </cell>
          <cell r="O163">
            <v>6</v>
          </cell>
          <cell r="Q163">
            <v>0.5</v>
          </cell>
          <cell r="U163">
            <v>0.5</v>
          </cell>
          <cell r="W163">
            <v>8</v>
          </cell>
          <cell r="X163">
            <v>18</v>
          </cell>
          <cell r="AC163">
            <v>6180750</v>
          </cell>
        </row>
        <row r="164">
          <cell r="C164" t="str">
            <v>SEC000064</v>
          </cell>
          <cell r="E164" t="str">
            <v>EMMANUEL(Stockist)</v>
          </cell>
          <cell r="F164" t="str">
            <v>Stockist</v>
          </cell>
          <cell r="G164">
            <v>10</v>
          </cell>
          <cell r="L164">
            <v>1</v>
          </cell>
          <cell r="O164">
            <v>1</v>
          </cell>
          <cell r="Q164">
            <v>1</v>
          </cell>
          <cell r="U164">
            <v>1</v>
          </cell>
          <cell r="V164">
            <v>1</v>
          </cell>
          <cell r="W164">
            <v>1</v>
          </cell>
          <cell r="X164">
            <v>4</v>
          </cell>
          <cell r="AC164">
            <v>1678500</v>
          </cell>
        </row>
        <row r="165">
          <cell r="C165" t="str">
            <v>SEC002532</v>
          </cell>
          <cell r="E165" t="str">
            <v>Edobong Godwin</v>
          </cell>
          <cell r="F165" t="str">
            <v>Partner</v>
          </cell>
          <cell r="G165">
            <v>40</v>
          </cell>
          <cell r="L165">
            <v>5</v>
          </cell>
          <cell r="O165">
            <v>15</v>
          </cell>
          <cell r="Q165">
            <v>1</v>
          </cell>
          <cell r="W165">
            <v>3</v>
          </cell>
          <cell r="X165">
            <v>16</v>
          </cell>
          <cell r="AC165">
            <v>7878000</v>
          </cell>
        </row>
        <row r="166">
          <cell r="C166" t="str">
            <v>SEC002515</v>
          </cell>
          <cell r="E166" t="str">
            <v>Innocent Okeke (RME)</v>
          </cell>
          <cell r="F166" t="str">
            <v>Partner</v>
          </cell>
          <cell r="G166">
            <v>35</v>
          </cell>
          <cell r="L166">
            <v>1</v>
          </cell>
          <cell r="O166">
            <v>22</v>
          </cell>
          <cell r="X166">
            <v>12</v>
          </cell>
          <cell r="AC166">
            <v>7508500</v>
          </cell>
        </row>
        <row r="167">
          <cell r="C167" t="str">
            <v>SEC001627</v>
          </cell>
          <cell r="E167" t="str">
            <v>Madam Kate (RME)</v>
          </cell>
          <cell r="F167" t="str">
            <v>Stockist</v>
          </cell>
          <cell r="G167">
            <v>10</v>
          </cell>
          <cell r="O167">
            <v>6</v>
          </cell>
          <cell r="Q167">
            <v>1</v>
          </cell>
          <cell r="V167">
            <v>1</v>
          </cell>
          <cell r="X167">
            <v>2</v>
          </cell>
          <cell r="AC167">
            <v>2060000</v>
          </cell>
        </row>
        <row r="168">
          <cell r="C168" t="str">
            <v>SEC000028</v>
          </cell>
          <cell r="E168" t="str">
            <v>Ecowas (Stockist)</v>
          </cell>
          <cell r="F168" t="str">
            <v>Partner</v>
          </cell>
          <cell r="G168">
            <v>40</v>
          </cell>
          <cell r="L168">
            <v>4</v>
          </cell>
          <cell r="O168">
            <v>20</v>
          </cell>
          <cell r="Q168">
            <v>1</v>
          </cell>
          <cell r="V168">
            <v>1</v>
          </cell>
          <cell r="X168">
            <v>14</v>
          </cell>
          <cell r="AC168">
            <v>8251000</v>
          </cell>
        </row>
        <row r="169">
          <cell r="C169" t="str">
            <v>SEC003659</v>
          </cell>
          <cell r="E169" t="str">
            <v>EL &amp; EL Wine Shop</v>
          </cell>
          <cell r="F169" t="str">
            <v>Stockist</v>
          </cell>
          <cell r="G169">
            <v>60</v>
          </cell>
          <cell r="J169">
            <v>29</v>
          </cell>
          <cell r="O169">
            <v>1</v>
          </cell>
          <cell r="P169">
            <v>30</v>
          </cell>
          <cell r="AC169">
            <v>15659000</v>
          </cell>
        </row>
        <row r="170">
          <cell r="C170" t="str">
            <v>SEC003658</v>
          </cell>
          <cell r="E170" t="str">
            <v>Ikechi Nwabubani</v>
          </cell>
          <cell r="F170" t="str">
            <v>Stockist</v>
          </cell>
          <cell r="G170">
            <v>10</v>
          </cell>
          <cell r="J170">
            <v>5</v>
          </cell>
          <cell r="P170">
            <v>5</v>
          </cell>
          <cell r="AC170">
            <v>2615000</v>
          </cell>
        </row>
        <row r="171">
          <cell r="C171" t="str">
            <v>SEC003729</v>
          </cell>
          <cell r="E171" t="str">
            <v>GMTC</v>
          </cell>
          <cell r="F171" t="str">
            <v>Stockist</v>
          </cell>
          <cell r="G171">
            <v>10</v>
          </cell>
          <cell r="L171">
            <v>1</v>
          </cell>
          <cell r="O171">
            <v>3</v>
          </cell>
          <cell r="Q171">
            <v>0.5</v>
          </cell>
          <cell r="U171">
            <v>1</v>
          </cell>
          <cell r="V171">
            <v>0.5</v>
          </cell>
          <cell r="W171">
            <v>0.5</v>
          </cell>
          <cell r="X171">
            <v>3.5</v>
          </cell>
          <cell r="AC171">
            <v>1838500</v>
          </cell>
        </row>
        <row r="172">
          <cell r="C172" t="str">
            <v>SEC004010</v>
          </cell>
          <cell r="E172" t="str">
            <v>Mr.Onyekachi Nwokocha</v>
          </cell>
          <cell r="F172" t="str">
            <v>Partner</v>
          </cell>
          <cell r="G172">
            <v>10</v>
          </cell>
          <cell r="J172">
            <v>1</v>
          </cell>
          <cell r="O172">
            <v>5</v>
          </cell>
          <cell r="P172">
            <v>2</v>
          </cell>
          <cell r="X172">
            <v>2</v>
          </cell>
          <cell r="AC172">
            <v>2314000</v>
          </cell>
        </row>
        <row r="173">
          <cell r="C173" t="str">
            <v>SEC003325</v>
          </cell>
          <cell r="E173" t="str">
            <v>Madam Gladys Ahara</v>
          </cell>
          <cell r="F173" t="str">
            <v>Partner</v>
          </cell>
          <cell r="G173">
            <v>35</v>
          </cell>
          <cell r="J173">
            <v>1</v>
          </cell>
          <cell r="K173">
            <v>0</v>
          </cell>
          <cell r="L173">
            <v>1</v>
          </cell>
          <cell r="O173">
            <v>10</v>
          </cell>
          <cell r="P173">
            <v>9</v>
          </cell>
          <cell r="Q173">
            <v>1</v>
          </cell>
          <cell r="U173">
            <v>1</v>
          </cell>
          <cell r="V173">
            <v>1</v>
          </cell>
          <cell r="W173">
            <v>1</v>
          </cell>
          <cell r="X173">
            <v>10</v>
          </cell>
          <cell r="AC173">
            <v>7499000</v>
          </cell>
        </row>
        <row r="174">
          <cell r="C174" t="str">
            <v>SEC000129</v>
          </cell>
          <cell r="E174" t="str">
            <v>Sunday Akwu(Stockist)</v>
          </cell>
          <cell r="F174" t="str">
            <v>Stockiest</v>
          </cell>
          <cell r="G174">
            <v>0</v>
          </cell>
          <cell r="AC174">
            <v>0</v>
          </cell>
        </row>
        <row r="175">
          <cell r="C175" t="str">
            <v>SEC002562</v>
          </cell>
          <cell r="E175" t="str">
            <v>Ebis Obasi</v>
          </cell>
          <cell r="F175" t="str">
            <v>Partner</v>
          </cell>
          <cell r="G175">
            <v>35</v>
          </cell>
          <cell r="J175">
            <v>1</v>
          </cell>
          <cell r="K175">
            <v>0.2</v>
          </cell>
          <cell r="L175">
            <v>1</v>
          </cell>
          <cell r="O175">
            <v>10</v>
          </cell>
          <cell r="P175">
            <v>8</v>
          </cell>
          <cell r="Q175">
            <v>2</v>
          </cell>
          <cell r="U175">
            <v>1</v>
          </cell>
          <cell r="V175">
            <v>1.4</v>
          </cell>
          <cell r="W175">
            <v>1</v>
          </cell>
          <cell r="X175">
            <v>9.4</v>
          </cell>
          <cell r="AC175">
            <v>7391400</v>
          </cell>
        </row>
        <row r="176">
          <cell r="C176" t="str">
            <v>SEC002524</v>
          </cell>
          <cell r="E176" t="str">
            <v>Elias Uzonu</v>
          </cell>
          <cell r="F176" t="str">
            <v>Partner</v>
          </cell>
          <cell r="G176">
            <v>0</v>
          </cell>
          <cell r="AC176">
            <v>0</v>
          </cell>
        </row>
        <row r="177">
          <cell r="C177" t="str">
            <v>SEC002511</v>
          </cell>
          <cell r="E177" t="str">
            <v>Titus Chibuoke (RME)</v>
          </cell>
          <cell r="F177" t="str">
            <v>Partner</v>
          </cell>
          <cell r="G177">
            <v>35</v>
          </cell>
          <cell r="J177">
            <v>0.5</v>
          </cell>
          <cell r="K177">
            <v>0.7</v>
          </cell>
          <cell r="L177">
            <v>1</v>
          </cell>
          <cell r="M177">
            <v>0</v>
          </cell>
          <cell r="O177">
            <v>10</v>
          </cell>
          <cell r="P177">
            <v>8</v>
          </cell>
          <cell r="Q177">
            <v>3.8</v>
          </cell>
          <cell r="U177">
            <v>1</v>
          </cell>
          <cell r="V177">
            <v>1</v>
          </cell>
          <cell r="W177">
            <v>1</v>
          </cell>
          <cell r="X177">
            <v>8</v>
          </cell>
          <cell r="AC177">
            <v>7374800</v>
          </cell>
        </row>
        <row r="178">
          <cell r="C178" t="str">
            <v>SEC001120</v>
          </cell>
          <cell r="E178" t="str">
            <v>Mallam Gamu (Stockiest)</v>
          </cell>
          <cell r="F178" t="str">
            <v>Stockiest</v>
          </cell>
          <cell r="G178">
            <v>10</v>
          </cell>
          <cell r="J178">
            <v>1</v>
          </cell>
          <cell r="L178">
            <v>0.5</v>
          </cell>
          <cell r="O178">
            <v>2</v>
          </cell>
          <cell r="P178">
            <v>4</v>
          </cell>
          <cell r="Q178">
            <v>0.2</v>
          </cell>
          <cell r="U178">
            <v>0.5</v>
          </cell>
          <cell r="W178">
            <v>0.3</v>
          </cell>
          <cell r="X178">
            <v>1.5</v>
          </cell>
          <cell r="AC178">
            <v>2262850</v>
          </cell>
        </row>
        <row r="179">
          <cell r="C179" t="str">
            <v>SEC004062</v>
          </cell>
          <cell r="E179" t="str">
            <v xml:space="preserve">Onovo Osadebe </v>
          </cell>
          <cell r="F179" t="str">
            <v>Stockiest</v>
          </cell>
          <cell r="G179">
            <v>0</v>
          </cell>
          <cell r="AC179">
            <v>0</v>
          </cell>
        </row>
        <row r="180">
          <cell r="C180" t="str">
            <v>SEC004125</v>
          </cell>
          <cell r="E180" t="str">
            <v>Kessy Services</v>
          </cell>
          <cell r="F180" t="str">
            <v>Stockiest</v>
          </cell>
          <cell r="G180">
            <v>10.000000000000002</v>
          </cell>
          <cell r="J180">
            <v>1</v>
          </cell>
          <cell r="K180">
            <v>0.2</v>
          </cell>
          <cell r="L180">
            <v>0.5</v>
          </cell>
          <cell r="M180">
            <v>0.5</v>
          </cell>
          <cell r="O180">
            <v>2</v>
          </cell>
          <cell r="P180">
            <v>3.5</v>
          </cell>
          <cell r="Q180">
            <v>0.2</v>
          </cell>
          <cell r="U180">
            <v>0.5</v>
          </cell>
          <cell r="W180">
            <v>0.3</v>
          </cell>
          <cell r="X180">
            <v>1.3</v>
          </cell>
          <cell r="AC180">
            <v>2217250</v>
          </cell>
        </row>
        <row r="181">
          <cell r="C181" t="str">
            <v>SEC003731</v>
          </cell>
          <cell r="E181" t="str">
            <v>Christopher Stores</v>
          </cell>
          <cell r="F181" t="str">
            <v>Partner</v>
          </cell>
          <cell r="G181">
            <v>35</v>
          </cell>
          <cell r="J181">
            <v>1</v>
          </cell>
          <cell r="K181">
            <v>1</v>
          </cell>
          <cell r="L181">
            <v>1.5</v>
          </cell>
          <cell r="M181">
            <v>0</v>
          </cell>
          <cell r="O181">
            <v>10</v>
          </cell>
          <cell r="P181">
            <v>8</v>
          </cell>
          <cell r="Q181">
            <v>1</v>
          </cell>
          <cell r="U181">
            <v>1</v>
          </cell>
          <cell r="V181">
            <v>0.5</v>
          </cell>
          <cell r="W181">
            <v>1</v>
          </cell>
          <cell r="X181">
            <v>10</v>
          </cell>
          <cell r="AC181">
            <v>7444000</v>
          </cell>
        </row>
        <row r="182">
          <cell r="C182" t="str">
            <v>SEC003721</v>
          </cell>
          <cell r="E182" t="str">
            <v>Madam Ogechi Chukwu</v>
          </cell>
          <cell r="F182" t="str">
            <v>Partner</v>
          </cell>
          <cell r="G182">
            <v>35</v>
          </cell>
          <cell r="J182">
            <v>1</v>
          </cell>
          <cell r="K182">
            <v>1</v>
          </cell>
          <cell r="L182">
            <v>1</v>
          </cell>
          <cell r="M182">
            <v>0.5</v>
          </cell>
          <cell r="O182">
            <v>10</v>
          </cell>
          <cell r="P182">
            <v>9</v>
          </cell>
          <cell r="Q182">
            <v>1</v>
          </cell>
          <cell r="U182">
            <v>2</v>
          </cell>
          <cell r="V182">
            <v>1</v>
          </cell>
          <cell r="W182">
            <v>0.5</v>
          </cell>
          <cell r="X182">
            <v>8</v>
          </cell>
          <cell r="AC182">
            <v>7433500</v>
          </cell>
        </row>
        <row r="183">
          <cell r="C183" t="str">
            <v>SEC003789</v>
          </cell>
          <cell r="E183" t="str">
            <v>Great Bobo Interbiz</v>
          </cell>
          <cell r="F183" t="str">
            <v>Partner</v>
          </cell>
          <cell r="G183">
            <v>35</v>
          </cell>
          <cell r="J183">
            <v>1</v>
          </cell>
          <cell r="K183">
            <v>1</v>
          </cell>
          <cell r="L183">
            <v>1</v>
          </cell>
          <cell r="M183">
            <v>0.5</v>
          </cell>
          <cell r="O183">
            <v>10</v>
          </cell>
          <cell r="P183">
            <v>9</v>
          </cell>
          <cell r="Q183">
            <v>1</v>
          </cell>
          <cell r="U183">
            <v>2</v>
          </cell>
          <cell r="V183">
            <v>1</v>
          </cell>
          <cell r="W183">
            <v>0.5</v>
          </cell>
          <cell r="X183">
            <v>8</v>
          </cell>
          <cell r="AC183">
            <v>7433500</v>
          </cell>
        </row>
        <row r="184">
          <cell r="C184" t="str">
            <v>SEC003896</v>
          </cell>
          <cell r="E184" t="str">
            <v>Mbe Stores</v>
          </cell>
          <cell r="F184" t="str">
            <v>Partner</v>
          </cell>
          <cell r="G184">
            <v>35</v>
          </cell>
          <cell r="J184">
            <v>1</v>
          </cell>
          <cell r="K184">
            <v>1</v>
          </cell>
          <cell r="L184">
            <v>1</v>
          </cell>
          <cell r="M184">
            <v>0.5</v>
          </cell>
          <cell r="O184">
            <v>10</v>
          </cell>
          <cell r="P184">
            <v>9</v>
          </cell>
          <cell r="Q184">
            <v>1</v>
          </cell>
          <cell r="U184">
            <v>2</v>
          </cell>
          <cell r="V184">
            <v>1</v>
          </cell>
          <cell r="W184">
            <v>0.5</v>
          </cell>
          <cell r="X184">
            <v>8</v>
          </cell>
          <cell r="AC184">
            <v>7433500</v>
          </cell>
        </row>
        <row r="185">
          <cell r="C185" t="str">
            <v>SEC003563</v>
          </cell>
          <cell r="E185" t="str">
            <v>Money Finish (Levinus Nwachi)</v>
          </cell>
          <cell r="F185" t="str">
            <v>partner</v>
          </cell>
          <cell r="G185">
            <v>35</v>
          </cell>
          <cell r="J185">
            <v>5</v>
          </cell>
          <cell r="K185">
            <v>1</v>
          </cell>
          <cell r="L185">
            <v>2</v>
          </cell>
          <cell r="N185">
            <v>1</v>
          </cell>
          <cell r="O185">
            <v>9</v>
          </cell>
          <cell r="Q185">
            <v>1</v>
          </cell>
          <cell r="V185">
            <v>2</v>
          </cell>
          <cell r="W185">
            <v>1</v>
          </cell>
          <cell r="X185">
            <v>13</v>
          </cell>
          <cell r="AC185">
            <v>6981500</v>
          </cell>
        </row>
        <row r="186">
          <cell r="C186" t="str">
            <v>SEC003259</v>
          </cell>
          <cell r="E186" t="str">
            <v>Maureen Chukwu (RME)</v>
          </cell>
          <cell r="F186" t="str">
            <v>Mega Partner</v>
          </cell>
          <cell r="G186">
            <v>70</v>
          </cell>
          <cell r="J186">
            <v>15</v>
          </cell>
          <cell r="K186">
            <v>1</v>
          </cell>
          <cell r="L186">
            <v>12</v>
          </cell>
          <cell r="N186">
            <v>1.4</v>
          </cell>
          <cell r="O186">
            <v>11</v>
          </cell>
          <cell r="Q186">
            <v>1.4</v>
          </cell>
          <cell r="U186">
            <v>0.2</v>
          </cell>
          <cell r="V186">
            <v>2</v>
          </cell>
          <cell r="W186">
            <v>2</v>
          </cell>
          <cell r="X186">
            <v>24</v>
          </cell>
          <cell r="AC186">
            <v>14133300</v>
          </cell>
        </row>
        <row r="187">
          <cell r="C187" t="str">
            <v>SEC003247</v>
          </cell>
          <cell r="E187" t="str">
            <v>CHIDI ASOGWA</v>
          </cell>
          <cell r="F187" t="str">
            <v>Stockist</v>
          </cell>
          <cell r="G187">
            <v>35</v>
          </cell>
          <cell r="J187">
            <v>20</v>
          </cell>
          <cell r="K187">
            <v>2</v>
          </cell>
          <cell r="L187">
            <v>5</v>
          </cell>
          <cell r="N187">
            <v>1</v>
          </cell>
          <cell r="O187">
            <v>4</v>
          </cell>
          <cell r="U187">
            <v>1</v>
          </cell>
          <cell r="V187">
            <v>1</v>
          </cell>
          <cell r="W187">
            <v>1</v>
          </cell>
          <cell r="AC187">
            <v>7808000</v>
          </cell>
        </row>
        <row r="188">
          <cell r="C188" t="str">
            <v>SEC002698</v>
          </cell>
          <cell r="E188" t="str">
            <v>Ogbu Emma (RME)</v>
          </cell>
          <cell r="F188" t="str">
            <v>partner</v>
          </cell>
          <cell r="G188">
            <v>35</v>
          </cell>
          <cell r="J188">
            <v>5</v>
          </cell>
          <cell r="K188">
            <v>3</v>
          </cell>
          <cell r="N188">
            <v>1</v>
          </cell>
          <cell r="O188">
            <v>8</v>
          </cell>
          <cell r="P188">
            <v>2</v>
          </cell>
          <cell r="Q188">
            <v>2</v>
          </cell>
          <cell r="U188">
            <v>1</v>
          </cell>
          <cell r="V188">
            <v>1</v>
          </cell>
          <cell r="W188">
            <v>2</v>
          </cell>
          <cell r="X188">
            <v>10</v>
          </cell>
          <cell r="AC188">
            <v>7000000</v>
          </cell>
        </row>
        <row r="189">
          <cell r="C189" t="str">
            <v>SEC001834</v>
          </cell>
          <cell r="E189" t="str">
            <v>Okafor Nweke Store</v>
          </cell>
          <cell r="F189" t="str">
            <v>partner</v>
          </cell>
          <cell r="G189">
            <v>35</v>
          </cell>
          <cell r="J189">
            <v>3</v>
          </cell>
          <cell r="K189">
            <v>1</v>
          </cell>
          <cell r="L189">
            <v>2</v>
          </cell>
          <cell r="N189">
            <v>1</v>
          </cell>
          <cell r="O189">
            <v>8</v>
          </cell>
          <cell r="P189">
            <v>2</v>
          </cell>
          <cell r="Q189">
            <v>2</v>
          </cell>
          <cell r="U189">
            <v>1</v>
          </cell>
          <cell r="W189">
            <v>2</v>
          </cell>
          <cell r="X189">
            <v>13</v>
          </cell>
          <cell r="AC189">
            <v>6929000</v>
          </cell>
        </row>
        <row r="190">
          <cell r="C190" t="str">
            <v>SEC001337</v>
          </cell>
          <cell r="E190" t="str">
            <v>Ignatius Ani</v>
          </cell>
          <cell r="F190" t="str">
            <v>Partner</v>
          </cell>
          <cell r="G190">
            <v>35</v>
          </cell>
          <cell r="J190">
            <v>5</v>
          </cell>
          <cell r="K190">
            <v>1</v>
          </cell>
          <cell r="L190">
            <v>1</v>
          </cell>
          <cell r="N190">
            <v>1</v>
          </cell>
          <cell r="O190">
            <v>17</v>
          </cell>
          <cell r="P190">
            <v>5</v>
          </cell>
          <cell r="Q190">
            <v>1</v>
          </cell>
          <cell r="U190">
            <v>1</v>
          </cell>
          <cell r="V190">
            <v>0.5</v>
          </cell>
          <cell r="W190">
            <v>0.5</v>
          </cell>
          <cell r="X190">
            <v>2</v>
          </cell>
          <cell r="AC190">
            <v>7762000</v>
          </cell>
        </row>
        <row r="191">
          <cell r="C191" t="str">
            <v>SEC001612</v>
          </cell>
          <cell r="E191" t="str">
            <v>MADAM IK</v>
          </cell>
          <cell r="F191" t="str">
            <v>Partner</v>
          </cell>
          <cell r="G191">
            <v>49.999999999999993</v>
          </cell>
          <cell r="J191">
            <v>20</v>
          </cell>
          <cell r="K191">
            <v>1</v>
          </cell>
          <cell r="L191">
            <v>2</v>
          </cell>
          <cell r="N191">
            <v>1.4</v>
          </cell>
          <cell r="O191">
            <v>6</v>
          </cell>
          <cell r="Q191">
            <v>1</v>
          </cell>
          <cell r="U191">
            <v>0.2</v>
          </cell>
          <cell r="V191">
            <v>2</v>
          </cell>
          <cell r="W191">
            <v>2</v>
          </cell>
          <cell r="X191">
            <v>14.4</v>
          </cell>
          <cell r="AC191">
            <v>10649100</v>
          </cell>
        </row>
        <row r="192">
          <cell r="C192" t="str">
            <v>SEC001335</v>
          </cell>
          <cell r="E192" t="str">
            <v>Christopher Okpe</v>
          </cell>
          <cell r="F192" t="str">
            <v>Partner</v>
          </cell>
          <cell r="G192">
            <v>40</v>
          </cell>
          <cell r="J192">
            <v>25</v>
          </cell>
          <cell r="K192">
            <v>1</v>
          </cell>
          <cell r="L192">
            <v>1</v>
          </cell>
          <cell r="N192">
            <v>1</v>
          </cell>
          <cell r="O192">
            <v>4</v>
          </cell>
          <cell r="Q192">
            <v>1</v>
          </cell>
          <cell r="U192">
            <v>1</v>
          </cell>
          <cell r="V192">
            <v>0.5</v>
          </cell>
          <cell r="W192">
            <v>0.5</v>
          </cell>
          <cell r="X192">
            <v>5</v>
          </cell>
          <cell r="AC192">
            <v>9253500</v>
          </cell>
        </row>
        <row r="193">
          <cell r="C193" t="str">
            <v>SEC001166</v>
          </cell>
          <cell r="E193" t="str">
            <v>Ejike Eze (RME)</v>
          </cell>
          <cell r="F193" t="str">
            <v>Partner</v>
          </cell>
          <cell r="G193">
            <v>40</v>
          </cell>
          <cell r="J193">
            <v>25</v>
          </cell>
          <cell r="K193">
            <v>1</v>
          </cell>
          <cell r="L193">
            <v>1</v>
          </cell>
          <cell r="N193">
            <v>1</v>
          </cell>
          <cell r="O193">
            <v>4</v>
          </cell>
          <cell r="Q193">
            <v>1</v>
          </cell>
          <cell r="U193">
            <v>1</v>
          </cell>
          <cell r="V193">
            <v>0.5</v>
          </cell>
          <cell r="W193">
            <v>0.5</v>
          </cell>
          <cell r="X193">
            <v>5</v>
          </cell>
          <cell r="AC193">
            <v>9253500</v>
          </cell>
        </row>
        <row r="194">
          <cell r="C194" t="str">
            <v>SEC002044</v>
          </cell>
          <cell r="E194" t="str">
            <v>Blessing Odoemenam</v>
          </cell>
          <cell r="F194" t="str">
            <v>Stockist</v>
          </cell>
          <cell r="G194">
            <v>10</v>
          </cell>
          <cell r="J194">
            <v>1</v>
          </cell>
          <cell r="K194">
            <v>1</v>
          </cell>
          <cell r="L194">
            <v>1</v>
          </cell>
          <cell r="N194">
            <v>1</v>
          </cell>
          <cell r="O194">
            <v>4</v>
          </cell>
          <cell r="U194">
            <v>0.5</v>
          </cell>
          <cell r="V194">
            <v>0.5</v>
          </cell>
          <cell r="W194">
            <v>1</v>
          </cell>
          <cell r="AC194">
            <v>1852750</v>
          </cell>
        </row>
        <row r="195">
          <cell r="C195" t="str">
            <v>SEC001336</v>
          </cell>
          <cell r="E195" t="str">
            <v>Simon Kamah</v>
          </cell>
          <cell r="F195" t="str">
            <v>Stockist</v>
          </cell>
          <cell r="G195">
            <v>14.999999999999998</v>
          </cell>
          <cell r="J195">
            <v>2</v>
          </cell>
          <cell r="K195">
            <v>1</v>
          </cell>
          <cell r="L195">
            <v>0.1</v>
          </cell>
          <cell r="N195">
            <v>1</v>
          </cell>
          <cell r="O195">
            <v>6.3</v>
          </cell>
          <cell r="Q195">
            <v>0.6</v>
          </cell>
          <cell r="U195">
            <v>2</v>
          </cell>
          <cell r="V195">
            <v>1</v>
          </cell>
          <cell r="W195">
            <v>1</v>
          </cell>
          <cell r="AC195">
            <v>2812600</v>
          </cell>
        </row>
        <row r="196">
          <cell r="C196" t="str">
            <v>SEC001121</v>
          </cell>
          <cell r="E196" t="str">
            <v>OBIORA OGBONNA</v>
          </cell>
          <cell r="F196" t="str">
            <v>Partner</v>
          </cell>
          <cell r="G196">
            <v>35</v>
          </cell>
          <cell r="J196">
            <v>8</v>
          </cell>
          <cell r="K196">
            <v>1</v>
          </cell>
          <cell r="L196">
            <v>2</v>
          </cell>
          <cell r="N196">
            <v>1</v>
          </cell>
          <cell r="O196">
            <v>9</v>
          </cell>
          <cell r="Q196">
            <v>1</v>
          </cell>
          <cell r="V196">
            <v>2</v>
          </cell>
          <cell r="W196">
            <v>1</v>
          </cell>
          <cell r="X196">
            <v>10</v>
          </cell>
          <cell r="AC196">
            <v>7200500</v>
          </cell>
        </row>
        <row r="197">
          <cell r="C197" t="str">
            <v>SEC001092</v>
          </cell>
          <cell r="E197" t="str">
            <v>Sunny Best</v>
          </cell>
          <cell r="F197" t="str">
            <v>Partner</v>
          </cell>
          <cell r="G197">
            <v>70</v>
          </cell>
          <cell r="J197">
            <v>35</v>
          </cell>
          <cell r="K197">
            <v>1</v>
          </cell>
          <cell r="L197">
            <v>1</v>
          </cell>
          <cell r="N197">
            <v>1</v>
          </cell>
          <cell r="O197">
            <v>20.399999999999999</v>
          </cell>
          <cell r="Q197">
            <v>1</v>
          </cell>
          <cell r="U197">
            <v>0.3</v>
          </cell>
          <cell r="V197">
            <v>0.3</v>
          </cell>
          <cell r="W197">
            <v>1</v>
          </cell>
          <cell r="X197">
            <v>9</v>
          </cell>
          <cell r="AC197">
            <v>16363250</v>
          </cell>
        </row>
        <row r="198">
          <cell r="C198" t="str">
            <v>SEC002256</v>
          </cell>
          <cell r="E198" t="str">
            <v>OZ (RME)</v>
          </cell>
          <cell r="F198" t="str">
            <v>partner</v>
          </cell>
          <cell r="G198">
            <v>40</v>
          </cell>
          <cell r="J198">
            <v>5</v>
          </cell>
          <cell r="K198">
            <v>1</v>
          </cell>
          <cell r="N198">
            <v>1</v>
          </cell>
          <cell r="O198">
            <v>13</v>
          </cell>
          <cell r="Q198">
            <v>5</v>
          </cell>
          <cell r="U198">
            <v>1</v>
          </cell>
          <cell r="V198">
            <v>1</v>
          </cell>
          <cell r="W198">
            <v>3</v>
          </cell>
          <cell r="X198">
            <v>10</v>
          </cell>
          <cell r="AC198">
            <v>7951500</v>
          </cell>
        </row>
        <row r="199">
          <cell r="C199" t="str">
            <v>SEC001162</v>
          </cell>
          <cell r="E199" t="str">
            <v>Robinson Agibo (RME)</v>
          </cell>
          <cell r="F199" t="str">
            <v>Partner</v>
          </cell>
          <cell r="G199">
            <v>14.999999999999998</v>
          </cell>
          <cell r="J199">
            <v>2</v>
          </cell>
          <cell r="K199">
            <v>1</v>
          </cell>
          <cell r="L199">
            <v>0.1</v>
          </cell>
          <cell r="N199">
            <v>1</v>
          </cell>
          <cell r="O199">
            <v>6.3</v>
          </cell>
          <cell r="Q199">
            <v>0.6</v>
          </cell>
          <cell r="U199">
            <v>2</v>
          </cell>
          <cell r="V199">
            <v>1</v>
          </cell>
          <cell r="W199">
            <v>1</v>
          </cell>
          <cell r="AC199">
            <v>2812600</v>
          </cell>
        </row>
        <row r="200">
          <cell r="C200" t="str">
            <v>SEC000034</v>
          </cell>
          <cell r="E200" t="str">
            <v>ISAIAH ONAH(Stockist)</v>
          </cell>
          <cell r="F200" t="str">
            <v>Partner</v>
          </cell>
          <cell r="G200">
            <v>40</v>
          </cell>
          <cell r="J200">
            <v>30</v>
          </cell>
          <cell r="K200">
            <v>1</v>
          </cell>
          <cell r="L200">
            <v>1</v>
          </cell>
          <cell r="N200">
            <v>1</v>
          </cell>
          <cell r="O200">
            <v>1</v>
          </cell>
          <cell r="Q200">
            <v>1</v>
          </cell>
          <cell r="U200">
            <v>1</v>
          </cell>
          <cell r="V200">
            <v>0.5</v>
          </cell>
          <cell r="W200">
            <v>0.5</v>
          </cell>
          <cell r="X200">
            <v>3</v>
          </cell>
          <cell r="AC200">
            <v>9492500</v>
          </cell>
        </row>
        <row r="201">
          <cell r="C201" t="str">
            <v>SEC002113</v>
          </cell>
          <cell r="E201" t="str">
            <v>C I O Investment</v>
          </cell>
          <cell r="F201" t="str">
            <v xml:space="preserve">Stockist </v>
          </cell>
          <cell r="G201">
            <v>10</v>
          </cell>
          <cell r="J201">
            <v>1</v>
          </cell>
          <cell r="L201">
            <v>1</v>
          </cell>
          <cell r="O201">
            <v>2</v>
          </cell>
          <cell r="P201">
            <v>1</v>
          </cell>
          <cell r="Q201">
            <v>1</v>
          </cell>
          <cell r="U201">
            <v>1</v>
          </cell>
          <cell r="W201">
            <v>1</v>
          </cell>
          <cell r="X201">
            <v>2</v>
          </cell>
          <cell r="AC201">
            <v>1941500</v>
          </cell>
        </row>
        <row r="202">
          <cell r="C202" t="str">
            <v>SEC001041</v>
          </cell>
          <cell r="E202" t="str">
            <v>ECO INVESTMENT (RME)</v>
          </cell>
          <cell r="F202" t="str">
            <v xml:space="preserve">Stockist </v>
          </cell>
          <cell r="G202">
            <v>10</v>
          </cell>
          <cell r="J202">
            <v>1</v>
          </cell>
          <cell r="K202">
            <v>1</v>
          </cell>
          <cell r="O202">
            <v>1</v>
          </cell>
          <cell r="P202">
            <v>2</v>
          </cell>
          <cell r="Q202">
            <v>1</v>
          </cell>
          <cell r="U202">
            <v>1</v>
          </cell>
          <cell r="W202">
            <v>1</v>
          </cell>
          <cell r="X202">
            <v>2</v>
          </cell>
          <cell r="AC202">
            <v>1972500</v>
          </cell>
        </row>
        <row r="203">
          <cell r="C203" t="str">
            <v>SEC002641</v>
          </cell>
          <cell r="E203" t="str">
            <v>James Guma</v>
          </cell>
          <cell r="F203" t="str">
            <v>Partner</v>
          </cell>
          <cell r="G203">
            <v>0</v>
          </cell>
          <cell r="AC203">
            <v>0</v>
          </cell>
        </row>
        <row r="204">
          <cell r="C204" t="str">
            <v>SEC002598</v>
          </cell>
          <cell r="E204" t="str">
            <v>Ahmed Sumaila (RME)</v>
          </cell>
          <cell r="F204" t="str">
            <v>Partner</v>
          </cell>
          <cell r="G204">
            <v>50</v>
          </cell>
          <cell r="J204">
            <v>25</v>
          </cell>
          <cell r="K204">
            <v>1</v>
          </cell>
          <cell r="L204">
            <v>1</v>
          </cell>
          <cell r="N204">
            <v>1</v>
          </cell>
          <cell r="O204">
            <v>14</v>
          </cell>
          <cell r="Q204">
            <v>1</v>
          </cell>
          <cell r="U204">
            <v>1</v>
          </cell>
          <cell r="V204">
            <v>0.5</v>
          </cell>
          <cell r="W204">
            <v>0.5</v>
          </cell>
          <cell r="X204">
            <v>5</v>
          </cell>
          <cell r="AC204">
            <v>11558500</v>
          </cell>
        </row>
        <row r="205">
          <cell r="C205" t="str">
            <v>SEC003560</v>
          </cell>
          <cell r="E205" t="str">
            <v>Blessed GOD</v>
          </cell>
          <cell r="F205" t="str">
            <v xml:space="preserve">Stockist </v>
          </cell>
          <cell r="G205">
            <v>15</v>
          </cell>
          <cell r="J205">
            <v>2</v>
          </cell>
          <cell r="K205">
            <v>1</v>
          </cell>
          <cell r="L205">
            <v>0</v>
          </cell>
          <cell r="N205">
            <v>1</v>
          </cell>
          <cell r="O205">
            <v>1</v>
          </cell>
          <cell r="P205">
            <v>2</v>
          </cell>
          <cell r="Q205">
            <v>1</v>
          </cell>
          <cell r="U205">
            <v>1</v>
          </cell>
          <cell r="V205">
            <v>0.75</v>
          </cell>
          <cell r="W205">
            <v>1</v>
          </cell>
          <cell r="X205">
            <v>4.25</v>
          </cell>
          <cell r="AC205">
            <v>2838750</v>
          </cell>
        </row>
        <row r="206">
          <cell r="C206" t="str">
            <v>SEC003685</v>
          </cell>
          <cell r="E206" t="str">
            <v>Promise Ezema</v>
          </cell>
          <cell r="F206" t="str">
            <v>Stockist</v>
          </cell>
          <cell r="G206">
            <v>14.999999999999998</v>
          </cell>
          <cell r="J206">
            <v>2</v>
          </cell>
          <cell r="K206">
            <v>1</v>
          </cell>
          <cell r="L206">
            <v>0.1</v>
          </cell>
          <cell r="N206">
            <v>1</v>
          </cell>
          <cell r="O206">
            <v>6.3</v>
          </cell>
          <cell r="Q206">
            <v>0.6</v>
          </cell>
          <cell r="U206">
            <v>2</v>
          </cell>
          <cell r="V206">
            <v>1</v>
          </cell>
          <cell r="W206">
            <v>1</v>
          </cell>
          <cell r="AC206">
            <v>2812600</v>
          </cell>
        </row>
        <row r="207">
          <cell r="C207" t="str">
            <v>SEC003702</v>
          </cell>
          <cell r="E207" t="str">
            <v>Ikechukwu Enterprise</v>
          </cell>
          <cell r="F207" t="str">
            <v xml:space="preserve">mega partner </v>
          </cell>
          <cell r="G207">
            <v>0</v>
          </cell>
          <cell r="AC207">
            <v>0</v>
          </cell>
        </row>
        <row r="208">
          <cell r="C208" t="str">
            <v>SEC004115</v>
          </cell>
          <cell r="E208" t="str">
            <v>Mrs Macy maor</v>
          </cell>
          <cell r="F208" t="str">
            <v>Stockist</v>
          </cell>
          <cell r="G208">
            <v>10</v>
          </cell>
          <cell r="J208">
            <v>1</v>
          </cell>
          <cell r="K208">
            <v>1</v>
          </cell>
          <cell r="N208">
            <v>1</v>
          </cell>
          <cell r="O208">
            <v>4</v>
          </cell>
          <cell r="U208">
            <v>1</v>
          </cell>
          <cell r="V208">
            <v>1</v>
          </cell>
          <cell r="W208">
            <v>1</v>
          </cell>
          <cell r="AC208">
            <v>1786500</v>
          </cell>
        </row>
        <row r="209">
          <cell r="C209" t="str">
            <v>SEC003782</v>
          </cell>
          <cell r="E209" t="str">
            <v>John Obela</v>
          </cell>
          <cell r="F209" t="str">
            <v>Partner</v>
          </cell>
          <cell r="G209">
            <v>40</v>
          </cell>
          <cell r="J209">
            <v>9</v>
          </cell>
          <cell r="K209">
            <v>1</v>
          </cell>
          <cell r="L209">
            <v>1</v>
          </cell>
          <cell r="N209">
            <v>1</v>
          </cell>
          <cell r="O209">
            <v>18</v>
          </cell>
          <cell r="P209">
            <v>5</v>
          </cell>
          <cell r="Q209">
            <v>1</v>
          </cell>
          <cell r="U209">
            <v>1</v>
          </cell>
          <cell r="V209">
            <v>0.5</v>
          </cell>
          <cell r="W209">
            <v>0.5</v>
          </cell>
          <cell r="X209">
            <v>2</v>
          </cell>
          <cell r="AC209">
            <v>9038500</v>
          </cell>
        </row>
        <row r="210">
          <cell r="C210" t="str">
            <v>SEC003768</v>
          </cell>
          <cell r="E210" t="str">
            <v>Afucheta Nneka</v>
          </cell>
          <cell r="F210" t="str">
            <v>Partner</v>
          </cell>
          <cell r="G210">
            <v>35</v>
          </cell>
          <cell r="J210">
            <v>22</v>
          </cell>
          <cell r="K210">
            <v>1</v>
          </cell>
          <cell r="L210">
            <v>2</v>
          </cell>
          <cell r="N210">
            <v>1</v>
          </cell>
          <cell r="O210">
            <v>5</v>
          </cell>
          <cell r="Q210">
            <v>1</v>
          </cell>
          <cell r="V210">
            <v>1</v>
          </cell>
          <cell r="W210">
            <v>1</v>
          </cell>
          <cell r="X210">
            <v>1</v>
          </cell>
          <cell r="AC210">
            <v>8129500</v>
          </cell>
        </row>
        <row r="211">
          <cell r="C211" t="str">
            <v>SEC007383</v>
          </cell>
          <cell r="E211" t="str">
            <v>Madam Agnes</v>
          </cell>
          <cell r="F211" t="str">
            <v>Stockist</v>
          </cell>
          <cell r="G211">
            <v>0</v>
          </cell>
          <cell r="AC211">
            <v>0</v>
          </cell>
        </row>
        <row r="212">
          <cell r="C212" t="str">
            <v>SEC003774</v>
          </cell>
          <cell r="E212" t="str">
            <v>MICHEAL ODOEZE</v>
          </cell>
          <cell r="F212" t="str">
            <v xml:space="preserve">Partner </v>
          </cell>
          <cell r="G212">
            <v>70</v>
          </cell>
          <cell r="J212">
            <v>5</v>
          </cell>
          <cell r="K212">
            <v>3</v>
          </cell>
          <cell r="L212">
            <v>2</v>
          </cell>
          <cell r="M212">
            <v>0</v>
          </cell>
          <cell r="N212">
            <v>4</v>
          </cell>
          <cell r="O212">
            <v>10</v>
          </cell>
          <cell r="P212">
            <v>7</v>
          </cell>
          <cell r="Q212">
            <v>10</v>
          </cell>
          <cell r="U212">
            <v>5</v>
          </cell>
          <cell r="V212">
            <v>4</v>
          </cell>
          <cell r="W212">
            <v>4</v>
          </cell>
          <cell r="X212">
            <v>16</v>
          </cell>
          <cell r="AC212">
            <v>13016500</v>
          </cell>
        </row>
        <row r="213">
          <cell r="C213" t="str">
            <v>SEC003808</v>
          </cell>
          <cell r="E213" t="str">
            <v>Emeka Asema</v>
          </cell>
          <cell r="F213" t="str">
            <v>Stockist</v>
          </cell>
          <cell r="G213">
            <v>14.999999999999998</v>
          </cell>
          <cell r="J213">
            <v>2</v>
          </cell>
          <cell r="K213">
            <v>1</v>
          </cell>
          <cell r="L213">
            <v>0.1</v>
          </cell>
          <cell r="N213">
            <v>1</v>
          </cell>
          <cell r="O213">
            <v>6.3</v>
          </cell>
          <cell r="Q213">
            <v>0.6</v>
          </cell>
          <cell r="U213">
            <v>2</v>
          </cell>
          <cell r="V213">
            <v>1</v>
          </cell>
          <cell r="W213">
            <v>1</v>
          </cell>
          <cell r="AC213">
            <v>2812600</v>
          </cell>
        </row>
        <row r="214">
          <cell r="C214" t="str">
            <v>SEC001128</v>
          </cell>
          <cell r="E214" t="str">
            <v>SUNNY VENTURES</v>
          </cell>
          <cell r="F214" t="str">
            <v>Stockist</v>
          </cell>
          <cell r="G214">
            <v>10</v>
          </cell>
          <cell r="J214">
            <v>1</v>
          </cell>
          <cell r="K214">
            <v>1</v>
          </cell>
          <cell r="N214">
            <v>1</v>
          </cell>
          <cell r="O214">
            <v>4</v>
          </cell>
          <cell r="U214">
            <v>1</v>
          </cell>
          <cell r="V214">
            <v>1</v>
          </cell>
          <cell r="W214">
            <v>1</v>
          </cell>
          <cell r="AC214">
            <v>1786500</v>
          </cell>
        </row>
        <row r="215">
          <cell r="C215" t="str">
            <v>SEC002564</v>
          </cell>
          <cell r="E215" t="str">
            <v>MADAM MANAGER STORE</v>
          </cell>
          <cell r="F215" t="str">
            <v>Stockist</v>
          </cell>
          <cell r="G215">
            <v>10</v>
          </cell>
          <cell r="J215">
            <v>1</v>
          </cell>
          <cell r="K215">
            <v>1</v>
          </cell>
          <cell r="N215">
            <v>1</v>
          </cell>
          <cell r="O215">
            <v>4</v>
          </cell>
          <cell r="U215">
            <v>1</v>
          </cell>
          <cell r="V215">
            <v>1</v>
          </cell>
          <cell r="W215">
            <v>1</v>
          </cell>
          <cell r="AC215">
            <v>1786500</v>
          </cell>
        </row>
        <row r="216">
          <cell r="C216" t="str">
            <v>SEC004147</v>
          </cell>
          <cell r="E216" t="str">
            <v>CHIDI E Acho</v>
          </cell>
          <cell r="F216" t="str">
            <v>Stockist</v>
          </cell>
          <cell r="G216">
            <v>10</v>
          </cell>
          <cell r="J216">
            <v>1</v>
          </cell>
          <cell r="K216">
            <v>1</v>
          </cell>
          <cell r="N216">
            <v>1</v>
          </cell>
          <cell r="O216">
            <v>4</v>
          </cell>
          <cell r="U216">
            <v>1</v>
          </cell>
          <cell r="V216">
            <v>1</v>
          </cell>
          <cell r="W216">
            <v>1</v>
          </cell>
          <cell r="AC216">
            <v>1786500</v>
          </cell>
        </row>
        <row r="217">
          <cell r="C217" t="str">
            <v>SEC001125</v>
          </cell>
          <cell r="E217" t="str">
            <v>OSITA EZE</v>
          </cell>
          <cell r="F217" t="str">
            <v>Partner</v>
          </cell>
          <cell r="G217">
            <v>40</v>
          </cell>
          <cell r="J217">
            <v>30</v>
          </cell>
          <cell r="K217">
            <v>1</v>
          </cell>
          <cell r="L217">
            <v>1</v>
          </cell>
          <cell r="N217">
            <v>1</v>
          </cell>
          <cell r="O217">
            <v>2</v>
          </cell>
          <cell r="Q217">
            <v>1</v>
          </cell>
          <cell r="U217">
            <v>1</v>
          </cell>
          <cell r="V217">
            <v>0.5</v>
          </cell>
          <cell r="W217">
            <v>0.5</v>
          </cell>
          <cell r="X217">
            <v>2</v>
          </cell>
          <cell r="AC217">
            <v>9534500</v>
          </cell>
        </row>
        <row r="218">
          <cell r="C218" t="str">
            <v>SEC002499</v>
          </cell>
          <cell r="E218" t="str">
            <v>Madam OZ (RME)</v>
          </cell>
          <cell r="F218" t="str">
            <v>Stockiest</v>
          </cell>
          <cell r="G218">
            <v>10</v>
          </cell>
          <cell r="J218">
            <v>1</v>
          </cell>
          <cell r="L218">
            <v>1</v>
          </cell>
          <cell r="M218">
            <v>0</v>
          </cell>
          <cell r="N218">
            <v>0</v>
          </cell>
          <cell r="O218">
            <v>3</v>
          </cell>
          <cell r="P218">
            <v>2</v>
          </cell>
          <cell r="Q218">
            <v>0</v>
          </cell>
          <cell r="U218">
            <v>1</v>
          </cell>
          <cell r="V218">
            <v>1</v>
          </cell>
          <cell r="W218">
            <v>0</v>
          </cell>
          <cell r="X218">
            <v>1</v>
          </cell>
          <cell r="Z218">
            <v>0</v>
          </cell>
          <cell r="AC218">
            <v>2058500</v>
          </cell>
        </row>
        <row r="219">
          <cell r="C219" t="str">
            <v>SEC001189</v>
          </cell>
          <cell r="E219" t="str">
            <v xml:space="preserve">Joseph Ugba </v>
          </cell>
          <cell r="F219" t="str">
            <v>Partner</v>
          </cell>
          <cell r="G219">
            <v>35</v>
          </cell>
          <cell r="J219">
            <v>3</v>
          </cell>
          <cell r="K219">
            <v>0.5</v>
          </cell>
          <cell r="L219">
            <v>2</v>
          </cell>
          <cell r="M219">
            <v>0.1</v>
          </cell>
          <cell r="N219">
            <v>0.1</v>
          </cell>
          <cell r="O219">
            <v>15</v>
          </cell>
          <cell r="P219">
            <v>3</v>
          </cell>
          <cell r="Q219">
            <v>1</v>
          </cell>
          <cell r="S219">
            <v>0</v>
          </cell>
          <cell r="T219">
            <v>0</v>
          </cell>
          <cell r="U219">
            <v>3</v>
          </cell>
          <cell r="V219">
            <v>1.2</v>
          </cell>
          <cell r="W219">
            <v>6</v>
          </cell>
          <cell r="X219">
            <v>0.1</v>
          </cell>
          <cell r="Z219">
            <v>0</v>
          </cell>
          <cell r="AC219">
            <v>6829900</v>
          </cell>
        </row>
        <row r="220">
          <cell r="C220" t="str">
            <v>SEC002488</v>
          </cell>
          <cell r="E220" t="str">
            <v>Chukwuma Peter (RME)</v>
          </cell>
          <cell r="F220" t="str">
            <v>Partner</v>
          </cell>
          <cell r="G220">
            <v>10</v>
          </cell>
          <cell r="J220">
            <v>1.9</v>
          </cell>
          <cell r="K220">
            <v>0.1</v>
          </cell>
          <cell r="L220">
            <v>1</v>
          </cell>
          <cell r="O220">
            <v>4</v>
          </cell>
          <cell r="Q220">
            <v>0.5</v>
          </cell>
          <cell r="S220">
            <v>0</v>
          </cell>
          <cell r="U220">
            <v>0.5</v>
          </cell>
          <cell r="W220">
            <v>2</v>
          </cell>
          <cell r="AC220">
            <v>1984650</v>
          </cell>
        </row>
        <row r="221">
          <cell r="C221" t="str">
            <v>SEC002105</v>
          </cell>
          <cell r="E221" t="str">
            <v>Maria Okoye</v>
          </cell>
          <cell r="F221" t="str">
            <v>Stockiest</v>
          </cell>
          <cell r="G221">
            <v>10</v>
          </cell>
          <cell r="J221">
            <v>1.9</v>
          </cell>
          <cell r="K221">
            <v>0.1</v>
          </cell>
          <cell r="L221">
            <v>1</v>
          </cell>
          <cell r="O221">
            <v>4</v>
          </cell>
          <cell r="Q221">
            <v>1</v>
          </cell>
          <cell r="W221">
            <v>2</v>
          </cell>
          <cell r="AC221">
            <v>2025400</v>
          </cell>
        </row>
        <row r="222">
          <cell r="C222" t="str">
            <v>SEC002669</v>
          </cell>
          <cell r="D222">
            <v>0</v>
          </cell>
          <cell r="E222" t="str">
            <v>Emmanuel Obeifuna</v>
          </cell>
          <cell r="F222" t="str">
            <v>Partner</v>
          </cell>
          <cell r="G222">
            <v>10</v>
          </cell>
          <cell r="J222">
            <v>1</v>
          </cell>
          <cell r="K222">
            <v>0.5</v>
          </cell>
          <cell r="L222">
            <v>1.3</v>
          </cell>
          <cell r="M222">
            <v>0.1</v>
          </cell>
          <cell r="N222">
            <v>0.1</v>
          </cell>
          <cell r="O222">
            <v>2</v>
          </cell>
          <cell r="P222">
            <v>1</v>
          </cell>
          <cell r="Q222">
            <v>1</v>
          </cell>
          <cell r="S222">
            <v>0</v>
          </cell>
          <cell r="T222">
            <v>0</v>
          </cell>
          <cell r="U222">
            <v>1</v>
          </cell>
          <cell r="V222">
            <v>1</v>
          </cell>
          <cell r="W222">
            <v>1</v>
          </cell>
          <cell r="Z222">
            <v>0</v>
          </cell>
          <cell r="AC222">
            <v>1845500</v>
          </cell>
        </row>
        <row r="223">
          <cell r="C223" t="str">
            <v>SEC003857</v>
          </cell>
          <cell r="E223" t="str">
            <v>Jude Nwachukwu</v>
          </cell>
          <cell r="F223" t="str">
            <v>Stockiest</v>
          </cell>
          <cell r="G223">
            <v>0</v>
          </cell>
          <cell r="AC223">
            <v>0</v>
          </cell>
        </row>
        <row r="224">
          <cell r="C224" t="str">
            <v>SEC002352</v>
          </cell>
          <cell r="E224" t="str">
            <v>LINUS NWACHUKWU (RME)</v>
          </cell>
          <cell r="F224" t="str">
            <v>Stockist</v>
          </cell>
          <cell r="G224">
            <v>15</v>
          </cell>
          <cell r="J224">
            <v>0.1</v>
          </cell>
          <cell r="L224">
            <v>0.2</v>
          </cell>
          <cell r="M224">
            <v>0.1</v>
          </cell>
          <cell r="O224">
            <v>4</v>
          </cell>
          <cell r="Q224">
            <v>0.3</v>
          </cell>
          <cell r="U224">
            <v>0.1</v>
          </cell>
          <cell r="V224">
            <v>0.2</v>
          </cell>
          <cell r="X224">
            <v>10</v>
          </cell>
          <cell r="AC224">
            <v>2974950</v>
          </cell>
        </row>
        <row r="225">
          <cell r="C225" t="str">
            <v>SEC002324</v>
          </cell>
          <cell r="E225" t="str">
            <v>BARIBOR</v>
          </cell>
          <cell r="F225" t="str">
            <v>Stockist</v>
          </cell>
          <cell r="G225">
            <v>10</v>
          </cell>
          <cell r="J225">
            <v>0.2</v>
          </cell>
          <cell r="L225">
            <v>0.1</v>
          </cell>
          <cell r="O225">
            <v>3.8</v>
          </cell>
          <cell r="U225">
            <v>0.1</v>
          </cell>
          <cell r="V225">
            <v>0.2</v>
          </cell>
          <cell r="X225">
            <v>5.6</v>
          </cell>
          <cell r="AC225">
            <v>2034550</v>
          </cell>
        </row>
        <row r="226">
          <cell r="C226" t="str">
            <v>SEC002349</v>
          </cell>
          <cell r="E226" t="str">
            <v>Juda (Stockist)</v>
          </cell>
          <cell r="F226" t="str">
            <v>Partner</v>
          </cell>
          <cell r="G226">
            <v>40</v>
          </cell>
          <cell r="J226">
            <v>2</v>
          </cell>
          <cell r="L226">
            <v>2</v>
          </cell>
          <cell r="M226">
            <v>1</v>
          </cell>
          <cell r="O226">
            <v>10</v>
          </cell>
          <cell r="P226">
            <v>3</v>
          </cell>
          <cell r="Q226">
            <v>2</v>
          </cell>
          <cell r="U226">
            <v>3</v>
          </cell>
          <cell r="V226">
            <v>2</v>
          </cell>
          <cell r="W226">
            <v>3</v>
          </cell>
          <cell r="X226">
            <v>12</v>
          </cell>
          <cell r="AC226">
            <v>7656500</v>
          </cell>
        </row>
        <row r="227">
          <cell r="C227" t="str">
            <v>SEC002355</v>
          </cell>
          <cell r="E227" t="str">
            <v>Mike Olisa</v>
          </cell>
          <cell r="F227" t="str">
            <v>Stockist</v>
          </cell>
          <cell r="G227">
            <v>10</v>
          </cell>
          <cell r="J227">
            <v>0.2</v>
          </cell>
          <cell r="L227">
            <v>0.2</v>
          </cell>
          <cell r="O227">
            <v>3.6</v>
          </cell>
          <cell r="Q227">
            <v>0.1</v>
          </cell>
          <cell r="U227">
            <v>0.2</v>
          </cell>
          <cell r="V227">
            <v>0.2</v>
          </cell>
          <cell r="X227">
            <v>5.5</v>
          </cell>
          <cell r="AC227">
            <v>2016300</v>
          </cell>
        </row>
        <row r="228">
          <cell r="C228" t="str">
            <v>SEC002341</v>
          </cell>
          <cell r="E228" t="str">
            <v>FIDELIS EZE (RME)</v>
          </cell>
          <cell r="F228" t="str">
            <v>Partner</v>
          </cell>
          <cell r="G228">
            <v>50</v>
          </cell>
          <cell r="J228">
            <v>0.5</v>
          </cell>
          <cell r="L228">
            <v>3</v>
          </cell>
          <cell r="M228">
            <v>0.3</v>
          </cell>
          <cell r="O228">
            <v>25.7</v>
          </cell>
          <cell r="P228">
            <v>0.2</v>
          </cell>
          <cell r="Q228">
            <v>0.1</v>
          </cell>
          <cell r="U228">
            <v>0.2</v>
          </cell>
          <cell r="V228">
            <v>0.4</v>
          </cell>
          <cell r="X228">
            <v>19.600000000000001</v>
          </cell>
          <cell r="AC228">
            <v>10465700</v>
          </cell>
        </row>
        <row r="229">
          <cell r="C229" t="str">
            <v>SEC002378</v>
          </cell>
          <cell r="E229" t="str">
            <v>USMAN SOKOTO</v>
          </cell>
          <cell r="F229" t="str">
            <v>Partner</v>
          </cell>
          <cell r="G229">
            <v>50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O229">
            <v>9</v>
          </cell>
          <cell r="P229">
            <v>1</v>
          </cell>
          <cell r="Q229">
            <v>0.4</v>
          </cell>
          <cell r="U229">
            <v>0.2</v>
          </cell>
          <cell r="V229">
            <v>3.4</v>
          </cell>
          <cell r="X229">
            <v>32</v>
          </cell>
          <cell r="AC229">
            <v>9637500</v>
          </cell>
        </row>
        <row r="230">
          <cell r="C230" t="str">
            <v>SEC002321</v>
          </cell>
          <cell r="E230" t="str">
            <v>Alelochi Success Hope</v>
          </cell>
          <cell r="F230" t="str">
            <v>Partner</v>
          </cell>
          <cell r="G230">
            <v>60</v>
          </cell>
          <cell r="J230">
            <v>0.5</v>
          </cell>
          <cell r="L230">
            <v>2</v>
          </cell>
          <cell r="M230">
            <v>0.1</v>
          </cell>
          <cell r="O230">
            <v>18.8</v>
          </cell>
          <cell r="P230">
            <v>0.2</v>
          </cell>
          <cell r="Q230">
            <v>2</v>
          </cell>
          <cell r="U230">
            <v>0.5</v>
          </cell>
          <cell r="V230">
            <v>0.5</v>
          </cell>
          <cell r="X230">
            <v>35.4</v>
          </cell>
          <cell r="AC230">
            <v>12040150</v>
          </cell>
        </row>
        <row r="231">
          <cell r="C231" t="str">
            <v>SEC002218</v>
          </cell>
          <cell r="E231" t="str">
            <v>Menwe Ajie (RME)</v>
          </cell>
          <cell r="F231" t="str">
            <v>Stockist</v>
          </cell>
          <cell r="G231">
            <v>0</v>
          </cell>
          <cell r="AC231">
            <v>0</v>
          </cell>
        </row>
        <row r="232">
          <cell r="C232" t="str">
            <v>SEC001229</v>
          </cell>
          <cell r="E232" t="str">
            <v>Ogbonna Azza</v>
          </cell>
          <cell r="F232" t="str">
            <v>Stockist</v>
          </cell>
          <cell r="G232">
            <v>15</v>
          </cell>
          <cell r="J232">
            <v>2</v>
          </cell>
          <cell r="L232">
            <v>1</v>
          </cell>
          <cell r="M232">
            <v>1</v>
          </cell>
          <cell r="O232">
            <v>3</v>
          </cell>
          <cell r="P232">
            <v>1</v>
          </cell>
          <cell r="Q232">
            <v>1</v>
          </cell>
          <cell r="U232">
            <v>2</v>
          </cell>
          <cell r="X232">
            <v>4</v>
          </cell>
          <cell r="AC232">
            <v>2977500</v>
          </cell>
        </row>
        <row r="233">
          <cell r="C233" t="str">
            <v>SEC002024</v>
          </cell>
          <cell r="E233" t="str">
            <v>Green Bazar</v>
          </cell>
          <cell r="F233" t="str">
            <v>Stockist</v>
          </cell>
          <cell r="G233">
            <v>15</v>
          </cell>
          <cell r="O233">
            <v>12</v>
          </cell>
          <cell r="U233">
            <v>1</v>
          </cell>
          <cell r="X233">
            <v>2</v>
          </cell>
          <cell r="AC233">
            <v>3248000</v>
          </cell>
        </row>
        <row r="234">
          <cell r="C234" t="str">
            <v>SEC001231</v>
          </cell>
          <cell r="E234" t="str">
            <v>F.C.T.</v>
          </cell>
          <cell r="F234" t="str">
            <v>Partner</v>
          </cell>
          <cell r="G234">
            <v>35</v>
          </cell>
          <cell r="J234">
            <v>0.5</v>
          </cell>
          <cell r="L234">
            <v>0.2</v>
          </cell>
          <cell r="O234">
            <v>25</v>
          </cell>
          <cell r="Q234">
            <v>0.3</v>
          </cell>
          <cell r="U234">
            <v>5</v>
          </cell>
          <cell r="X234">
            <v>4</v>
          </cell>
          <cell r="AC234">
            <v>7263300</v>
          </cell>
        </row>
        <row r="235">
          <cell r="C235" t="str">
            <v>SEC001183</v>
          </cell>
          <cell r="E235" t="str">
            <v>Jinco Cosmestics</v>
          </cell>
          <cell r="F235" t="str">
            <v>Partner</v>
          </cell>
          <cell r="G235">
            <v>35</v>
          </cell>
          <cell r="J235">
            <v>0.2</v>
          </cell>
          <cell r="L235">
            <v>0.2</v>
          </cell>
          <cell r="O235">
            <v>28</v>
          </cell>
          <cell r="P235">
            <v>0.3</v>
          </cell>
          <cell r="Q235">
            <v>0.2</v>
          </cell>
          <cell r="U235">
            <v>4</v>
          </cell>
          <cell r="X235">
            <v>2.1</v>
          </cell>
          <cell r="AC235">
            <v>7473000</v>
          </cell>
        </row>
        <row r="236">
          <cell r="C236" t="str">
            <v>SEC002367</v>
          </cell>
          <cell r="E236" t="str">
            <v>OZ (CHIGOZIE UBADINMA) (RME)</v>
          </cell>
          <cell r="F236" t="str">
            <v>Partner</v>
          </cell>
          <cell r="G236">
            <v>35</v>
          </cell>
          <cell r="J236">
            <v>0.5</v>
          </cell>
          <cell r="L236">
            <v>1.5</v>
          </cell>
          <cell r="M236">
            <v>0.2</v>
          </cell>
          <cell r="O236">
            <v>10.9</v>
          </cell>
          <cell r="P236">
            <v>0.2</v>
          </cell>
          <cell r="Q236">
            <v>0.2</v>
          </cell>
          <cell r="U236">
            <v>0.5</v>
          </cell>
          <cell r="V236">
            <v>0.5</v>
          </cell>
          <cell r="X236">
            <v>20.5</v>
          </cell>
          <cell r="AC236">
            <v>7004650</v>
          </cell>
        </row>
        <row r="237">
          <cell r="C237" t="str">
            <v>SEC002323</v>
          </cell>
          <cell r="E237" t="str">
            <v>Babaginda Shehu</v>
          </cell>
          <cell r="F237" t="str">
            <v>Stockist</v>
          </cell>
          <cell r="G237">
            <v>10</v>
          </cell>
          <cell r="J237">
            <v>0.1</v>
          </cell>
          <cell r="L237">
            <v>0.3</v>
          </cell>
          <cell r="O237">
            <v>3.9</v>
          </cell>
          <cell r="U237">
            <v>0.1</v>
          </cell>
          <cell r="V237">
            <v>0.5</v>
          </cell>
          <cell r="X237">
            <v>5.0999999999999996</v>
          </cell>
          <cell r="AC237">
            <v>2006350</v>
          </cell>
        </row>
        <row r="238">
          <cell r="C238" t="str">
            <v>SEC003665</v>
          </cell>
          <cell r="E238" t="str">
            <v>Deede Y.A. Ventures</v>
          </cell>
          <cell r="F238" t="str">
            <v>Stockist</v>
          </cell>
          <cell r="G238">
            <v>10</v>
          </cell>
          <cell r="J238">
            <v>0.5</v>
          </cell>
          <cell r="L238">
            <v>0.3</v>
          </cell>
          <cell r="O238">
            <v>3.2</v>
          </cell>
          <cell r="Q238">
            <v>0.5</v>
          </cell>
          <cell r="X238">
            <v>5.5</v>
          </cell>
          <cell r="AC238">
            <v>2051000</v>
          </cell>
        </row>
        <row r="239">
          <cell r="C239" t="str">
            <v>SEC003666</v>
          </cell>
          <cell r="E239" t="str">
            <v>Chibuike Soronnadi</v>
          </cell>
          <cell r="F239" t="str">
            <v>Partner</v>
          </cell>
          <cell r="G239">
            <v>35</v>
          </cell>
          <cell r="J239">
            <v>3</v>
          </cell>
          <cell r="L239">
            <v>2</v>
          </cell>
          <cell r="M239">
            <v>1</v>
          </cell>
          <cell r="O239">
            <v>5</v>
          </cell>
          <cell r="P239">
            <v>2</v>
          </cell>
          <cell r="Q239">
            <v>2</v>
          </cell>
          <cell r="U239">
            <v>2</v>
          </cell>
          <cell r="V239">
            <v>5</v>
          </cell>
          <cell r="W239">
            <v>4</v>
          </cell>
          <cell r="X239">
            <v>9</v>
          </cell>
          <cell r="AC239">
            <v>6287500</v>
          </cell>
        </row>
        <row r="240">
          <cell r="C240" t="str">
            <v>SEC004113</v>
          </cell>
          <cell r="E240" t="str">
            <v>Onwanrieta Maureen Success</v>
          </cell>
          <cell r="F240" t="str">
            <v>Stockist</v>
          </cell>
          <cell r="G240">
            <v>10</v>
          </cell>
          <cell r="J240">
            <v>2</v>
          </cell>
          <cell r="L240">
            <v>1</v>
          </cell>
          <cell r="M240">
            <v>1</v>
          </cell>
          <cell r="O240">
            <v>3</v>
          </cell>
          <cell r="Q240">
            <v>1</v>
          </cell>
          <cell r="X240">
            <v>2</v>
          </cell>
          <cell r="AC240">
            <v>2129000</v>
          </cell>
        </row>
        <row r="241">
          <cell r="C241" t="str">
            <v>SEC004112</v>
          </cell>
          <cell r="E241" t="str">
            <v>OKONKWO ENTERPRISES</v>
          </cell>
          <cell r="F241" t="str">
            <v>Stockist</v>
          </cell>
          <cell r="G241">
            <v>10</v>
          </cell>
          <cell r="J241">
            <v>0.1</v>
          </cell>
          <cell r="L241">
            <v>0.1</v>
          </cell>
          <cell r="O241">
            <v>7.2</v>
          </cell>
          <cell r="U241">
            <v>0.5</v>
          </cell>
          <cell r="V241">
            <v>0.1</v>
          </cell>
          <cell r="X241">
            <v>2</v>
          </cell>
          <cell r="AC241">
            <v>2144150</v>
          </cell>
        </row>
        <row r="242">
          <cell r="C242" t="str">
            <v>SECOO4111</v>
          </cell>
          <cell r="E242" t="str">
            <v>OBIJIAKU ENTERPRISES</v>
          </cell>
          <cell r="F242" t="str">
            <v>Stockist</v>
          </cell>
          <cell r="G242">
            <v>10</v>
          </cell>
          <cell r="J242">
            <v>0.1</v>
          </cell>
          <cell r="L242">
            <v>0.1</v>
          </cell>
          <cell r="O242">
            <v>7.2</v>
          </cell>
          <cell r="U242">
            <v>0.5</v>
          </cell>
          <cell r="V242">
            <v>0.1</v>
          </cell>
          <cell r="X242">
            <v>2</v>
          </cell>
          <cell r="AC242">
            <v>2144150</v>
          </cell>
        </row>
        <row r="243">
          <cell r="C243" t="str">
            <v>SEC003922</v>
          </cell>
          <cell r="E243" t="str">
            <v>UGOMENDE</v>
          </cell>
          <cell r="F243" t="str">
            <v>Stockist</v>
          </cell>
          <cell r="G243">
            <v>35</v>
          </cell>
          <cell r="J243">
            <v>0.2</v>
          </cell>
          <cell r="O243">
            <v>28.4</v>
          </cell>
          <cell r="U243">
            <v>1</v>
          </cell>
          <cell r="X243">
            <v>5.4</v>
          </cell>
          <cell r="AC243">
            <v>7721400</v>
          </cell>
        </row>
        <row r="244">
          <cell r="C244" t="str">
            <v>SEC004139</v>
          </cell>
          <cell r="E244" t="str">
            <v>Chidex Store</v>
          </cell>
          <cell r="F244" t="str">
            <v>Stockist</v>
          </cell>
          <cell r="G244">
            <v>10</v>
          </cell>
          <cell r="J244">
            <v>5</v>
          </cell>
          <cell r="O244">
            <v>5</v>
          </cell>
          <cell r="AC244">
            <v>2460000</v>
          </cell>
        </row>
        <row r="245">
          <cell r="C245" t="str">
            <v>SEC004136</v>
          </cell>
          <cell r="E245" t="str">
            <v>Madam Edith</v>
          </cell>
          <cell r="F245" t="str">
            <v>Stockist</v>
          </cell>
          <cell r="G245">
            <v>10</v>
          </cell>
          <cell r="J245">
            <v>5</v>
          </cell>
          <cell r="O245">
            <v>5</v>
          </cell>
          <cell r="AC245">
            <v>2460000</v>
          </cell>
        </row>
        <row r="246">
          <cell r="C246" t="str">
            <v>SEC004135</v>
          </cell>
          <cell r="E246" t="str">
            <v>Onyebros Agu Enterprise</v>
          </cell>
          <cell r="F246" t="str">
            <v>Partner</v>
          </cell>
          <cell r="G246">
            <v>35</v>
          </cell>
          <cell r="J246">
            <v>22</v>
          </cell>
          <cell r="O246">
            <v>3</v>
          </cell>
          <cell r="P246">
            <v>10</v>
          </cell>
          <cell r="AC246">
            <v>9059500</v>
          </cell>
        </row>
        <row r="247">
          <cell r="C247" t="str">
            <v>SEC004137</v>
          </cell>
          <cell r="E247" t="str">
            <v>Don Edet</v>
          </cell>
          <cell r="F247" t="str">
            <v>Stockist</v>
          </cell>
          <cell r="G247">
            <v>10</v>
          </cell>
          <cell r="L247">
            <v>1</v>
          </cell>
          <cell r="O247">
            <v>5</v>
          </cell>
          <cell r="V247">
            <v>0.5</v>
          </cell>
          <cell r="W247">
            <v>0.5</v>
          </cell>
          <cell r="X247">
            <v>3</v>
          </cell>
          <cell r="AC247">
            <v>2007000</v>
          </cell>
        </row>
        <row r="248">
          <cell r="C248" t="str">
            <v>SWC3465</v>
          </cell>
          <cell r="E248" t="str">
            <v>Chukwuebuka Enterprises</v>
          </cell>
          <cell r="F248" t="str">
            <v>Stockist</v>
          </cell>
          <cell r="G248">
            <v>24.999999999999996</v>
          </cell>
          <cell r="J248">
            <v>1.2</v>
          </cell>
          <cell r="K248">
            <v>0.2</v>
          </cell>
          <cell r="L248">
            <v>0.4</v>
          </cell>
          <cell r="N248">
            <v>0</v>
          </cell>
          <cell r="O248">
            <v>14</v>
          </cell>
          <cell r="P248">
            <v>0</v>
          </cell>
          <cell r="Q248">
            <v>0.4</v>
          </cell>
          <cell r="R248">
            <v>2</v>
          </cell>
          <cell r="S248">
            <v>0</v>
          </cell>
          <cell r="T248">
            <v>0</v>
          </cell>
          <cell r="U248">
            <v>0.4</v>
          </cell>
          <cell r="V248">
            <v>1</v>
          </cell>
          <cell r="W248">
            <v>0.4</v>
          </cell>
          <cell r="X248">
            <v>5</v>
          </cell>
          <cell r="AC248">
            <v>5153100</v>
          </cell>
        </row>
        <row r="249">
          <cell r="C249" t="str">
            <v>SWC3482</v>
          </cell>
          <cell r="E249" t="str">
            <v>Odion Ohita</v>
          </cell>
          <cell r="F249" t="str">
            <v>Probation</v>
          </cell>
          <cell r="G249">
            <v>10</v>
          </cell>
          <cell r="J249">
            <v>0.1</v>
          </cell>
          <cell r="K249">
            <v>0.1</v>
          </cell>
          <cell r="L249">
            <v>0.2</v>
          </cell>
          <cell r="N249">
            <v>0</v>
          </cell>
          <cell r="O249">
            <v>5</v>
          </cell>
          <cell r="P249">
            <v>0</v>
          </cell>
          <cell r="Q249">
            <v>0.2</v>
          </cell>
          <cell r="R249">
            <v>1</v>
          </cell>
          <cell r="S249">
            <v>0</v>
          </cell>
          <cell r="T249">
            <v>0</v>
          </cell>
          <cell r="U249">
            <v>0.2</v>
          </cell>
          <cell r="V249">
            <v>0.5</v>
          </cell>
          <cell r="W249">
            <v>0.2</v>
          </cell>
          <cell r="X249">
            <v>2.5</v>
          </cell>
          <cell r="AC249">
            <v>1984800</v>
          </cell>
        </row>
        <row r="250">
          <cell r="C250" t="str">
            <v>SWC3491</v>
          </cell>
          <cell r="E250" t="str">
            <v>Igwe Kingsley</v>
          </cell>
          <cell r="F250" t="str">
            <v>Stockist</v>
          </cell>
          <cell r="G250">
            <v>10</v>
          </cell>
          <cell r="J250">
            <v>0.1</v>
          </cell>
          <cell r="K250">
            <v>0.1</v>
          </cell>
          <cell r="L250">
            <v>0.2</v>
          </cell>
          <cell r="N250">
            <v>0</v>
          </cell>
          <cell r="O250">
            <v>5</v>
          </cell>
          <cell r="P250">
            <v>0</v>
          </cell>
          <cell r="Q250">
            <v>0.2</v>
          </cell>
          <cell r="R250">
            <v>1</v>
          </cell>
          <cell r="S250">
            <v>0</v>
          </cell>
          <cell r="T250">
            <v>0</v>
          </cell>
          <cell r="U250">
            <v>0.2</v>
          </cell>
          <cell r="V250">
            <v>0.5</v>
          </cell>
          <cell r="W250">
            <v>0.2</v>
          </cell>
          <cell r="X250">
            <v>2.5</v>
          </cell>
          <cell r="AC250">
            <v>1984800</v>
          </cell>
        </row>
        <row r="251">
          <cell r="C251" t="str">
            <v>SEC004144</v>
          </cell>
          <cell r="E251" t="str">
            <v>Chisom Stores</v>
          </cell>
          <cell r="F251" t="str">
            <v>Stockiest</v>
          </cell>
          <cell r="G251">
            <v>25</v>
          </cell>
          <cell r="J251">
            <v>0.5</v>
          </cell>
          <cell r="K251">
            <v>0.5</v>
          </cell>
          <cell r="L251">
            <v>0.5</v>
          </cell>
          <cell r="N251">
            <v>1</v>
          </cell>
          <cell r="O251">
            <v>16</v>
          </cell>
          <cell r="Q251">
            <v>0.5</v>
          </cell>
          <cell r="R251">
            <v>0.5</v>
          </cell>
          <cell r="U251">
            <v>0.5</v>
          </cell>
          <cell r="V251">
            <v>0.5</v>
          </cell>
          <cell r="W251">
            <v>0.5</v>
          </cell>
          <cell r="X251">
            <v>4</v>
          </cell>
          <cell r="AC251">
            <v>5175250</v>
          </cell>
        </row>
        <row r="252">
          <cell r="C252" t="str">
            <v>SEC004179</v>
          </cell>
          <cell r="E252" t="str">
            <v>Damako Reality Concepts</v>
          </cell>
          <cell r="F252" t="str">
            <v>Stockiest</v>
          </cell>
          <cell r="G252">
            <v>10</v>
          </cell>
          <cell r="J252">
            <v>0.5</v>
          </cell>
          <cell r="K252">
            <v>0.5</v>
          </cell>
          <cell r="L252">
            <v>0.5</v>
          </cell>
          <cell r="N252">
            <v>1</v>
          </cell>
          <cell r="O252">
            <v>4</v>
          </cell>
          <cell r="Q252">
            <v>0.5</v>
          </cell>
          <cell r="R252">
            <v>0.5</v>
          </cell>
          <cell r="U252">
            <v>0.5</v>
          </cell>
          <cell r="V252">
            <v>0.5</v>
          </cell>
          <cell r="W252">
            <v>0.5</v>
          </cell>
          <cell r="X252">
            <v>1</v>
          </cell>
          <cell r="AC252">
            <v>1843750</v>
          </cell>
        </row>
        <row r="253">
          <cell r="C253" t="str">
            <v>SEC004173</v>
          </cell>
          <cell r="E253" t="str">
            <v>Nwofia Helen</v>
          </cell>
          <cell r="F253" t="str">
            <v>Stockiest</v>
          </cell>
          <cell r="G253">
            <v>10</v>
          </cell>
          <cell r="J253">
            <v>3</v>
          </cell>
          <cell r="K253">
            <v>0.5</v>
          </cell>
          <cell r="L253">
            <v>0.5</v>
          </cell>
          <cell r="N253">
            <v>0.5</v>
          </cell>
          <cell r="O253">
            <v>2</v>
          </cell>
          <cell r="Q253">
            <v>0.5</v>
          </cell>
          <cell r="R253">
            <v>0.5</v>
          </cell>
          <cell r="U253">
            <v>0.5</v>
          </cell>
          <cell r="V253">
            <v>0.5</v>
          </cell>
          <cell r="W253">
            <v>0.5</v>
          </cell>
          <cell r="X253">
            <v>1</v>
          </cell>
          <cell r="AC253">
            <v>1988750</v>
          </cell>
        </row>
        <row r="254">
          <cell r="C254" t="str">
            <v>SEC004184</v>
          </cell>
          <cell r="E254" t="str">
            <v>K.C trading</v>
          </cell>
          <cell r="F254" t="str">
            <v>STOCKIST</v>
          </cell>
          <cell r="G254">
            <v>10</v>
          </cell>
          <cell r="K254">
            <v>1</v>
          </cell>
          <cell r="N254">
            <v>3</v>
          </cell>
          <cell r="O254">
            <v>1</v>
          </cell>
          <cell r="Q254">
            <v>1</v>
          </cell>
          <cell r="U254">
            <v>1</v>
          </cell>
          <cell r="V254">
            <v>1</v>
          </cell>
          <cell r="W254">
            <v>1</v>
          </cell>
          <cell r="X254">
            <v>1</v>
          </cell>
          <cell r="AC254">
            <v>1399500</v>
          </cell>
        </row>
        <row r="255">
          <cell r="C255" t="str">
            <v>SEC004183</v>
          </cell>
          <cell r="E255" t="str">
            <v>Chukwuma enterprises</v>
          </cell>
          <cell r="F255" t="str">
            <v>STOCKIST</v>
          </cell>
          <cell r="G255">
            <v>10</v>
          </cell>
          <cell r="K255">
            <v>1</v>
          </cell>
          <cell r="N255">
            <v>2</v>
          </cell>
          <cell r="O255">
            <v>3</v>
          </cell>
          <cell r="Q255">
            <v>1</v>
          </cell>
          <cell r="V255">
            <v>1</v>
          </cell>
          <cell r="X255">
            <v>2</v>
          </cell>
          <cell r="AC255">
            <v>1735000</v>
          </cell>
        </row>
        <row r="256">
          <cell r="C256" t="str">
            <v>SEC004168</v>
          </cell>
          <cell r="E256" t="str">
            <v>IDANG PROVISION</v>
          </cell>
          <cell r="F256" t="str">
            <v>STOCKIST</v>
          </cell>
          <cell r="G256">
            <v>10</v>
          </cell>
          <cell r="K256">
            <v>2</v>
          </cell>
          <cell r="L256">
            <v>1</v>
          </cell>
          <cell r="M256">
            <v>0.1</v>
          </cell>
          <cell r="O256">
            <v>1</v>
          </cell>
          <cell r="P256">
            <v>1.3</v>
          </cell>
          <cell r="R256">
            <v>0.6</v>
          </cell>
          <cell r="V256">
            <v>2</v>
          </cell>
          <cell r="W256">
            <v>1</v>
          </cell>
          <cell r="X256">
            <v>1</v>
          </cell>
          <cell r="AC256">
            <v>1730200</v>
          </cell>
        </row>
        <row r="257">
          <cell r="C257" t="str">
            <v>SEC004169</v>
          </cell>
          <cell r="E257" t="str">
            <v>ID/IP ENTERPRISE</v>
          </cell>
          <cell r="F257" t="str">
            <v>STOCKIST</v>
          </cell>
          <cell r="G257">
            <v>10</v>
          </cell>
          <cell r="K257">
            <v>2</v>
          </cell>
          <cell r="L257">
            <v>1</v>
          </cell>
          <cell r="M257">
            <v>0.1</v>
          </cell>
          <cell r="O257">
            <v>1</v>
          </cell>
          <cell r="P257">
            <v>1.3</v>
          </cell>
          <cell r="R257">
            <v>0.6</v>
          </cell>
          <cell r="V257">
            <v>2</v>
          </cell>
          <cell r="W257">
            <v>1</v>
          </cell>
          <cell r="X257">
            <v>1</v>
          </cell>
          <cell r="AC257">
            <v>1730200</v>
          </cell>
        </row>
        <row r="258">
          <cell r="C258" t="str">
            <v>SEC004161</v>
          </cell>
          <cell r="E258" t="str">
            <v>Baba Ali</v>
          </cell>
          <cell r="F258" t="str">
            <v>Stockist</v>
          </cell>
          <cell r="G258">
            <v>25</v>
          </cell>
          <cell r="J258">
            <v>0.1</v>
          </cell>
          <cell r="K258">
            <v>0.1</v>
          </cell>
          <cell r="L258">
            <v>0.3</v>
          </cell>
          <cell r="M258">
            <v>1.5</v>
          </cell>
          <cell r="O258">
            <v>5.9</v>
          </cell>
          <cell r="P258">
            <v>1</v>
          </cell>
          <cell r="Q258">
            <v>0.1</v>
          </cell>
          <cell r="U258">
            <v>0.4</v>
          </cell>
          <cell r="V258">
            <v>0.5</v>
          </cell>
          <cell r="X258">
            <v>15.1</v>
          </cell>
          <cell r="AC258">
            <v>4944800</v>
          </cell>
        </row>
        <row r="259">
          <cell r="C259" t="str">
            <v>SEC004191</v>
          </cell>
          <cell r="E259" t="str">
            <v>Alhaji Kabiru Salihu</v>
          </cell>
          <cell r="F259" t="str">
            <v>Stockist</v>
          </cell>
          <cell r="G259">
            <v>10</v>
          </cell>
          <cell r="J259">
            <v>0.5</v>
          </cell>
          <cell r="L259">
            <v>0.3</v>
          </cell>
          <cell r="O259">
            <v>3.2</v>
          </cell>
          <cell r="Q259">
            <v>0.5</v>
          </cell>
          <cell r="X259">
            <v>5.5</v>
          </cell>
          <cell r="AC259">
            <v>2051000</v>
          </cell>
        </row>
        <row r="260">
          <cell r="C260" t="str">
            <v>SEC004166</v>
          </cell>
          <cell r="E260" t="str">
            <v>KC Enterprise</v>
          </cell>
          <cell r="F260" t="str">
            <v>Stockist</v>
          </cell>
          <cell r="G260">
            <v>10</v>
          </cell>
          <cell r="J260">
            <v>0.1</v>
          </cell>
          <cell r="L260">
            <v>0.3</v>
          </cell>
          <cell r="O260">
            <v>3.9</v>
          </cell>
          <cell r="U260">
            <v>0.1</v>
          </cell>
          <cell r="V260">
            <v>0.5</v>
          </cell>
          <cell r="X260">
            <v>5.0999999999999996</v>
          </cell>
          <cell r="AC260">
            <v>2006350</v>
          </cell>
        </row>
        <row r="261">
          <cell r="C261" t="str">
            <v>SEC004160</v>
          </cell>
          <cell r="E261" t="str">
            <v>King Supermarket</v>
          </cell>
          <cell r="F261" t="str">
            <v>Stockist</v>
          </cell>
          <cell r="G261">
            <v>10</v>
          </cell>
          <cell r="J261">
            <v>0.5</v>
          </cell>
          <cell r="L261">
            <v>0.3</v>
          </cell>
          <cell r="O261">
            <v>3.2</v>
          </cell>
          <cell r="Q261">
            <v>0.5</v>
          </cell>
          <cell r="X261">
            <v>5.5</v>
          </cell>
          <cell r="AC261">
            <v>2051000</v>
          </cell>
        </row>
        <row r="262">
          <cell r="C262" t="str">
            <v>SEC004192</v>
          </cell>
          <cell r="E262" t="str">
            <v>Able Global</v>
          </cell>
          <cell r="F262" t="str">
            <v>Stockist</v>
          </cell>
          <cell r="G262">
            <v>10</v>
          </cell>
          <cell r="J262">
            <v>0.1</v>
          </cell>
          <cell r="L262">
            <v>0.1</v>
          </cell>
          <cell r="O262">
            <v>7.2</v>
          </cell>
          <cell r="V262">
            <v>0.5</v>
          </cell>
          <cell r="W262">
            <v>0.1</v>
          </cell>
          <cell r="X262">
            <v>2</v>
          </cell>
          <cell r="AC262">
            <v>2148400</v>
          </cell>
        </row>
        <row r="263">
          <cell r="C263" t="str">
            <v>SEC004162</v>
          </cell>
          <cell r="E263" t="str">
            <v>Nonso and Sons</v>
          </cell>
          <cell r="F263" t="str">
            <v>Stockist</v>
          </cell>
          <cell r="G263">
            <v>10</v>
          </cell>
          <cell r="J263">
            <v>1</v>
          </cell>
          <cell r="L263">
            <v>2</v>
          </cell>
          <cell r="M263">
            <v>1</v>
          </cell>
          <cell r="O263">
            <v>2</v>
          </cell>
          <cell r="Q263">
            <v>1</v>
          </cell>
          <cell r="X263">
            <v>3</v>
          </cell>
          <cell r="AC263">
            <v>2001000</v>
          </cell>
        </row>
        <row r="264">
          <cell r="C264" t="str">
            <v>SEC004190</v>
          </cell>
          <cell r="E264" t="str">
            <v>Madam Charity</v>
          </cell>
          <cell r="F264" t="str">
            <v>Stockist</v>
          </cell>
          <cell r="G264">
            <v>10</v>
          </cell>
          <cell r="J264">
            <v>1</v>
          </cell>
          <cell r="L264">
            <v>2</v>
          </cell>
          <cell r="M264">
            <v>1</v>
          </cell>
          <cell r="O264">
            <v>2</v>
          </cell>
          <cell r="Q264">
            <v>1</v>
          </cell>
          <cell r="V264">
            <v>1</v>
          </cell>
          <cell r="X264">
            <v>2</v>
          </cell>
          <cell r="AC264">
            <v>1926000</v>
          </cell>
        </row>
        <row r="265">
          <cell r="C265" t="str">
            <v>SWC0926</v>
          </cell>
          <cell r="D265" t="str">
            <v>Middle Belt</v>
          </cell>
          <cell r="E265" t="str">
            <v>Shasiyat Oyibo</v>
          </cell>
          <cell r="F265" t="str">
            <v>Partner</v>
          </cell>
          <cell r="G265">
            <v>35</v>
          </cell>
          <cell r="K265">
            <v>0</v>
          </cell>
          <cell r="N265">
            <v>4</v>
          </cell>
          <cell r="O265">
            <v>12</v>
          </cell>
          <cell r="Q265">
            <v>2</v>
          </cell>
          <cell r="R265">
            <v>2</v>
          </cell>
          <cell r="T265">
            <v>0</v>
          </cell>
          <cell r="U265">
            <v>0</v>
          </cell>
          <cell r="V265">
            <v>2</v>
          </cell>
          <cell r="W265">
            <v>2</v>
          </cell>
          <cell r="X265">
            <v>6</v>
          </cell>
          <cell r="Y265">
            <v>5</v>
          </cell>
          <cell r="Z265">
            <v>0</v>
          </cell>
          <cell r="AC265">
            <v>5962500</v>
          </cell>
        </row>
        <row r="266">
          <cell r="C266" t="str">
            <v>SWC1032</v>
          </cell>
          <cell r="D266" t="str">
            <v>Middle Belt</v>
          </cell>
          <cell r="E266" t="str">
            <v>ENDURANCE VENTURE</v>
          </cell>
          <cell r="F266" t="str">
            <v>Stockist</v>
          </cell>
          <cell r="G266">
            <v>10</v>
          </cell>
          <cell r="K266">
            <v>0</v>
          </cell>
          <cell r="O266">
            <v>1</v>
          </cell>
          <cell r="R266">
            <v>2</v>
          </cell>
          <cell r="T266">
            <v>0</v>
          </cell>
          <cell r="U266">
            <v>0</v>
          </cell>
          <cell r="V266">
            <v>1</v>
          </cell>
          <cell r="W266">
            <v>1</v>
          </cell>
          <cell r="X266">
            <v>2</v>
          </cell>
          <cell r="Y266">
            <v>3</v>
          </cell>
          <cell r="AC266">
            <v>1464000</v>
          </cell>
        </row>
        <row r="267">
          <cell r="C267" t="str">
            <v>SWC1231</v>
          </cell>
          <cell r="D267" t="str">
            <v>Middle Belt</v>
          </cell>
          <cell r="E267" t="str">
            <v>Adegboye Ola</v>
          </cell>
          <cell r="F267" t="str">
            <v>Stockist</v>
          </cell>
          <cell r="G267">
            <v>15</v>
          </cell>
          <cell r="K267">
            <v>0</v>
          </cell>
          <cell r="N267">
            <v>0</v>
          </cell>
          <cell r="O267">
            <v>4</v>
          </cell>
          <cell r="R267">
            <v>1</v>
          </cell>
          <cell r="T267">
            <v>0</v>
          </cell>
          <cell r="U267">
            <v>0</v>
          </cell>
          <cell r="V267">
            <v>3</v>
          </cell>
          <cell r="W267">
            <v>2</v>
          </cell>
          <cell r="X267">
            <v>5</v>
          </cell>
          <cell r="AC267">
            <v>2576500</v>
          </cell>
        </row>
        <row r="268">
          <cell r="C268" t="str">
            <v>SWC1235</v>
          </cell>
          <cell r="D268" t="str">
            <v>Middle Belt</v>
          </cell>
          <cell r="E268" t="str">
            <v>Rita Egbuonu</v>
          </cell>
          <cell r="F268" t="str">
            <v>Stockist</v>
          </cell>
          <cell r="G268">
            <v>35</v>
          </cell>
          <cell r="J268">
            <v>1</v>
          </cell>
          <cell r="K268">
            <v>0</v>
          </cell>
          <cell r="N268">
            <v>4</v>
          </cell>
          <cell r="O268">
            <v>11</v>
          </cell>
          <cell r="Q268">
            <v>1</v>
          </cell>
          <cell r="R268">
            <v>2</v>
          </cell>
          <cell r="T268">
            <v>0</v>
          </cell>
          <cell r="U268">
            <v>0</v>
          </cell>
          <cell r="V268">
            <v>3</v>
          </cell>
          <cell r="W268">
            <v>4</v>
          </cell>
          <cell r="X268">
            <v>9</v>
          </cell>
          <cell r="Y268">
            <v>0</v>
          </cell>
          <cell r="AC268">
            <v>6145500</v>
          </cell>
        </row>
        <row r="269">
          <cell r="C269" t="str">
            <v>SWC1832</v>
          </cell>
          <cell r="D269" t="str">
            <v>Middle Belt</v>
          </cell>
          <cell r="E269" t="str">
            <v>Silas Deborah (RME)</v>
          </cell>
          <cell r="F269" t="str">
            <v>Stockist</v>
          </cell>
          <cell r="G269">
            <v>0</v>
          </cell>
          <cell r="K269">
            <v>0</v>
          </cell>
          <cell r="N269">
            <v>0</v>
          </cell>
          <cell r="O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AC269">
            <v>0</v>
          </cell>
        </row>
        <row r="270">
          <cell r="C270" t="str">
            <v>SWC1834</v>
          </cell>
          <cell r="D270" t="str">
            <v>Middle Belt</v>
          </cell>
          <cell r="E270" t="str">
            <v>OLA IYA  (RME)</v>
          </cell>
          <cell r="F270" t="str">
            <v>Partner</v>
          </cell>
          <cell r="G270">
            <v>36</v>
          </cell>
          <cell r="K270">
            <v>0</v>
          </cell>
          <cell r="O270">
            <v>4</v>
          </cell>
          <cell r="R270">
            <v>0</v>
          </cell>
          <cell r="T270">
            <v>0</v>
          </cell>
          <cell r="U270">
            <v>0</v>
          </cell>
          <cell r="V270">
            <v>6</v>
          </cell>
          <cell r="W270">
            <v>6</v>
          </cell>
          <cell r="X270">
            <v>17</v>
          </cell>
          <cell r="Y270">
            <v>3</v>
          </cell>
          <cell r="Z270">
            <v>0</v>
          </cell>
          <cell r="AC270">
            <v>5829000</v>
          </cell>
        </row>
        <row r="271">
          <cell r="C271" t="str">
            <v>SWC2017</v>
          </cell>
          <cell r="D271" t="str">
            <v>Middle Belt</v>
          </cell>
          <cell r="E271" t="str">
            <v>Tobico Super Market (RME)</v>
          </cell>
          <cell r="F271" t="str">
            <v>Stockist</v>
          </cell>
          <cell r="G271">
            <v>15</v>
          </cell>
          <cell r="K271">
            <v>0</v>
          </cell>
          <cell r="N271">
            <v>1</v>
          </cell>
          <cell r="O271">
            <v>2</v>
          </cell>
          <cell r="R271">
            <v>1</v>
          </cell>
          <cell r="T271">
            <v>0</v>
          </cell>
          <cell r="U271">
            <v>0</v>
          </cell>
          <cell r="V271">
            <v>3</v>
          </cell>
          <cell r="W271">
            <v>2</v>
          </cell>
          <cell r="X271">
            <v>5</v>
          </cell>
          <cell r="Y271">
            <v>1</v>
          </cell>
          <cell r="AC271">
            <v>2324500</v>
          </cell>
        </row>
        <row r="272">
          <cell r="C272" t="str">
            <v>SWC2018</v>
          </cell>
          <cell r="D272" t="str">
            <v>Middle Belt</v>
          </cell>
          <cell r="E272" t="str">
            <v>Alihaji Zakari (RME)</v>
          </cell>
          <cell r="F272" t="str">
            <v>Stockist</v>
          </cell>
          <cell r="G272">
            <v>10</v>
          </cell>
          <cell r="K272">
            <v>0</v>
          </cell>
          <cell r="N272">
            <v>0</v>
          </cell>
          <cell r="O272">
            <v>3</v>
          </cell>
          <cell r="T272">
            <v>0</v>
          </cell>
          <cell r="U272">
            <v>0</v>
          </cell>
          <cell r="V272">
            <v>3</v>
          </cell>
          <cell r="W272">
            <v>1</v>
          </cell>
          <cell r="X272">
            <v>3</v>
          </cell>
          <cell r="AC272">
            <v>1711000</v>
          </cell>
        </row>
        <row r="273">
          <cell r="C273" t="str">
            <v>SWC2019</v>
          </cell>
          <cell r="D273" t="str">
            <v>Middle Belt</v>
          </cell>
          <cell r="E273" t="str">
            <v>Mrs Kulu (RME)</v>
          </cell>
          <cell r="F273" t="str">
            <v>Stockist</v>
          </cell>
          <cell r="G273">
            <v>35</v>
          </cell>
          <cell r="K273">
            <v>0</v>
          </cell>
          <cell r="N273">
            <v>1</v>
          </cell>
          <cell r="O273">
            <v>6</v>
          </cell>
          <cell r="Q273">
            <v>1</v>
          </cell>
          <cell r="R273">
            <v>1</v>
          </cell>
          <cell r="T273">
            <v>0</v>
          </cell>
          <cell r="U273">
            <v>0</v>
          </cell>
          <cell r="V273">
            <v>10</v>
          </cell>
          <cell r="W273">
            <v>6</v>
          </cell>
          <cell r="X273">
            <v>7</v>
          </cell>
          <cell r="Y273">
            <v>3</v>
          </cell>
          <cell r="AC273">
            <v>5285500</v>
          </cell>
        </row>
        <row r="274">
          <cell r="C274" t="str">
            <v>SWC2207</v>
          </cell>
          <cell r="D274" t="str">
            <v>Middle Belt</v>
          </cell>
          <cell r="E274" t="str">
            <v>Nwogbodo Ifeanyi</v>
          </cell>
          <cell r="F274" t="str">
            <v>Stockist</v>
          </cell>
          <cell r="G274">
            <v>10</v>
          </cell>
          <cell r="K274">
            <v>0</v>
          </cell>
          <cell r="N274">
            <v>1</v>
          </cell>
          <cell r="O274">
            <v>1</v>
          </cell>
          <cell r="R274">
            <v>1</v>
          </cell>
          <cell r="T274">
            <v>0</v>
          </cell>
          <cell r="U274">
            <v>0</v>
          </cell>
          <cell r="V274">
            <v>2</v>
          </cell>
          <cell r="W274">
            <v>2</v>
          </cell>
          <cell r="X274">
            <v>2</v>
          </cell>
          <cell r="Y274">
            <v>1</v>
          </cell>
          <cell r="AC274">
            <v>1415000</v>
          </cell>
        </row>
        <row r="275">
          <cell r="C275" t="str">
            <v>SWC2638</v>
          </cell>
          <cell r="D275" t="str">
            <v>Middle Belt</v>
          </cell>
          <cell r="E275" t="str">
            <v>Portable Heritage</v>
          </cell>
          <cell r="F275" t="str">
            <v>Partner</v>
          </cell>
          <cell r="G275">
            <v>35</v>
          </cell>
          <cell r="J275">
            <v>1</v>
          </cell>
          <cell r="K275">
            <v>0</v>
          </cell>
          <cell r="N275">
            <v>2</v>
          </cell>
          <cell r="O275">
            <v>6</v>
          </cell>
          <cell r="R275">
            <v>0</v>
          </cell>
          <cell r="T275">
            <v>0</v>
          </cell>
          <cell r="U275">
            <v>0</v>
          </cell>
          <cell r="V275">
            <v>10</v>
          </cell>
          <cell r="W275">
            <v>5</v>
          </cell>
          <cell r="X275">
            <v>8</v>
          </cell>
          <cell r="Y275">
            <v>3</v>
          </cell>
          <cell r="Z275">
            <v>0</v>
          </cell>
          <cell r="AC275">
            <v>5386500</v>
          </cell>
        </row>
        <row r="276">
          <cell r="C276" t="str">
            <v>SWC2801</v>
          </cell>
          <cell r="D276" t="str">
            <v>Middle Belt</v>
          </cell>
          <cell r="E276" t="str">
            <v>Eyitayo Ventures - RME</v>
          </cell>
          <cell r="F276" t="str">
            <v>Stockist</v>
          </cell>
          <cell r="G276">
            <v>13</v>
          </cell>
          <cell r="O276">
            <v>1</v>
          </cell>
          <cell r="P276">
            <v>0</v>
          </cell>
          <cell r="R276">
            <v>1</v>
          </cell>
          <cell r="T276">
            <v>0</v>
          </cell>
          <cell r="U276">
            <v>0</v>
          </cell>
          <cell r="V276">
            <v>2</v>
          </cell>
          <cell r="W276">
            <v>2</v>
          </cell>
          <cell r="X276">
            <v>3</v>
          </cell>
          <cell r="Y276">
            <v>4</v>
          </cell>
          <cell r="AC276">
            <v>1848500</v>
          </cell>
        </row>
        <row r="277">
          <cell r="C277" t="str">
            <v>SWC2912</v>
          </cell>
          <cell r="D277" t="str">
            <v>Middle Belt</v>
          </cell>
          <cell r="E277" t="str">
            <v>Orinami Wisdom</v>
          </cell>
          <cell r="F277" t="str">
            <v>Stockist</v>
          </cell>
          <cell r="G277">
            <v>13</v>
          </cell>
          <cell r="K277">
            <v>0</v>
          </cell>
          <cell r="N277">
            <v>1</v>
          </cell>
          <cell r="O277">
            <v>3</v>
          </cell>
          <cell r="R277">
            <v>1</v>
          </cell>
          <cell r="T277">
            <v>0</v>
          </cell>
          <cell r="U277">
            <v>0</v>
          </cell>
          <cell r="V277">
            <v>4</v>
          </cell>
          <cell r="W277">
            <v>1</v>
          </cell>
          <cell r="X277">
            <v>3</v>
          </cell>
          <cell r="AC277">
            <v>2064500</v>
          </cell>
        </row>
        <row r="278">
          <cell r="C278" t="str">
            <v>SWC3114</v>
          </cell>
          <cell r="D278" t="str">
            <v>Middle Belt</v>
          </cell>
          <cell r="E278" t="str">
            <v>Nura Ismaih (RME)</v>
          </cell>
          <cell r="F278" t="str">
            <v>Stockist</v>
          </cell>
          <cell r="G278">
            <v>10</v>
          </cell>
          <cell r="K278">
            <v>0</v>
          </cell>
          <cell r="N278">
            <v>1</v>
          </cell>
          <cell r="O278">
            <v>1</v>
          </cell>
          <cell r="Q278">
            <v>1</v>
          </cell>
          <cell r="V278">
            <v>3</v>
          </cell>
          <cell r="W278">
            <v>2</v>
          </cell>
          <cell r="X278">
            <v>2</v>
          </cell>
          <cell r="AC278">
            <v>1457000</v>
          </cell>
        </row>
        <row r="279">
          <cell r="C279" t="str">
            <v>SWC3278</v>
          </cell>
          <cell r="D279" t="str">
            <v>Middle Belt</v>
          </cell>
          <cell r="E279" t="str">
            <v>Joseph Daku (RME)</v>
          </cell>
          <cell r="F279" t="str">
            <v>Stockist</v>
          </cell>
          <cell r="G279">
            <v>10</v>
          </cell>
          <cell r="N279">
            <v>0</v>
          </cell>
          <cell r="O279">
            <v>1</v>
          </cell>
          <cell r="V279">
            <v>3</v>
          </cell>
          <cell r="W279">
            <v>2</v>
          </cell>
          <cell r="X279">
            <v>2</v>
          </cell>
          <cell r="Y279">
            <v>2</v>
          </cell>
          <cell r="AC279">
            <v>1402000</v>
          </cell>
        </row>
        <row r="280">
          <cell r="C280" t="str">
            <v>MBC000022</v>
          </cell>
          <cell r="D280" t="str">
            <v>Middle Belt</v>
          </cell>
          <cell r="E280" t="str">
            <v>Alhaji Saadu Salka</v>
          </cell>
          <cell r="F280" t="str">
            <v>Partner</v>
          </cell>
          <cell r="G280">
            <v>35</v>
          </cell>
          <cell r="H280">
            <v>0</v>
          </cell>
          <cell r="I280">
            <v>0</v>
          </cell>
          <cell r="J280">
            <v>2</v>
          </cell>
          <cell r="K280">
            <v>0</v>
          </cell>
          <cell r="L280">
            <v>0</v>
          </cell>
          <cell r="M280">
            <v>0</v>
          </cell>
          <cell r="N280">
            <v>2</v>
          </cell>
          <cell r="O280">
            <v>7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3</v>
          </cell>
          <cell r="W280">
            <v>0</v>
          </cell>
          <cell r="X280">
            <v>18</v>
          </cell>
          <cell r="Y280">
            <v>3</v>
          </cell>
          <cell r="AA280">
            <v>0</v>
          </cell>
          <cell r="AC280">
            <v>6401500</v>
          </cell>
        </row>
        <row r="281">
          <cell r="C281" t="str">
            <v>MBC000091</v>
          </cell>
          <cell r="D281" t="str">
            <v>Middle Belt</v>
          </cell>
          <cell r="E281" t="str">
            <v>Peter Dauda</v>
          </cell>
          <cell r="F281" t="str">
            <v>Stockist</v>
          </cell>
          <cell r="G281">
            <v>13</v>
          </cell>
          <cell r="N281">
            <v>3</v>
          </cell>
          <cell r="O281">
            <v>1</v>
          </cell>
          <cell r="V281">
            <v>8</v>
          </cell>
          <cell r="X281">
            <v>1</v>
          </cell>
          <cell r="AC281">
            <v>1613500</v>
          </cell>
        </row>
        <row r="282">
          <cell r="C282" t="str">
            <v>MBC001026</v>
          </cell>
          <cell r="D282" t="str">
            <v>Middle Belt</v>
          </cell>
          <cell r="E282" t="str">
            <v>MCO</v>
          </cell>
          <cell r="F282" t="str">
            <v>Partner</v>
          </cell>
          <cell r="G282">
            <v>35</v>
          </cell>
          <cell r="N282">
            <v>20</v>
          </cell>
          <cell r="O282">
            <v>1</v>
          </cell>
          <cell r="V282">
            <v>4</v>
          </cell>
          <cell r="X282">
            <v>10</v>
          </cell>
          <cell r="AC282">
            <v>4479500</v>
          </cell>
        </row>
        <row r="283">
          <cell r="C283" t="str">
            <v>MBC001290</v>
          </cell>
          <cell r="D283" t="str">
            <v>Middle Belt</v>
          </cell>
          <cell r="E283" t="str">
            <v>Mr. Emenike (RME)</v>
          </cell>
          <cell r="F283" t="str">
            <v>Partner</v>
          </cell>
          <cell r="G283">
            <v>50</v>
          </cell>
          <cell r="K283">
            <v>5</v>
          </cell>
          <cell r="N283">
            <v>5</v>
          </cell>
          <cell r="O283">
            <v>2</v>
          </cell>
          <cell r="V283">
            <v>33</v>
          </cell>
          <cell r="X283">
            <v>5</v>
          </cell>
          <cell r="AC283">
            <v>6504000</v>
          </cell>
        </row>
        <row r="284">
          <cell r="C284" t="str">
            <v>MBC001413</v>
          </cell>
          <cell r="D284" t="str">
            <v>Middle Belt</v>
          </cell>
          <cell r="E284" t="str">
            <v>SALISU GARBA</v>
          </cell>
          <cell r="F284" t="str">
            <v>Partner</v>
          </cell>
          <cell r="G284">
            <v>35</v>
          </cell>
          <cell r="N284">
            <v>16</v>
          </cell>
          <cell r="O284">
            <v>3</v>
          </cell>
          <cell r="V284">
            <v>9</v>
          </cell>
          <cell r="X284">
            <v>7</v>
          </cell>
          <cell r="AC284">
            <v>4560500</v>
          </cell>
        </row>
        <row r="285">
          <cell r="C285" t="str">
            <v>MBC001417</v>
          </cell>
          <cell r="D285" t="str">
            <v>Middle Belt</v>
          </cell>
          <cell r="E285" t="str">
            <v>Alhaji Musa</v>
          </cell>
          <cell r="F285" t="str">
            <v>Stockist</v>
          </cell>
          <cell r="G285">
            <v>12</v>
          </cell>
          <cell r="O285">
            <v>1</v>
          </cell>
          <cell r="V285">
            <v>9</v>
          </cell>
          <cell r="X285">
            <v>2</v>
          </cell>
          <cell r="AC285">
            <v>1629000</v>
          </cell>
        </row>
        <row r="286">
          <cell r="C286" t="str">
            <v>MBC001626</v>
          </cell>
          <cell r="D286" t="str">
            <v>Middle Belt</v>
          </cell>
          <cell r="E286" t="str">
            <v>Umaru sani RME</v>
          </cell>
          <cell r="F286" t="str">
            <v>Stockist</v>
          </cell>
          <cell r="G286">
            <v>20</v>
          </cell>
          <cell r="O286">
            <v>20</v>
          </cell>
          <cell r="AC286">
            <v>4610000</v>
          </cell>
        </row>
        <row r="287">
          <cell r="C287" t="str">
            <v>MBC001660</v>
          </cell>
          <cell r="D287" t="str">
            <v>Middle Belt</v>
          </cell>
          <cell r="E287" t="str">
            <v>Mr Francis Eze (RME)</v>
          </cell>
          <cell r="F287" t="str">
            <v>Partner</v>
          </cell>
          <cell r="G287">
            <v>70</v>
          </cell>
          <cell r="H287">
            <v>0</v>
          </cell>
          <cell r="I287">
            <v>0</v>
          </cell>
          <cell r="K287">
            <v>6</v>
          </cell>
          <cell r="L287">
            <v>0</v>
          </cell>
          <cell r="M287">
            <v>0</v>
          </cell>
          <cell r="N287">
            <v>3</v>
          </cell>
          <cell r="O287">
            <v>6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30</v>
          </cell>
          <cell r="W287">
            <v>0</v>
          </cell>
          <cell r="X287">
            <v>25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10840000</v>
          </cell>
        </row>
        <row r="288">
          <cell r="C288" t="str">
            <v>MBC001674</v>
          </cell>
          <cell r="D288" t="str">
            <v>Middle Belt</v>
          </cell>
          <cell r="E288" t="str">
            <v>Sabiu Abubakar</v>
          </cell>
          <cell r="F288" t="str">
            <v>Partner</v>
          </cell>
          <cell r="G288">
            <v>35</v>
          </cell>
          <cell r="N288">
            <v>9</v>
          </cell>
          <cell r="O288">
            <v>3</v>
          </cell>
          <cell r="V288">
            <v>18</v>
          </cell>
          <cell r="X288">
            <v>5</v>
          </cell>
          <cell r="AC288">
            <v>4536500</v>
          </cell>
        </row>
        <row r="289">
          <cell r="C289" t="str">
            <v>MBC002675</v>
          </cell>
          <cell r="D289" t="str">
            <v>Middle Belt</v>
          </cell>
          <cell r="E289" t="str">
            <v>Austin Nyare (RME)</v>
          </cell>
          <cell r="F289" t="str">
            <v>Stockist</v>
          </cell>
          <cell r="G289">
            <v>0</v>
          </cell>
          <cell r="AC289">
            <v>0</v>
          </cell>
        </row>
        <row r="290">
          <cell r="C290" t="str">
            <v>MBC002722</v>
          </cell>
          <cell r="D290" t="str">
            <v>Middle Belt</v>
          </cell>
          <cell r="E290" t="str">
            <v>Alh Aminu Umar RME</v>
          </cell>
          <cell r="F290" t="str">
            <v>Partner</v>
          </cell>
          <cell r="G290">
            <v>35</v>
          </cell>
          <cell r="H290">
            <v>0</v>
          </cell>
          <cell r="I290">
            <v>0</v>
          </cell>
          <cell r="J290">
            <v>5</v>
          </cell>
          <cell r="K290">
            <v>1</v>
          </cell>
          <cell r="L290">
            <v>0</v>
          </cell>
          <cell r="M290">
            <v>0</v>
          </cell>
          <cell r="N290">
            <v>2</v>
          </cell>
          <cell r="O290">
            <v>7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16</v>
          </cell>
          <cell r="Y290">
            <v>2</v>
          </cell>
          <cell r="Z290">
            <v>0</v>
          </cell>
          <cell r="AA290">
            <v>0</v>
          </cell>
          <cell r="AB290">
            <v>0</v>
          </cell>
          <cell r="AC290">
            <v>6757500</v>
          </cell>
        </row>
        <row r="291">
          <cell r="C291" t="str">
            <v>MBC002723</v>
          </cell>
          <cell r="D291" t="str">
            <v>Middle Belt</v>
          </cell>
          <cell r="E291" t="str">
            <v>Alh Babangida RME</v>
          </cell>
          <cell r="F291" t="str">
            <v>Stockist</v>
          </cell>
          <cell r="G291">
            <v>10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1</v>
          </cell>
          <cell r="O291">
            <v>3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1</v>
          </cell>
          <cell r="W291">
            <v>0</v>
          </cell>
          <cell r="X291">
            <v>5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1843000</v>
          </cell>
        </row>
        <row r="292">
          <cell r="C292" t="str">
            <v>MBC002764</v>
          </cell>
          <cell r="D292" t="str">
            <v>Middle Belt</v>
          </cell>
          <cell r="E292" t="str">
            <v>De vitson (RME)</v>
          </cell>
          <cell r="F292" t="str">
            <v>Partner</v>
          </cell>
          <cell r="G292">
            <v>35</v>
          </cell>
          <cell r="K292">
            <v>2</v>
          </cell>
          <cell r="N292">
            <v>12</v>
          </cell>
          <cell r="O292">
            <v>3</v>
          </cell>
          <cell r="V292">
            <v>9</v>
          </cell>
          <cell r="X292">
            <v>9</v>
          </cell>
          <cell r="AC292">
            <v>4906500</v>
          </cell>
        </row>
        <row r="293">
          <cell r="C293" t="str">
            <v>MBC002802</v>
          </cell>
          <cell r="D293" t="str">
            <v>Middle Belt</v>
          </cell>
          <cell r="E293" t="str">
            <v>Faruk Sani RME</v>
          </cell>
          <cell r="F293" t="str">
            <v>Partner</v>
          </cell>
          <cell r="G293">
            <v>37</v>
          </cell>
          <cell r="H293">
            <v>0</v>
          </cell>
          <cell r="I293">
            <v>0</v>
          </cell>
          <cell r="J293">
            <v>4</v>
          </cell>
          <cell r="K293">
            <v>0</v>
          </cell>
          <cell r="L293">
            <v>0</v>
          </cell>
          <cell r="M293">
            <v>0</v>
          </cell>
          <cell r="N293">
            <v>3</v>
          </cell>
          <cell r="O293">
            <v>6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3</v>
          </cell>
          <cell r="W293">
            <v>0</v>
          </cell>
          <cell r="X293">
            <v>20</v>
          </cell>
          <cell r="Y293">
            <v>1</v>
          </cell>
          <cell r="AA293">
            <v>0</v>
          </cell>
          <cell r="AB293">
            <v>0</v>
          </cell>
          <cell r="AC293">
            <v>6939500</v>
          </cell>
        </row>
        <row r="294">
          <cell r="C294" t="str">
            <v>MBC003022</v>
          </cell>
          <cell r="D294" t="str">
            <v>Middle Belt</v>
          </cell>
          <cell r="E294" t="str">
            <v>Ibuchi Magnus (RME)</v>
          </cell>
          <cell r="F294" t="str">
            <v>Stockist</v>
          </cell>
          <cell r="G294">
            <v>50</v>
          </cell>
          <cell r="N294">
            <v>42</v>
          </cell>
          <cell r="O294">
            <v>2</v>
          </cell>
          <cell r="V294">
            <v>5</v>
          </cell>
          <cell r="X294">
            <v>1</v>
          </cell>
          <cell r="AC294">
            <v>5228000</v>
          </cell>
        </row>
        <row r="295">
          <cell r="C295" t="str">
            <v>MBC003027</v>
          </cell>
          <cell r="D295" t="str">
            <v>Middle Belt</v>
          </cell>
          <cell r="E295" t="str">
            <v>Modi Magagia (RME)</v>
          </cell>
          <cell r="F295" t="str">
            <v>Partner</v>
          </cell>
          <cell r="G295">
            <v>35</v>
          </cell>
          <cell r="H295">
            <v>0</v>
          </cell>
          <cell r="I295">
            <v>0</v>
          </cell>
          <cell r="J295">
            <v>2</v>
          </cell>
          <cell r="K295">
            <v>0</v>
          </cell>
          <cell r="L295">
            <v>0</v>
          </cell>
          <cell r="M295">
            <v>0</v>
          </cell>
          <cell r="N295">
            <v>1</v>
          </cell>
          <cell r="O295">
            <v>8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</v>
          </cell>
          <cell r="W295">
            <v>0</v>
          </cell>
          <cell r="X295">
            <v>21</v>
          </cell>
          <cell r="AA295">
            <v>0</v>
          </cell>
          <cell r="AB295">
            <v>0</v>
          </cell>
          <cell r="AC295">
            <v>6761500</v>
          </cell>
        </row>
        <row r="296">
          <cell r="C296" t="str">
            <v>MBC003271</v>
          </cell>
          <cell r="D296" t="str">
            <v>Middle Belt</v>
          </cell>
          <cell r="E296" t="str">
            <v>Dan Jos (RME)</v>
          </cell>
          <cell r="F296" t="str">
            <v>Partner</v>
          </cell>
          <cell r="G296">
            <v>50</v>
          </cell>
          <cell r="J296">
            <v>1</v>
          </cell>
          <cell r="K296">
            <v>2</v>
          </cell>
          <cell r="N296">
            <v>2</v>
          </cell>
          <cell r="O296">
            <v>2</v>
          </cell>
          <cell r="V296">
            <v>30</v>
          </cell>
          <cell r="W296">
            <v>2</v>
          </cell>
          <cell r="X296">
            <v>11</v>
          </cell>
          <cell r="AC296">
            <v>6970000</v>
          </cell>
        </row>
        <row r="297">
          <cell r="C297" t="str">
            <v>MBC003281</v>
          </cell>
          <cell r="D297" t="str">
            <v>Middle Belt</v>
          </cell>
          <cell r="E297" t="str">
            <v>Alh Mohammed</v>
          </cell>
          <cell r="F297" t="str">
            <v>Stockist</v>
          </cell>
          <cell r="G297">
            <v>10</v>
          </cell>
          <cell r="K297">
            <v>0.1</v>
          </cell>
          <cell r="N297">
            <v>0.1</v>
          </cell>
          <cell r="O297">
            <v>1.8</v>
          </cell>
          <cell r="V297">
            <v>4</v>
          </cell>
          <cell r="W297">
            <v>1</v>
          </cell>
          <cell r="X297">
            <v>2</v>
          </cell>
          <cell r="Y297">
            <v>1</v>
          </cell>
          <cell r="AC297">
            <v>1500000</v>
          </cell>
        </row>
        <row r="298">
          <cell r="C298" t="str">
            <v>MBC003285</v>
          </cell>
          <cell r="D298" t="str">
            <v>Middle Belt</v>
          </cell>
          <cell r="E298" t="str">
            <v>LEE Bross (Stockist)</v>
          </cell>
          <cell r="F298" t="str">
            <v>Stockist</v>
          </cell>
          <cell r="G298">
            <v>50.000000000000007</v>
          </cell>
          <cell r="J298">
            <v>6</v>
          </cell>
          <cell r="K298">
            <v>7.8</v>
          </cell>
          <cell r="M298">
            <v>3</v>
          </cell>
          <cell r="O298">
            <v>9</v>
          </cell>
          <cell r="P298">
            <v>0.1</v>
          </cell>
          <cell r="R298">
            <v>1</v>
          </cell>
          <cell r="V298">
            <v>9</v>
          </cell>
          <cell r="W298">
            <v>0.1</v>
          </cell>
          <cell r="X298">
            <v>11</v>
          </cell>
          <cell r="Y298">
            <v>3</v>
          </cell>
          <cell r="AC298">
            <v>9156400</v>
          </cell>
        </row>
        <row r="299">
          <cell r="C299" t="str">
            <v>MBC003348</v>
          </cell>
          <cell r="D299" t="str">
            <v>Middle Belt</v>
          </cell>
          <cell r="E299" t="str">
            <v>ZICO INVESTMENT CO. NIG (RME)</v>
          </cell>
          <cell r="F299" t="str">
            <v>Stockist</v>
          </cell>
          <cell r="G299">
            <v>10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1</v>
          </cell>
          <cell r="O299">
            <v>3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1</v>
          </cell>
          <cell r="W299">
            <v>0</v>
          </cell>
          <cell r="X299">
            <v>5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1843000</v>
          </cell>
        </row>
        <row r="300">
          <cell r="C300" t="str">
            <v>MBC003366</v>
          </cell>
          <cell r="D300" t="str">
            <v>Middle Belt</v>
          </cell>
          <cell r="E300" t="str">
            <v>Al Brown Ventures - RME</v>
          </cell>
          <cell r="F300" t="str">
            <v>Stockist</v>
          </cell>
          <cell r="G300">
            <v>0</v>
          </cell>
          <cell r="AC300">
            <v>0</v>
          </cell>
        </row>
        <row r="301">
          <cell r="C301" t="str">
            <v>MBC003368</v>
          </cell>
          <cell r="D301" t="str">
            <v>Middle Belt</v>
          </cell>
          <cell r="E301" t="str">
            <v>Nasiru Muhammed - RME</v>
          </cell>
          <cell r="F301" t="str">
            <v>Stockist</v>
          </cell>
          <cell r="G301">
            <v>0</v>
          </cell>
          <cell r="AC301">
            <v>0</v>
          </cell>
        </row>
        <row r="302">
          <cell r="C302" t="str">
            <v>MBC003398</v>
          </cell>
          <cell r="D302" t="str">
            <v>Middle Belt</v>
          </cell>
          <cell r="E302" t="str">
            <v>Bitrus Ugwoke Chigozie</v>
          </cell>
          <cell r="F302" t="str">
            <v>Stockist</v>
          </cell>
          <cell r="G302">
            <v>35</v>
          </cell>
          <cell r="H302">
            <v>4</v>
          </cell>
          <cell r="K302">
            <v>8</v>
          </cell>
          <cell r="L302">
            <v>5</v>
          </cell>
          <cell r="S302">
            <v>13</v>
          </cell>
          <cell r="U302">
            <v>5</v>
          </cell>
          <cell r="AC302">
            <v>4704000</v>
          </cell>
        </row>
        <row r="303">
          <cell r="C303" t="str">
            <v>MBC003410</v>
          </cell>
          <cell r="D303" t="str">
            <v>Middle Belt</v>
          </cell>
          <cell r="E303" t="str">
            <v>ALH. SABITU ABDULLAHI</v>
          </cell>
          <cell r="F303" t="str">
            <v>Stockist</v>
          </cell>
          <cell r="G303">
            <v>0</v>
          </cell>
          <cell r="AC303">
            <v>0</v>
          </cell>
        </row>
        <row r="304">
          <cell r="C304" t="str">
            <v>MBC003432</v>
          </cell>
          <cell r="D304" t="str">
            <v>Middle Belt</v>
          </cell>
          <cell r="E304" t="str">
            <v>Danbaba Gombi - RME</v>
          </cell>
          <cell r="F304" t="str">
            <v>Stockist</v>
          </cell>
          <cell r="G304">
            <v>0</v>
          </cell>
          <cell r="AC304">
            <v>0</v>
          </cell>
        </row>
        <row r="305">
          <cell r="C305" t="str">
            <v>MBC003467</v>
          </cell>
          <cell r="D305" t="str">
            <v>Middle Belt</v>
          </cell>
          <cell r="E305" t="str">
            <v>K C BEST (RME)</v>
          </cell>
          <cell r="F305" t="str">
            <v>Stockist</v>
          </cell>
          <cell r="G305">
            <v>0</v>
          </cell>
          <cell r="AC305">
            <v>0</v>
          </cell>
        </row>
        <row r="306">
          <cell r="C306" t="str">
            <v>MBC003474</v>
          </cell>
          <cell r="D306" t="str">
            <v>Middle Belt</v>
          </cell>
          <cell r="E306" t="str">
            <v>LIFTED STORES (RME)</v>
          </cell>
          <cell r="F306" t="str">
            <v>Stockist</v>
          </cell>
          <cell r="G306">
            <v>45.000000000000007</v>
          </cell>
          <cell r="J306">
            <v>2</v>
          </cell>
          <cell r="K306">
            <v>7</v>
          </cell>
          <cell r="M306">
            <v>2</v>
          </cell>
          <cell r="N306">
            <v>0.2</v>
          </cell>
          <cell r="O306">
            <v>6</v>
          </cell>
          <cell r="P306">
            <v>0.1</v>
          </cell>
          <cell r="Q306">
            <v>0.1</v>
          </cell>
          <cell r="R306">
            <v>1</v>
          </cell>
          <cell r="V306">
            <v>14</v>
          </cell>
          <cell r="W306">
            <v>3</v>
          </cell>
          <cell r="X306">
            <v>9</v>
          </cell>
          <cell r="Y306">
            <v>0.6</v>
          </cell>
          <cell r="AC306">
            <v>7388000</v>
          </cell>
        </row>
        <row r="307">
          <cell r="C307" t="str">
            <v>MBC003486</v>
          </cell>
          <cell r="D307" t="str">
            <v>Middle Belt</v>
          </cell>
          <cell r="E307" t="str">
            <v>Usman Kaboji (RME)</v>
          </cell>
          <cell r="F307" t="str">
            <v>Stockist</v>
          </cell>
          <cell r="G307">
            <v>15</v>
          </cell>
          <cell r="H307">
            <v>0</v>
          </cell>
          <cell r="I307">
            <v>0</v>
          </cell>
          <cell r="J307">
            <v>1</v>
          </cell>
          <cell r="K307">
            <v>1</v>
          </cell>
          <cell r="L307">
            <v>0</v>
          </cell>
          <cell r="M307">
            <v>0</v>
          </cell>
          <cell r="O307">
            <v>1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1</v>
          </cell>
          <cell r="W307">
            <v>0</v>
          </cell>
          <cell r="X307">
            <v>10</v>
          </cell>
          <cell r="Y307">
            <v>1</v>
          </cell>
          <cell r="Z307">
            <v>0</v>
          </cell>
          <cell r="AA307">
            <v>0</v>
          </cell>
          <cell r="AB307">
            <v>0</v>
          </cell>
          <cell r="AC307">
            <v>2779500</v>
          </cell>
        </row>
        <row r="308">
          <cell r="C308" t="str">
            <v>MBC003487</v>
          </cell>
          <cell r="D308" t="str">
            <v>Middle Belt</v>
          </cell>
          <cell r="E308" t="str">
            <v>Pius Okudili (RME)</v>
          </cell>
          <cell r="F308" t="str">
            <v>Stockist</v>
          </cell>
          <cell r="G308">
            <v>10</v>
          </cell>
          <cell r="H308">
            <v>0</v>
          </cell>
          <cell r="I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</v>
          </cell>
          <cell r="O308">
            <v>3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1</v>
          </cell>
          <cell r="W308">
            <v>0</v>
          </cell>
          <cell r="X308">
            <v>5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1843000</v>
          </cell>
        </row>
        <row r="309">
          <cell r="C309" t="str">
            <v>MBC003489</v>
          </cell>
          <cell r="D309" t="str">
            <v>Middle Belt</v>
          </cell>
          <cell r="E309" t="str">
            <v>Alh. Kamaru store(RME)</v>
          </cell>
          <cell r="F309" t="str">
            <v>Stockist</v>
          </cell>
          <cell r="G309">
            <v>10</v>
          </cell>
          <cell r="H309">
            <v>0</v>
          </cell>
          <cell r="I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1</v>
          </cell>
          <cell r="O309">
            <v>3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1</v>
          </cell>
          <cell r="W309">
            <v>0</v>
          </cell>
          <cell r="X309">
            <v>5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1843000</v>
          </cell>
        </row>
        <row r="310">
          <cell r="C310" t="str">
            <v>MBC003497</v>
          </cell>
          <cell r="D310" t="str">
            <v>Middle Belt</v>
          </cell>
          <cell r="E310" t="str">
            <v>Chijioke Ugwu (RME)</v>
          </cell>
          <cell r="F310" t="str">
            <v>Stockist</v>
          </cell>
          <cell r="G310">
            <v>10</v>
          </cell>
          <cell r="H310">
            <v>0</v>
          </cell>
          <cell r="I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1</v>
          </cell>
          <cell r="O310">
            <v>3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1</v>
          </cell>
          <cell r="W310">
            <v>0</v>
          </cell>
          <cell r="X310">
            <v>5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1843000</v>
          </cell>
        </row>
        <row r="311">
          <cell r="C311" t="str">
            <v>MBC003498</v>
          </cell>
          <cell r="D311" t="str">
            <v>Middle Belt</v>
          </cell>
          <cell r="E311" t="str">
            <v>Alhaji Dangege (RME)</v>
          </cell>
          <cell r="F311" t="str">
            <v>Partner</v>
          </cell>
          <cell r="G311">
            <v>40</v>
          </cell>
          <cell r="J311">
            <v>1</v>
          </cell>
          <cell r="K311">
            <v>3</v>
          </cell>
          <cell r="M311">
            <v>2</v>
          </cell>
          <cell r="N311">
            <v>3</v>
          </cell>
          <cell r="O311">
            <v>5</v>
          </cell>
          <cell r="V311">
            <v>12</v>
          </cell>
          <cell r="W311">
            <v>2</v>
          </cell>
          <cell r="X311">
            <v>7</v>
          </cell>
          <cell r="Y311">
            <v>5</v>
          </cell>
          <cell r="AC311">
            <v>6054000</v>
          </cell>
        </row>
        <row r="312">
          <cell r="C312" t="str">
            <v>MBC003508</v>
          </cell>
          <cell r="D312" t="str">
            <v>Middle Belt</v>
          </cell>
          <cell r="E312" t="str">
            <v xml:space="preserve"> ONYIVERA VENTURES (RME)</v>
          </cell>
          <cell r="F312" t="str">
            <v>Stockist</v>
          </cell>
          <cell r="G312">
            <v>10</v>
          </cell>
          <cell r="H312">
            <v>0</v>
          </cell>
          <cell r="I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1</v>
          </cell>
          <cell r="O312">
            <v>3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1</v>
          </cell>
          <cell r="W312">
            <v>0</v>
          </cell>
          <cell r="X312">
            <v>5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1843000</v>
          </cell>
        </row>
        <row r="313">
          <cell r="C313" t="str">
            <v>MBC003514</v>
          </cell>
          <cell r="D313" t="str">
            <v>Middle Belt</v>
          </cell>
          <cell r="E313" t="str">
            <v>Francis Sunday (RME)</v>
          </cell>
          <cell r="F313" t="str">
            <v>Partner</v>
          </cell>
          <cell r="G313">
            <v>35</v>
          </cell>
          <cell r="J313">
            <v>1</v>
          </cell>
          <cell r="K313">
            <v>3</v>
          </cell>
          <cell r="M313">
            <v>1</v>
          </cell>
          <cell r="N313">
            <v>2</v>
          </cell>
          <cell r="O313">
            <v>4</v>
          </cell>
          <cell r="V313">
            <v>10</v>
          </cell>
          <cell r="W313">
            <v>3</v>
          </cell>
          <cell r="X313">
            <v>5</v>
          </cell>
          <cell r="Y313">
            <v>6</v>
          </cell>
          <cell r="AC313">
            <v>5175500</v>
          </cell>
        </row>
        <row r="314">
          <cell r="C314" t="str">
            <v>MBC003581</v>
          </cell>
          <cell r="D314" t="str">
            <v>Middle Belt</v>
          </cell>
          <cell r="E314" t="str">
            <v>Nike Babatunde (RME)</v>
          </cell>
          <cell r="F314" t="str">
            <v>Stockist</v>
          </cell>
          <cell r="G314">
            <v>40</v>
          </cell>
          <cell r="J314">
            <v>1</v>
          </cell>
          <cell r="K314">
            <v>4</v>
          </cell>
          <cell r="M314">
            <v>2</v>
          </cell>
          <cell r="N314">
            <v>5</v>
          </cell>
          <cell r="O314">
            <v>4</v>
          </cell>
          <cell r="V314">
            <v>15</v>
          </cell>
          <cell r="W314">
            <v>3</v>
          </cell>
          <cell r="X314">
            <v>6</v>
          </cell>
          <cell r="AC314">
            <v>5888000</v>
          </cell>
        </row>
        <row r="315">
          <cell r="C315" t="str">
            <v>MBC003600</v>
          </cell>
          <cell r="D315" t="str">
            <v>Middle Belt</v>
          </cell>
          <cell r="E315" t="str">
            <v>Chima Stores (RME)</v>
          </cell>
          <cell r="F315" t="str">
            <v>Stockist</v>
          </cell>
          <cell r="G315">
            <v>0</v>
          </cell>
          <cell r="AC315">
            <v>0</v>
          </cell>
        </row>
        <row r="316">
          <cell r="C316" t="str">
            <v>MBC003605</v>
          </cell>
          <cell r="D316" t="str">
            <v>Middle Belt</v>
          </cell>
          <cell r="E316" t="str">
            <v>Adamu Usman(RME)</v>
          </cell>
          <cell r="F316" t="str">
            <v>Partner</v>
          </cell>
          <cell r="G316">
            <v>35</v>
          </cell>
          <cell r="J316">
            <v>1</v>
          </cell>
          <cell r="K316">
            <v>7.8</v>
          </cell>
          <cell r="M316">
            <v>1</v>
          </cell>
          <cell r="N316">
            <v>0.2</v>
          </cell>
          <cell r="O316">
            <v>2</v>
          </cell>
          <cell r="V316">
            <v>12</v>
          </cell>
          <cell r="W316">
            <v>2</v>
          </cell>
          <cell r="X316">
            <v>8</v>
          </cell>
          <cell r="Y316">
            <v>1</v>
          </cell>
          <cell r="AC316">
            <v>5496500</v>
          </cell>
        </row>
        <row r="317">
          <cell r="C317" t="str">
            <v>MBC003608</v>
          </cell>
          <cell r="D317" t="str">
            <v>Middle Belt</v>
          </cell>
          <cell r="E317" t="str">
            <v>Antmose Enterprise (RME)</v>
          </cell>
          <cell r="F317" t="str">
            <v>Stockist</v>
          </cell>
          <cell r="G317">
            <v>10</v>
          </cell>
          <cell r="H317">
            <v>0</v>
          </cell>
          <cell r="I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1</v>
          </cell>
          <cell r="O317">
            <v>3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1</v>
          </cell>
          <cell r="W317">
            <v>0</v>
          </cell>
          <cell r="X317">
            <v>5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1843000</v>
          </cell>
        </row>
        <row r="318">
          <cell r="C318" t="str">
            <v>MBC003611</v>
          </cell>
          <cell r="D318" t="str">
            <v>Middle Belt</v>
          </cell>
          <cell r="E318" t="str">
            <v>Abubakar Ungwazuru(RME)</v>
          </cell>
          <cell r="F318" t="str">
            <v>Stockist</v>
          </cell>
          <cell r="G318">
            <v>10</v>
          </cell>
          <cell r="H318">
            <v>0</v>
          </cell>
          <cell r="I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1</v>
          </cell>
          <cell r="O318">
            <v>3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5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1843000</v>
          </cell>
        </row>
        <row r="319">
          <cell r="C319" t="str">
            <v>MBC003634</v>
          </cell>
          <cell r="D319" t="str">
            <v>Middle Belt</v>
          </cell>
          <cell r="E319" t="str">
            <v>UNIQUE WINES STORES - RME</v>
          </cell>
          <cell r="F319" t="str">
            <v>Stockist</v>
          </cell>
          <cell r="G319">
            <v>20</v>
          </cell>
          <cell r="J319">
            <v>2</v>
          </cell>
          <cell r="K319">
            <v>4</v>
          </cell>
          <cell r="M319">
            <v>1</v>
          </cell>
          <cell r="O319">
            <v>3</v>
          </cell>
          <cell r="R319">
            <v>1</v>
          </cell>
          <cell r="V319">
            <v>3</v>
          </cell>
          <cell r="X319">
            <v>5</v>
          </cell>
          <cell r="Y319">
            <v>1</v>
          </cell>
          <cell r="AC319">
            <v>3633000</v>
          </cell>
        </row>
        <row r="320">
          <cell r="C320" t="str">
            <v>MBC003635</v>
          </cell>
          <cell r="D320" t="str">
            <v>Middle Belt</v>
          </cell>
          <cell r="E320" t="str">
            <v>Arinze Stores - RME</v>
          </cell>
          <cell r="F320" t="str">
            <v>Stockist</v>
          </cell>
          <cell r="G320">
            <v>9.9999999999999982</v>
          </cell>
          <cell r="J320">
            <v>1</v>
          </cell>
          <cell r="K320">
            <v>1</v>
          </cell>
          <cell r="M320">
            <v>0.2</v>
          </cell>
          <cell r="O320">
            <v>2</v>
          </cell>
          <cell r="P320">
            <v>0.1</v>
          </cell>
          <cell r="Q320">
            <v>0.1</v>
          </cell>
          <cell r="R320">
            <v>0.1</v>
          </cell>
          <cell r="V320">
            <v>3</v>
          </cell>
          <cell r="W320">
            <v>0.3</v>
          </cell>
          <cell r="X320">
            <v>2</v>
          </cell>
          <cell r="Y320">
            <v>0.2</v>
          </cell>
          <cell r="AC320">
            <v>1766600</v>
          </cell>
        </row>
        <row r="321">
          <cell r="C321" t="str">
            <v>MBC003652</v>
          </cell>
          <cell r="D321" t="str">
            <v>Middle Belt</v>
          </cell>
          <cell r="E321" t="str">
            <v>Otti Emmanuel - RME</v>
          </cell>
          <cell r="F321" t="str">
            <v>Stockist</v>
          </cell>
          <cell r="G321">
            <v>0</v>
          </cell>
          <cell r="AC321">
            <v>0</v>
          </cell>
        </row>
        <row r="322">
          <cell r="C322" t="str">
            <v>MBC003653</v>
          </cell>
          <cell r="D322" t="str">
            <v>Middle Belt</v>
          </cell>
          <cell r="E322" t="str">
            <v>Okwudiri Ogbuagu - RME</v>
          </cell>
          <cell r="F322" t="str">
            <v>Stockist</v>
          </cell>
          <cell r="G322">
            <v>10</v>
          </cell>
          <cell r="K322">
            <v>2</v>
          </cell>
          <cell r="N322">
            <v>1</v>
          </cell>
          <cell r="O322">
            <v>1</v>
          </cell>
          <cell r="V322">
            <v>5</v>
          </cell>
          <cell r="X322">
            <v>1</v>
          </cell>
          <cell r="AC322">
            <v>1433000</v>
          </cell>
        </row>
        <row r="323">
          <cell r="C323" t="str">
            <v>RCJA000420</v>
          </cell>
          <cell r="D323" t="str">
            <v>Middle Belt</v>
          </cell>
          <cell r="E323" t="str">
            <v>Bala Ribah (Stockist)</v>
          </cell>
          <cell r="F323" t="str">
            <v>Partner</v>
          </cell>
          <cell r="G323">
            <v>35</v>
          </cell>
          <cell r="H323">
            <v>0</v>
          </cell>
          <cell r="I323">
            <v>0</v>
          </cell>
          <cell r="J323">
            <v>2</v>
          </cell>
          <cell r="K323">
            <v>0</v>
          </cell>
          <cell r="L323">
            <v>0</v>
          </cell>
          <cell r="M323">
            <v>0</v>
          </cell>
          <cell r="N323">
            <v>1</v>
          </cell>
          <cell r="O323">
            <v>8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3</v>
          </cell>
          <cell r="W323">
            <v>0</v>
          </cell>
          <cell r="X323">
            <v>21</v>
          </cell>
          <cell r="AA323">
            <v>0</v>
          </cell>
          <cell r="AB323">
            <v>0</v>
          </cell>
          <cell r="AC323">
            <v>6761500</v>
          </cell>
        </row>
        <row r="324">
          <cell r="C324" t="str">
            <v>WCJA000412</v>
          </cell>
          <cell r="D324" t="str">
            <v>Middle Belt</v>
          </cell>
          <cell r="E324" t="str">
            <v>ALHAJI DANKANI (RME)</v>
          </cell>
          <cell r="F324" t="str">
            <v>Stockist</v>
          </cell>
          <cell r="G324">
            <v>20</v>
          </cell>
          <cell r="H324">
            <v>0</v>
          </cell>
          <cell r="I324">
            <v>0</v>
          </cell>
          <cell r="J324">
            <v>4</v>
          </cell>
          <cell r="K324">
            <v>0</v>
          </cell>
          <cell r="L324">
            <v>0</v>
          </cell>
          <cell r="M324">
            <v>0</v>
          </cell>
          <cell r="N324">
            <v>1</v>
          </cell>
          <cell r="O324">
            <v>3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2</v>
          </cell>
          <cell r="W324">
            <v>0</v>
          </cell>
          <cell r="X324">
            <v>8</v>
          </cell>
          <cell r="Y324">
            <v>2</v>
          </cell>
          <cell r="Z324">
            <v>0</v>
          </cell>
          <cell r="AA324">
            <v>0</v>
          </cell>
          <cell r="AB324">
            <v>0</v>
          </cell>
          <cell r="AC324">
            <v>3795000</v>
          </cell>
        </row>
        <row r="325">
          <cell r="C325" t="str">
            <v>MBC000480</v>
          </cell>
          <cell r="D325" t="str">
            <v>Middle Belt</v>
          </cell>
          <cell r="E325" t="str">
            <v>MR. IK</v>
          </cell>
          <cell r="F325" t="str">
            <v>Stockist</v>
          </cell>
          <cell r="G325">
            <v>10</v>
          </cell>
          <cell r="N325">
            <v>4</v>
          </cell>
          <cell r="O325">
            <v>1</v>
          </cell>
          <cell r="V325">
            <v>3</v>
          </cell>
          <cell r="X325">
            <v>2</v>
          </cell>
          <cell r="AC325">
            <v>1330000</v>
          </cell>
        </row>
        <row r="326">
          <cell r="C326" t="str">
            <v>MBC001414</v>
          </cell>
          <cell r="D326" t="str">
            <v>Middle Belt</v>
          </cell>
          <cell r="E326" t="str">
            <v>NURA YAU</v>
          </cell>
          <cell r="F326" t="str">
            <v>Partner</v>
          </cell>
          <cell r="G326">
            <v>35</v>
          </cell>
          <cell r="N326">
            <v>17</v>
          </cell>
          <cell r="O326">
            <v>3</v>
          </cell>
          <cell r="V326">
            <v>9</v>
          </cell>
          <cell r="X326">
            <v>6</v>
          </cell>
          <cell r="AC326">
            <v>4467500</v>
          </cell>
        </row>
        <row r="327">
          <cell r="C327" t="str">
            <v>MBC002949</v>
          </cell>
          <cell r="D327" t="str">
            <v>Middle Belt</v>
          </cell>
          <cell r="E327" t="str">
            <v>Sunday Akrika</v>
          </cell>
          <cell r="F327" t="str">
            <v>Stockist</v>
          </cell>
          <cell r="G327">
            <v>10</v>
          </cell>
          <cell r="K327">
            <v>2</v>
          </cell>
          <cell r="N327">
            <v>2</v>
          </cell>
          <cell r="O327">
            <v>1</v>
          </cell>
          <cell r="V327">
            <v>3</v>
          </cell>
          <cell r="X327">
            <v>2</v>
          </cell>
          <cell r="AC327">
            <v>1490000</v>
          </cell>
        </row>
        <row r="328">
          <cell r="C328" t="str">
            <v>MBC003347</v>
          </cell>
          <cell r="D328" t="str">
            <v>Middle Belt</v>
          </cell>
          <cell r="E328" t="str">
            <v>Mallam Mahiru Garuba (RME)</v>
          </cell>
          <cell r="F328" t="str">
            <v>Stockist</v>
          </cell>
          <cell r="G328">
            <v>10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1</v>
          </cell>
          <cell r="O328">
            <v>3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1</v>
          </cell>
          <cell r="W328">
            <v>0</v>
          </cell>
          <cell r="X328">
            <v>5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1843000</v>
          </cell>
        </row>
        <row r="329">
          <cell r="C329" t="str">
            <v>MBC003363</v>
          </cell>
          <cell r="D329" t="str">
            <v>Middle Belt</v>
          </cell>
          <cell r="E329" t="str">
            <v>MUMMY FAVOUR - RME</v>
          </cell>
          <cell r="F329" t="str">
            <v>Stockist</v>
          </cell>
          <cell r="G329">
            <v>10</v>
          </cell>
          <cell r="J329">
            <v>0.1</v>
          </cell>
          <cell r="K329">
            <v>0.4</v>
          </cell>
          <cell r="N329">
            <v>2</v>
          </cell>
          <cell r="O329">
            <v>0.5</v>
          </cell>
          <cell r="V329">
            <v>2</v>
          </cell>
          <cell r="W329">
            <v>1</v>
          </cell>
          <cell r="X329">
            <v>1</v>
          </cell>
          <cell r="Y329">
            <v>3</v>
          </cell>
          <cell r="AC329">
            <v>1272100</v>
          </cell>
        </row>
        <row r="330">
          <cell r="C330" t="str">
            <v>MBC003426</v>
          </cell>
          <cell r="D330" t="str">
            <v>Middle Belt</v>
          </cell>
          <cell r="E330" t="str">
            <v>Mallam Awal - RME</v>
          </cell>
          <cell r="F330" t="str">
            <v>Stockist</v>
          </cell>
          <cell r="G330">
            <v>10</v>
          </cell>
          <cell r="J330">
            <v>0.1</v>
          </cell>
          <cell r="K330">
            <v>0.4</v>
          </cell>
          <cell r="M330">
            <v>0.5</v>
          </cell>
          <cell r="N330">
            <v>1.5</v>
          </cell>
          <cell r="O330">
            <v>0.5</v>
          </cell>
          <cell r="V330">
            <v>3</v>
          </cell>
          <cell r="W330">
            <v>1</v>
          </cell>
          <cell r="X330">
            <v>1</v>
          </cell>
          <cell r="Y330">
            <v>2</v>
          </cell>
          <cell r="AC330">
            <v>1312100</v>
          </cell>
        </row>
        <row r="331">
          <cell r="C331" t="str">
            <v>MBC003427</v>
          </cell>
          <cell r="D331" t="str">
            <v>Middle Belt</v>
          </cell>
          <cell r="E331" t="str">
            <v>Alhaji Abubakar- RME</v>
          </cell>
          <cell r="F331" t="str">
            <v>Stockist</v>
          </cell>
          <cell r="G331">
            <v>10</v>
          </cell>
          <cell r="J331">
            <v>0.1</v>
          </cell>
          <cell r="K331">
            <v>0.4</v>
          </cell>
          <cell r="M331">
            <v>0.4</v>
          </cell>
          <cell r="N331">
            <v>1.6</v>
          </cell>
          <cell r="O331">
            <v>0.5</v>
          </cell>
          <cell r="V331">
            <v>3</v>
          </cell>
          <cell r="W331">
            <v>1</v>
          </cell>
          <cell r="X331">
            <v>1</v>
          </cell>
          <cell r="Y331">
            <v>2</v>
          </cell>
          <cell r="AC331">
            <v>1304100</v>
          </cell>
        </row>
        <row r="332">
          <cell r="C332" t="str">
            <v>MBC003504</v>
          </cell>
          <cell r="D332" t="str">
            <v>Middle Belt</v>
          </cell>
          <cell r="E332" t="str">
            <v>De Samco Investment (RME)</v>
          </cell>
          <cell r="F332" t="str">
            <v>Stockist</v>
          </cell>
          <cell r="G332">
            <v>10</v>
          </cell>
          <cell r="J332">
            <v>0.2</v>
          </cell>
          <cell r="K332">
            <v>0.3</v>
          </cell>
          <cell r="M332">
            <v>0.6</v>
          </cell>
          <cell r="N332">
            <v>1.5</v>
          </cell>
          <cell r="O332">
            <v>0.4</v>
          </cell>
          <cell r="P332">
            <v>0.2</v>
          </cell>
          <cell r="V332">
            <v>2</v>
          </cell>
          <cell r="W332">
            <v>1.3</v>
          </cell>
          <cell r="X332">
            <v>0.5</v>
          </cell>
          <cell r="Y332">
            <v>3</v>
          </cell>
          <cell r="AC332">
            <v>1307300</v>
          </cell>
        </row>
        <row r="333">
          <cell r="C333" t="str">
            <v>MBC003649</v>
          </cell>
          <cell r="D333" t="str">
            <v>Middle Belt</v>
          </cell>
          <cell r="E333" t="str">
            <v>Ekene Stores(RME)</v>
          </cell>
          <cell r="F333" t="str">
            <v>Stockist</v>
          </cell>
          <cell r="G333">
            <v>10</v>
          </cell>
          <cell r="J333">
            <v>1</v>
          </cell>
          <cell r="K333">
            <v>1</v>
          </cell>
          <cell r="N333">
            <v>2</v>
          </cell>
          <cell r="O333">
            <v>1</v>
          </cell>
          <cell r="V333">
            <v>1.5</v>
          </cell>
          <cell r="W333">
            <v>1</v>
          </cell>
          <cell r="X333">
            <v>1</v>
          </cell>
          <cell r="Y333">
            <v>1.5</v>
          </cell>
          <cell r="AC333">
            <v>1501000</v>
          </cell>
        </row>
        <row r="334">
          <cell r="C334" t="str">
            <v>MBC003651</v>
          </cell>
          <cell r="D334" t="str">
            <v>Middle Belt</v>
          </cell>
          <cell r="E334" t="str">
            <v>Highman Amedu - RME</v>
          </cell>
          <cell r="F334" t="str">
            <v>Stockist</v>
          </cell>
          <cell r="G334">
            <v>15</v>
          </cell>
          <cell r="N334">
            <v>1</v>
          </cell>
          <cell r="O334">
            <v>2</v>
          </cell>
          <cell r="V334">
            <v>8</v>
          </cell>
          <cell r="X334">
            <v>4</v>
          </cell>
          <cell r="AC334">
            <v>2218500</v>
          </cell>
        </row>
        <row r="335">
          <cell r="C335" t="str">
            <v>MBC003654</v>
          </cell>
          <cell r="D335" t="str">
            <v>Middle Belt</v>
          </cell>
          <cell r="E335" t="str">
            <v>Zira Tizhe - RME</v>
          </cell>
          <cell r="F335" t="str">
            <v>Stockist</v>
          </cell>
          <cell r="G335">
            <v>10</v>
          </cell>
          <cell r="O335">
            <v>1</v>
          </cell>
          <cell r="V335">
            <v>8</v>
          </cell>
          <cell r="X335">
            <v>1</v>
          </cell>
          <cell r="AC335">
            <v>1327000</v>
          </cell>
        </row>
        <row r="336">
          <cell r="C336" t="str">
            <v>MBC003276</v>
          </cell>
          <cell r="D336" t="str">
            <v>Middle Belt</v>
          </cell>
          <cell r="E336" t="str">
            <v>Ngene Ifeancho stanley</v>
          </cell>
          <cell r="F336" t="str">
            <v>Stockist</v>
          </cell>
          <cell r="G336">
            <v>10</v>
          </cell>
          <cell r="K336">
            <v>1</v>
          </cell>
          <cell r="O336">
            <v>1</v>
          </cell>
          <cell r="V336">
            <v>3</v>
          </cell>
          <cell r="X336">
            <v>5</v>
          </cell>
          <cell r="AC336">
            <v>1689000</v>
          </cell>
        </row>
        <row r="337">
          <cell r="C337" t="str">
            <v>MBC003506</v>
          </cell>
          <cell r="D337" t="str">
            <v>Middle Belt</v>
          </cell>
          <cell r="E337" t="str">
            <v>TOBAX INTEGRATED CONCEPT(RME)</v>
          </cell>
          <cell r="F337" t="str">
            <v>Stockist</v>
          </cell>
          <cell r="G337">
            <v>0</v>
          </cell>
          <cell r="AC337">
            <v>0</v>
          </cell>
        </row>
        <row r="338">
          <cell r="C338" t="str">
            <v>MBC003629</v>
          </cell>
          <cell r="D338" t="str">
            <v>Middle Belt</v>
          </cell>
          <cell r="E338" t="str">
            <v>Ekene Bishop(RME)</v>
          </cell>
          <cell r="F338" t="str">
            <v>Stockist</v>
          </cell>
          <cell r="G338">
            <v>0</v>
          </cell>
          <cell r="AC338">
            <v>0</v>
          </cell>
        </row>
        <row r="339">
          <cell r="C339" t="str">
            <v>MBC002322</v>
          </cell>
          <cell r="D339" t="str">
            <v>Middle Belt</v>
          </cell>
          <cell r="E339" t="str">
            <v>Eugine Ogbonna (Stockiest)</v>
          </cell>
          <cell r="F339" t="str">
            <v>Stockist</v>
          </cell>
          <cell r="G339">
            <v>10</v>
          </cell>
          <cell r="H339">
            <v>0</v>
          </cell>
          <cell r="I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1</v>
          </cell>
          <cell r="O339">
            <v>3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1</v>
          </cell>
          <cell r="W339">
            <v>0</v>
          </cell>
          <cell r="X339">
            <v>5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1843000</v>
          </cell>
        </row>
        <row r="340">
          <cell r="C340" t="str">
            <v>MBC003703</v>
          </cell>
          <cell r="D340" t="str">
            <v>Middle Belt</v>
          </cell>
          <cell r="E340" t="str">
            <v>Tukur Abubakar - RME</v>
          </cell>
          <cell r="F340" t="str">
            <v>Stockist</v>
          </cell>
          <cell r="G340">
            <v>10</v>
          </cell>
          <cell r="H340">
            <v>0</v>
          </cell>
          <cell r="I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</v>
          </cell>
          <cell r="O340">
            <v>3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1</v>
          </cell>
          <cell r="W340">
            <v>0</v>
          </cell>
          <cell r="X340">
            <v>5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1843000</v>
          </cell>
        </row>
        <row r="341">
          <cell r="C341" t="str">
            <v>MBC001566</v>
          </cell>
          <cell r="D341" t="str">
            <v>Middle Belt</v>
          </cell>
          <cell r="E341" t="str">
            <v>Sunday Nnewi</v>
          </cell>
          <cell r="F341" t="str">
            <v>Stockist</v>
          </cell>
          <cell r="G341">
            <v>10</v>
          </cell>
          <cell r="H341">
            <v>0</v>
          </cell>
          <cell r="I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1</v>
          </cell>
          <cell r="O341">
            <v>3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1</v>
          </cell>
          <cell r="W341">
            <v>0</v>
          </cell>
          <cell r="X341">
            <v>5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1843000</v>
          </cell>
        </row>
        <row r="342">
          <cell r="C342" t="str">
            <v>MBC003560</v>
          </cell>
          <cell r="D342" t="str">
            <v>Middle Belt</v>
          </cell>
          <cell r="E342" t="str">
            <v>FREIXENET POP INV. LTD(RME)</v>
          </cell>
          <cell r="F342" t="str">
            <v>Stockist</v>
          </cell>
          <cell r="G342">
            <v>10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1</v>
          </cell>
          <cell r="O342">
            <v>3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1</v>
          </cell>
          <cell r="W342">
            <v>0</v>
          </cell>
          <cell r="X342">
            <v>5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1843000</v>
          </cell>
        </row>
        <row r="343">
          <cell r="C343" t="str">
            <v>MBC002086</v>
          </cell>
          <cell r="D343" t="str">
            <v>Middle Belt</v>
          </cell>
          <cell r="E343" t="str">
            <v>Emmanuel Uche</v>
          </cell>
          <cell r="F343" t="str">
            <v>Stockist</v>
          </cell>
          <cell r="G343">
            <v>10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1</v>
          </cell>
          <cell r="O343">
            <v>3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1</v>
          </cell>
          <cell r="W343">
            <v>0</v>
          </cell>
          <cell r="X343">
            <v>5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1843000</v>
          </cell>
        </row>
        <row r="344">
          <cell r="C344" t="str">
            <v>MBC002890</v>
          </cell>
          <cell r="D344" t="str">
            <v>Middle Belt</v>
          </cell>
          <cell r="E344" t="str">
            <v>Lawali Shehu Riba (RME)</v>
          </cell>
          <cell r="F344" t="str">
            <v>Stockist</v>
          </cell>
          <cell r="G344">
            <v>15</v>
          </cell>
          <cell r="H344">
            <v>0</v>
          </cell>
          <cell r="I344">
            <v>0</v>
          </cell>
          <cell r="J344">
            <v>1</v>
          </cell>
          <cell r="K344">
            <v>1</v>
          </cell>
          <cell r="L344">
            <v>0</v>
          </cell>
          <cell r="M344">
            <v>0</v>
          </cell>
          <cell r="O344">
            <v>1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1</v>
          </cell>
          <cell r="W344">
            <v>0</v>
          </cell>
          <cell r="X344">
            <v>10</v>
          </cell>
          <cell r="Y344">
            <v>1</v>
          </cell>
          <cell r="Z344">
            <v>0</v>
          </cell>
          <cell r="AA344">
            <v>0</v>
          </cell>
          <cell r="AB344">
            <v>0</v>
          </cell>
          <cell r="AC344">
            <v>2779500</v>
          </cell>
        </row>
        <row r="345">
          <cell r="C345" t="str">
            <v>MBC002746</v>
          </cell>
          <cell r="D345" t="str">
            <v>Middle Belt</v>
          </cell>
          <cell r="E345" t="str">
            <v>CHINEDU MONDAY (RME)</v>
          </cell>
          <cell r="F345" t="str">
            <v>Partner</v>
          </cell>
          <cell r="G345">
            <v>100</v>
          </cell>
          <cell r="J345">
            <v>2</v>
          </cell>
          <cell r="K345">
            <v>2</v>
          </cell>
          <cell r="N345">
            <v>4</v>
          </cell>
          <cell r="O345">
            <v>4</v>
          </cell>
          <cell r="V345">
            <v>55</v>
          </cell>
          <cell r="W345">
            <v>18</v>
          </cell>
          <cell r="X345">
            <v>15</v>
          </cell>
          <cell r="AC345">
            <v>13291000</v>
          </cell>
        </row>
        <row r="346">
          <cell r="C346" t="str">
            <v>MBC001068</v>
          </cell>
          <cell r="D346" t="str">
            <v>Middle Belt</v>
          </cell>
          <cell r="E346" t="str">
            <v>Alh Isah</v>
          </cell>
          <cell r="F346" t="str">
            <v>Partner</v>
          </cell>
          <cell r="G346">
            <v>35</v>
          </cell>
          <cell r="J346">
            <v>1</v>
          </cell>
          <cell r="K346">
            <v>2</v>
          </cell>
          <cell r="M346">
            <v>1</v>
          </cell>
          <cell r="N346">
            <v>7</v>
          </cell>
          <cell r="O346">
            <v>3</v>
          </cell>
          <cell r="V346">
            <v>5</v>
          </cell>
          <cell r="W346">
            <v>5</v>
          </cell>
          <cell r="X346">
            <v>5</v>
          </cell>
          <cell r="Y346">
            <v>6</v>
          </cell>
          <cell r="AC346">
            <v>4906500</v>
          </cell>
        </row>
        <row r="347">
          <cell r="C347" t="str">
            <v>MBC001387</v>
          </cell>
          <cell r="D347" t="str">
            <v>Middle Belt</v>
          </cell>
          <cell r="E347" t="str">
            <v>Alhaji Sahabi</v>
          </cell>
          <cell r="F347" t="str">
            <v>Partner</v>
          </cell>
          <cell r="G347">
            <v>35</v>
          </cell>
          <cell r="J347">
            <v>2</v>
          </cell>
          <cell r="K347">
            <v>2</v>
          </cell>
          <cell r="N347">
            <v>4</v>
          </cell>
          <cell r="O347">
            <v>2</v>
          </cell>
          <cell r="V347">
            <v>5</v>
          </cell>
          <cell r="W347">
            <v>5</v>
          </cell>
          <cell r="X347">
            <v>8</v>
          </cell>
          <cell r="Y347">
            <v>7</v>
          </cell>
          <cell r="AC347">
            <v>5154500</v>
          </cell>
        </row>
        <row r="348">
          <cell r="C348" t="str">
            <v>MBC001564</v>
          </cell>
          <cell r="D348" t="str">
            <v>Middle Belt</v>
          </cell>
          <cell r="E348" t="str">
            <v>Stanley Eze (RME)</v>
          </cell>
          <cell r="F348" t="str">
            <v>Partner</v>
          </cell>
          <cell r="G348">
            <v>35</v>
          </cell>
          <cell r="J348">
            <v>1</v>
          </cell>
          <cell r="K348">
            <v>2</v>
          </cell>
          <cell r="N348">
            <v>7</v>
          </cell>
          <cell r="O348">
            <v>3</v>
          </cell>
          <cell r="V348">
            <v>6</v>
          </cell>
          <cell r="W348">
            <v>5</v>
          </cell>
          <cell r="X348">
            <v>5</v>
          </cell>
          <cell r="Y348">
            <v>6</v>
          </cell>
          <cell r="AC348">
            <v>4844500</v>
          </cell>
        </row>
        <row r="349">
          <cell r="C349" t="str">
            <v>MBC003380</v>
          </cell>
          <cell r="D349" t="str">
            <v>Middle Belt</v>
          </cell>
          <cell r="E349" t="str">
            <v>Mode Marbera Trading</v>
          </cell>
          <cell r="F349" t="str">
            <v>Partner</v>
          </cell>
          <cell r="G349">
            <v>35</v>
          </cell>
          <cell r="J349">
            <v>0.5</v>
          </cell>
          <cell r="K349">
            <v>2</v>
          </cell>
          <cell r="N349">
            <v>5.5</v>
          </cell>
          <cell r="O349">
            <v>2</v>
          </cell>
          <cell r="V349">
            <v>10</v>
          </cell>
          <cell r="W349">
            <v>3</v>
          </cell>
          <cell r="X349">
            <v>6</v>
          </cell>
          <cell r="Y349">
            <v>6</v>
          </cell>
          <cell r="AC349">
            <v>4755500</v>
          </cell>
        </row>
        <row r="350">
          <cell r="C350" t="str">
            <v>MBC003476</v>
          </cell>
          <cell r="D350" t="str">
            <v>Middle Belt</v>
          </cell>
          <cell r="E350" t="str">
            <v>Alhaji Saidu Banzabanza (RME)</v>
          </cell>
          <cell r="F350" t="str">
            <v>Stockist</v>
          </cell>
          <cell r="G350">
            <v>10</v>
          </cell>
          <cell r="J350">
            <v>0.5</v>
          </cell>
          <cell r="K350">
            <v>0.5</v>
          </cell>
          <cell r="N350">
            <v>1.5</v>
          </cell>
          <cell r="O350">
            <v>1</v>
          </cell>
          <cell r="V350">
            <v>1.5</v>
          </cell>
          <cell r="W350">
            <v>0.5</v>
          </cell>
          <cell r="X350">
            <v>2.5</v>
          </cell>
          <cell r="Y350">
            <v>2</v>
          </cell>
          <cell r="AC350">
            <v>1517500</v>
          </cell>
        </row>
        <row r="351">
          <cell r="C351" t="str">
            <v>MBC003478</v>
          </cell>
          <cell r="D351" t="str">
            <v>Middle Belt</v>
          </cell>
          <cell r="E351" t="str">
            <v>Alhaji Sahadu Ibrahim (RME)</v>
          </cell>
          <cell r="F351" t="str">
            <v>Stockist</v>
          </cell>
          <cell r="G351">
            <v>10</v>
          </cell>
          <cell r="J351">
            <v>0.5</v>
          </cell>
          <cell r="K351">
            <v>0.5</v>
          </cell>
          <cell r="N351">
            <v>1.5</v>
          </cell>
          <cell r="O351">
            <v>1</v>
          </cell>
          <cell r="V351">
            <v>1.5</v>
          </cell>
          <cell r="W351">
            <v>0.5</v>
          </cell>
          <cell r="X351">
            <v>3</v>
          </cell>
          <cell r="Y351">
            <v>1.5</v>
          </cell>
          <cell r="AC351">
            <v>1555000</v>
          </cell>
        </row>
        <row r="352">
          <cell r="C352" t="str">
            <v>MBC003484</v>
          </cell>
          <cell r="D352" t="str">
            <v>Middle Belt</v>
          </cell>
          <cell r="E352" t="str">
            <v>Alhaji Dan Asabe (RME)</v>
          </cell>
          <cell r="F352" t="str">
            <v>Stockist</v>
          </cell>
          <cell r="G352">
            <v>10</v>
          </cell>
          <cell r="J352">
            <v>0.5</v>
          </cell>
          <cell r="K352">
            <v>0.5</v>
          </cell>
          <cell r="N352">
            <v>1</v>
          </cell>
          <cell r="O352">
            <v>1</v>
          </cell>
          <cell r="V352">
            <v>1.5</v>
          </cell>
          <cell r="W352">
            <v>1</v>
          </cell>
          <cell r="X352">
            <v>3</v>
          </cell>
          <cell r="Y352">
            <v>1.5</v>
          </cell>
          <cell r="AC352">
            <v>1564000</v>
          </cell>
        </row>
        <row r="353">
          <cell r="C353" t="str">
            <v>MBC003594</v>
          </cell>
          <cell r="D353" t="str">
            <v>Middle Belt</v>
          </cell>
          <cell r="E353" t="str">
            <v>Musa Abdullahi (RME)</v>
          </cell>
          <cell r="F353" t="str">
            <v>Stockist</v>
          </cell>
          <cell r="G353">
            <v>10</v>
          </cell>
          <cell r="J353">
            <v>0.5</v>
          </cell>
          <cell r="K353">
            <v>1</v>
          </cell>
          <cell r="N353">
            <v>1</v>
          </cell>
          <cell r="O353">
            <v>1</v>
          </cell>
          <cell r="V353">
            <v>2</v>
          </cell>
          <cell r="W353">
            <v>0.5</v>
          </cell>
          <cell r="X353">
            <v>3</v>
          </cell>
          <cell r="Y353">
            <v>1</v>
          </cell>
          <cell r="AC353">
            <v>1595000</v>
          </cell>
        </row>
        <row r="354">
          <cell r="C354" t="str">
            <v>SWC1236</v>
          </cell>
          <cell r="D354" t="str">
            <v>Middle Belt</v>
          </cell>
          <cell r="E354" t="str">
            <v>Felix Onu</v>
          </cell>
          <cell r="F354" t="str">
            <v>Stockist</v>
          </cell>
          <cell r="G354">
            <v>10</v>
          </cell>
          <cell r="O354">
            <v>2</v>
          </cell>
          <cell r="V354">
            <v>3</v>
          </cell>
          <cell r="W354">
            <v>1</v>
          </cell>
          <cell r="X354">
            <v>3</v>
          </cell>
          <cell r="Y354">
            <v>1</v>
          </cell>
          <cell r="AC354">
            <v>1594000</v>
          </cell>
        </row>
        <row r="355">
          <cell r="C355" t="str">
            <v>SWC2020</v>
          </cell>
          <cell r="D355" t="str">
            <v>Middle Belt</v>
          </cell>
          <cell r="E355" t="str">
            <v>Hauwa Ishak (RME)</v>
          </cell>
          <cell r="F355" t="str">
            <v>Stockist</v>
          </cell>
          <cell r="G355">
            <v>22</v>
          </cell>
          <cell r="K355">
            <v>0</v>
          </cell>
          <cell r="N355">
            <v>1</v>
          </cell>
          <cell r="O355">
            <v>4</v>
          </cell>
          <cell r="Q355">
            <v>1</v>
          </cell>
          <cell r="R355">
            <v>1</v>
          </cell>
          <cell r="T355">
            <v>0</v>
          </cell>
          <cell r="U355">
            <v>0</v>
          </cell>
          <cell r="V355">
            <v>7</v>
          </cell>
          <cell r="W355">
            <v>2</v>
          </cell>
          <cell r="X355">
            <v>5</v>
          </cell>
          <cell r="Y355">
            <v>1</v>
          </cell>
          <cell r="AC355">
            <v>3426000</v>
          </cell>
        </row>
        <row r="356">
          <cell r="C356" t="str">
            <v>SWC2031</v>
          </cell>
          <cell r="D356" t="str">
            <v>Middle Belt</v>
          </cell>
          <cell r="E356" t="str">
            <v>O C Ekweme Ventures</v>
          </cell>
          <cell r="F356" t="str">
            <v>Stockist</v>
          </cell>
          <cell r="G356">
            <v>10</v>
          </cell>
          <cell r="K356">
            <v>0</v>
          </cell>
          <cell r="N356">
            <v>0</v>
          </cell>
          <cell r="O356">
            <v>3</v>
          </cell>
          <cell r="T356">
            <v>0</v>
          </cell>
          <cell r="U356">
            <v>0</v>
          </cell>
          <cell r="V356">
            <v>3</v>
          </cell>
          <cell r="W356">
            <v>1</v>
          </cell>
          <cell r="X356">
            <v>3</v>
          </cell>
          <cell r="AC356">
            <v>1711000</v>
          </cell>
        </row>
        <row r="357">
          <cell r="C357" t="str">
            <v>SWC3301</v>
          </cell>
          <cell r="D357" t="str">
            <v>Middle Belt</v>
          </cell>
          <cell r="E357" t="str">
            <v>Joy Ojo-Agefu (RME)</v>
          </cell>
          <cell r="F357" t="str">
            <v>Partner</v>
          </cell>
          <cell r="G357">
            <v>89</v>
          </cell>
          <cell r="J357">
            <v>2</v>
          </cell>
          <cell r="K357">
            <v>8</v>
          </cell>
          <cell r="N357">
            <v>8</v>
          </cell>
          <cell r="O357">
            <v>20</v>
          </cell>
          <cell r="Q357">
            <v>2</v>
          </cell>
          <cell r="R357">
            <v>5</v>
          </cell>
          <cell r="T357">
            <v>0</v>
          </cell>
          <cell r="U357">
            <v>0</v>
          </cell>
          <cell r="V357">
            <v>4</v>
          </cell>
          <cell r="W357">
            <v>2</v>
          </cell>
          <cell r="X357">
            <v>35</v>
          </cell>
          <cell r="Y357">
            <v>3</v>
          </cell>
          <cell r="AC357">
            <v>16015500</v>
          </cell>
        </row>
        <row r="358">
          <cell r="C358" t="str">
            <v>MBC003704</v>
          </cell>
          <cell r="E358" t="str">
            <v xml:space="preserve">Peter .A. Obiora </v>
          </cell>
          <cell r="F358" t="str">
            <v>PARTNER</v>
          </cell>
          <cell r="G358">
            <v>35</v>
          </cell>
          <cell r="O358">
            <v>5</v>
          </cell>
          <cell r="V358">
            <v>20</v>
          </cell>
          <cell r="X358">
            <v>10</v>
          </cell>
          <cell r="AC358">
            <v>5307500</v>
          </cell>
        </row>
        <row r="359">
          <cell r="C359" t="str">
            <v>MBC003020</v>
          </cell>
          <cell r="E359" t="str">
            <v>Eze Chukwuma</v>
          </cell>
          <cell r="F359" t="str">
            <v>PARTNER</v>
          </cell>
          <cell r="G359">
            <v>35</v>
          </cell>
          <cell r="O359">
            <v>5</v>
          </cell>
          <cell r="V359">
            <v>20</v>
          </cell>
          <cell r="X359">
            <v>10</v>
          </cell>
          <cell r="AC359">
            <v>5307500</v>
          </cell>
        </row>
        <row r="360">
          <cell r="C360" t="str">
            <v>MBC003679</v>
          </cell>
          <cell r="E360" t="str">
            <v>Sunday odo</v>
          </cell>
          <cell r="F360" t="str">
            <v>STOCKIST</v>
          </cell>
          <cell r="G360">
            <v>10</v>
          </cell>
          <cell r="N360">
            <v>4</v>
          </cell>
          <cell r="O360">
            <v>1</v>
          </cell>
          <cell r="V360">
            <v>4</v>
          </cell>
          <cell r="X360">
            <v>1</v>
          </cell>
          <cell r="AC360">
            <v>1255000</v>
          </cell>
        </row>
        <row r="361">
          <cell r="C361" t="str">
            <v>MBC001626</v>
          </cell>
          <cell r="E361" t="str">
            <v>Umar Sani</v>
          </cell>
          <cell r="F361" t="str">
            <v>STOCKIST</v>
          </cell>
          <cell r="G361">
            <v>20</v>
          </cell>
          <cell r="O361">
            <v>20</v>
          </cell>
          <cell r="AC361">
            <v>4610000</v>
          </cell>
        </row>
        <row r="362">
          <cell r="C362" t="str">
            <v>SWC1086</v>
          </cell>
          <cell r="E362" t="str">
            <v>M allam Ayuba</v>
          </cell>
          <cell r="F362" t="str">
            <v>STOCKIST</v>
          </cell>
          <cell r="G362">
            <v>10</v>
          </cell>
          <cell r="K362">
            <v>0</v>
          </cell>
          <cell r="N362">
            <v>0</v>
          </cell>
          <cell r="O362">
            <v>2</v>
          </cell>
          <cell r="Q362">
            <v>0</v>
          </cell>
          <cell r="V362">
            <v>3</v>
          </cell>
          <cell r="W362">
            <v>2</v>
          </cell>
          <cell r="X362">
            <v>2</v>
          </cell>
          <cell r="Y362">
            <v>1</v>
          </cell>
          <cell r="AC362">
            <v>1519000</v>
          </cell>
        </row>
        <row r="363">
          <cell r="C363" t="str">
            <v>SWC2196</v>
          </cell>
          <cell r="E363" t="str">
            <v>Ugwu Valentine</v>
          </cell>
          <cell r="F363" t="str">
            <v>PARTNER</v>
          </cell>
          <cell r="G363">
            <v>35</v>
          </cell>
          <cell r="J363">
            <v>0</v>
          </cell>
          <cell r="K363">
            <v>8</v>
          </cell>
          <cell r="O363">
            <v>8</v>
          </cell>
          <cell r="Q363">
            <v>2</v>
          </cell>
          <cell r="R363">
            <v>2</v>
          </cell>
          <cell r="V363">
            <v>3</v>
          </cell>
          <cell r="X363">
            <v>12</v>
          </cell>
          <cell r="AC363">
            <v>6512500</v>
          </cell>
        </row>
        <row r="364">
          <cell r="C364" t="str">
            <v>SWC2934</v>
          </cell>
          <cell r="E364" t="str">
            <v>STEPHEN IKECHUKWU ADONU</v>
          </cell>
          <cell r="F364" t="str">
            <v>STOCKIST</v>
          </cell>
          <cell r="G364">
            <v>10</v>
          </cell>
          <cell r="K364">
            <v>2</v>
          </cell>
          <cell r="O364">
            <v>1</v>
          </cell>
          <cell r="R364">
            <v>1</v>
          </cell>
          <cell r="V364">
            <v>1</v>
          </cell>
          <cell r="W364">
            <v>1</v>
          </cell>
          <cell r="X364">
            <v>3</v>
          </cell>
          <cell r="Y364">
            <v>1</v>
          </cell>
          <cell r="AC364">
            <v>1632000</v>
          </cell>
        </row>
        <row r="365">
          <cell r="C365" t="str">
            <v>MBC0003655</v>
          </cell>
          <cell r="E365" t="str">
            <v>Uka Monday Igwe</v>
          </cell>
          <cell r="F365" t="str">
            <v>STOCKIST</v>
          </cell>
          <cell r="G365">
            <v>10</v>
          </cell>
          <cell r="N365">
            <v>1</v>
          </cell>
          <cell r="O365">
            <v>1</v>
          </cell>
          <cell r="V365">
            <v>7</v>
          </cell>
          <cell r="X365">
            <v>1</v>
          </cell>
          <cell r="AC365">
            <v>1309000</v>
          </cell>
        </row>
        <row r="366">
          <cell r="C366" t="str">
            <v>MBC003650</v>
          </cell>
          <cell r="E366" t="str">
            <v>Ahmed Bashir</v>
          </cell>
          <cell r="F366" t="str">
            <v>STOCKIST</v>
          </cell>
          <cell r="G366">
            <v>11</v>
          </cell>
          <cell r="O366">
            <v>1</v>
          </cell>
          <cell r="V366">
            <v>9</v>
          </cell>
          <cell r="X366">
            <v>1</v>
          </cell>
          <cell r="AC366">
            <v>1440500</v>
          </cell>
        </row>
        <row r="367">
          <cell r="C367" t="str">
            <v>MBC002673</v>
          </cell>
          <cell r="D367" t="str">
            <v>Emeka Chinedu (RME)</v>
          </cell>
          <cell r="E367" t="str">
            <v>Emeka Chinedu</v>
          </cell>
          <cell r="F367" t="str">
            <v>STOCKIST</v>
          </cell>
          <cell r="G367">
            <v>10</v>
          </cell>
          <cell r="H367">
            <v>0</v>
          </cell>
          <cell r="K367">
            <v>2</v>
          </cell>
          <cell r="N367">
            <v>2</v>
          </cell>
          <cell r="O367">
            <v>4</v>
          </cell>
          <cell r="V367">
            <v>1</v>
          </cell>
          <cell r="X367">
            <v>1</v>
          </cell>
          <cell r="AC367">
            <v>1766000</v>
          </cell>
        </row>
        <row r="368">
          <cell r="C368" t="str">
            <v>MBC003714</v>
          </cell>
          <cell r="E368" t="str">
            <v>Henry Patrick Nanmwa</v>
          </cell>
          <cell r="F368" t="str">
            <v>stockies</v>
          </cell>
          <cell r="G368">
            <v>12</v>
          </cell>
          <cell r="O368">
            <v>1</v>
          </cell>
          <cell r="V368">
            <v>8</v>
          </cell>
          <cell r="X368">
            <v>3</v>
          </cell>
          <cell r="AC368">
            <v>1704000</v>
          </cell>
        </row>
        <row r="369">
          <cell r="C369" t="str">
            <v>MBC003725</v>
          </cell>
          <cell r="E369" t="str">
            <v>Hadi Abubakar</v>
          </cell>
          <cell r="F369" t="str">
            <v>Stockist</v>
          </cell>
          <cell r="G369">
            <v>10</v>
          </cell>
          <cell r="J369">
            <v>0.5</v>
          </cell>
          <cell r="K369">
            <v>1</v>
          </cell>
          <cell r="N369">
            <v>1.5</v>
          </cell>
          <cell r="O369">
            <v>1</v>
          </cell>
          <cell r="V369">
            <v>2</v>
          </cell>
          <cell r="W369">
            <v>0.5</v>
          </cell>
          <cell r="X369">
            <v>1</v>
          </cell>
          <cell r="Y369">
            <v>2.5</v>
          </cell>
          <cell r="AC369">
            <v>1436000</v>
          </cell>
        </row>
        <row r="370">
          <cell r="C370" t="str">
            <v>MBC003726</v>
          </cell>
          <cell r="E370" t="str">
            <v>Umar Farga</v>
          </cell>
          <cell r="F370" t="str">
            <v>Stockist</v>
          </cell>
          <cell r="G370">
            <v>10</v>
          </cell>
          <cell r="J370">
            <v>0.1</v>
          </cell>
          <cell r="K370">
            <v>0.4</v>
          </cell>
          <cell r="N370">
            <v>2</v>
          </cell>
          <cell r="O370">
            <v>0.5</v>
          </cell>
          <cell r="V370">
            <v>2</v>
          </cell>
          <cell r="W370">
            <v>1</v>
          </cell>
          <cell r="X370">
            <v>1</v>
          </cell>
          <cell r="Y370">
            <v>3</v>
          </cell>
          <cell r="AC370">
            <v>1272100</v>
          </cell>
        </row>
        <row r="371">
          <cell r="C371" t="str">
            <v>MBC003601</v>
          </cell>
          <cell r="E371" t="str">
            <v>Yusuf Mohammed</v>
          </cell>
          <cell r="F371" t="str">
            <v>Stockist</v>
          </cell>
          <cell r="G371">
            <v>10</v>
          </cell>
          <cell r="J371">
            <v>0.5</v>
          </cell>
          <cell r="K371">
            <v>0.5</v>
          </cell>
          <cell r="M371">
            <v>0.5</v>
          </cell>
          <cell r="N371">
            <v>1</v>
          </cell>
          <cell r="O371">
            <v>1</v>
          </cell>
          <cell r="V371">
            <v>2.5</v>
          </cell>
          <cell r="W371">
            <v>0.5</v>
          </cell>
          <cell r="X371">
            <v>1.5</v>
          </cell>
          <cell r="Y371">
            <v>2</v>
          </cell>
          <cell r="AC371">
            <v>1482500</v>
          </cell>
        </row>
        <row r="372">
          <cell r="C372" t="str">
            <v>MBC003727</v>
          </cell>
          <cell r="E372" t="str">
            <v>Odo Desmond Onyebuchi</v>
          </cell>
          <cell r="F372" t="str">
            <v>Stockist</v>
          </cell>
          <cell r="G372">
            <v>10</v>
          </cell>
          <cell r="K372">
            <v>0.5</v>
          </cell>
          <cell r="N372">
            <v>2</v>
          </cell>
          <cell r="O372">
            <v>0.5</v>
          </cell>
          <cell r="V372">
            <v>2</v>
          </cell>
          <cell r="W372">
            <v>1</v>
          </cell>
          <cell r="X372">
            <v>1</v>
          </cell>
          <cell r="Y372">
            <v>3</v>
          </cell>
          <cell r="AC372">
            <v>1263500</v>
          </cell>
        </row>
        <row r="373">
          <cell r="C373" t="str">
            <v>MBC003697</v>
          </cell>
          <cell r="E373" t="str">
            <v>ABUBAKAR UMAR</v>
          </cell>
          <cell r="F373" t="str">
            <v>stockies</v>
          </cell>
          <cell r="G373">
            <v>10</v>
          </cell>
          <cell r="J373">
            <v>1</v>
          </cell>
          <cell r="K373">
            <v>2</v>
          </cell>
          <cell r="M373">
            <v>0.2</v>
          </cell>
          <cell r="O373">
            <v>2</v>
          </cell>
          <cell r="P373">
            <v>0.1</v>
          </cell>
          <cell r="V373">
            <v>2</v>
          </cell>
          <cell r="X373">
            <v>2.7</v>
          </cell>
          <cell r="AC373">
            <v>1870700</v>
          </cell>
        </row>
        <row r="374">
          <cell r="C374" t="str">
            <v>MBC003501</v>
          </cell>
          <cell r="E374" t="str">
            <v>SUNNY MORE&amp; SONS</v>
          </cell>
          <cell r="F374" t="str">
            <v>Partner</v>
          </cell>
          <cell r="G374">
            <v>40</v>
          </cell>
          <cell r="J374">
            <v>1</v>
          </cell>
          <cell r="K374">
            <v>1</v>
          </cell>
          <cell r="M374">
            <v>0.5</v>
          </cell>
          <cell r="N374">
            <v>5</v>
          </cell>
          <cell r="O374">
            <v>3</v>
          </cell>
          <cell r="V374">
            <v>16</v>
          </cell>
          <cell r="W374">
            <v>7</v>
          </cell>
          <cell r="X374">
            <v>6</v>
          </cell>
          <cell r="Y374">
            <v>0.5</v>
          </cell>
          <cell r="AC374">
            <v>5492000</v>
          </cell>
        </row>
        <row r="375">
          <cell r="C375" t="str">
            <v>MBC003520</v>
          </cell>
          <cell r="E375" t="str">
            <v>MORNING STAR</v>
          </cell>
          <cell r="F375" t="str">
            <v>stockiest</v>
          </cell>
          <cell r="G375">
            <v>10</v>
          </cell>
          <cell r="J375">
            <v>0.1</v>
          </cell>
          <cell r="K375">
            <v>1</v>
          </cell>
          <cell r="M375">
            <v>0.2</v>
          </cell>
          <cell r="N375">
            <v>0.1</v>
          </cell>
          <cell r="O375">
            <v>1</v>
          </cell>
          <cell r="V375">
            <v>4</v>
          </cell>
          <cell r="W375">
            <v>1</v>
          </cell>
          <cell r="X375">
            <v>2.1</v>
          </cell>
          <cell r="Y375">
            <v>0.5</v>
          </cell>
          <cell r="AC375">
            <v>1496900</v>
          </cell>
        </row>
        <row r="376">
          <cell r="C376" t="str">
            <v>MBC003715</v>
          </cell>
          <cell r="E376" t="str">
            <v>U-nell biz hub</v>
          </cell>
          <cell r="F376" t="str">
            <v>stockiest</v>
          </cell>
          <cell r="G376">
            <v>9.9999999999999982</v>
          </cell>
          <cell r="J376">
            <v>1</v>
          </cell>
          <cell r="K376">
            <v>1</v>
          </cell>
          <cell r="M376">
            <v>1</v>
          </cell>
          <cell r="O376">
            <v>2</v>
          </cell>
          <cell r="P376">
            <v>0.1</v>
          </cell>
          <cell r="R376">
            <v>0.1</v>
          </cell>
          <cell r="V376">
            <v>2.6</v>
          </cell>
          <cell r="W376">
            <v>0.1</v>
          </cell>
          <cell r="X376">
            <v>2</v>
          </cell>
          <cell r="Y376">
            <v>0.1</v>
          </cell>
          <cell r="AC376">
            <v>1808900</v>
          </cell>
        </row>
        <row r="377">
          <cell r="C377" t="str">
            <v>MBC003716</v>
          </cell>
          <cell r="E377" t="str">
            <v>OSD FOODS &amp; BEVERAGE STORE</v>
          </cell>
          <cell r="F377" t="str">
            <v>stockiest</v>
          </cell>
          <cell r="G377">
            <v>9.9999999999999982</v>
          </cell>
          <cell r="J377">
            <v>1</v>
          </cell>
          <cell r="K377">
            <v>2</v>
          </cell>
          <cell r="M377">
            <v>1</v>
          </cell>
          <cell r="O377">
            <v>2</v>
          </cell>
          <cell r="V377">
            <v>1.8</v>
          </cell>
          <cell r="W377">
            <v>0.1</v>
          </cell>
          <cell r="X377">
            <v>2</v>
          </cell>
          <cell r="Y377">
            <v>0.1</v>
          </cell>
          <cell r="AC377">
            <v>1853000</v>
          </cell>
        </row>
        <row r="378">
          <cell r="C378" t="str">
            <v>MBC003284</v>
          </cell>
          <cell r="E378" t="str">
            <v>Jafaru Saidu</v>
          </cell>
          <cell r="F378" t="str">
            <v>stockiest</v>
          </cell>
          <cell r="G378">
            <v>20</v>
          </cell>
          <cell r="J378">
            <v>2</v>
          </cell>
          <cell r="K378">
            <v>5</v>
          </cell>
          <cell r="M378">
            <v>1</v>
          </cell>
          <cell r="O378">
            <v>2</v>
          </cell>
          <cell r="P378">
            <v>0.1</v>
          </cell>
          <cell r="Q378">
            <v>0.1</v>
          </cell>
          <cell r="R378">
            <v>0.1</v>
          </cell>
          <cell r="V378">
            <v>4.7</v>
          </cell>
          <cell r="W378">
            <v>1</v>
          </cell>
          <cell r="X378">
            <v>3</v>
          </cell>
          <cell r="Y378">
            <v>1</v>
          </cell>
          <cell r="AC378">
            <v>3422200</v>
          </cell>
        </row>
        <row r="379">
          <cell r="C379" t="str">
            <v>MBC000835</v>
          </cell>
          <cell r="D379" t="str">
            <v>North</v>
          </cell>
          <cell r="E379" t="str">
            <v>ALH BABAGIDA GAYE</v>
          </cell>
          <cell r="F379" t="str">
            <v>Partner</v>
          </cell>
          <cell r="G379">
            <v>47</v>
          </cell>
          <cell r="J379">
            <v>2</v>
          </cell>
          <cell r="K379">
            <v>6</v>
          </cell>
          <cell r="M379">
            <v>1</v>
          </cell>
          <cell r="N379">
            <v>7</v>
          </cell>
          <cell r="O379">
            <v>7</v>
          </cell>
          <cell r="V379">
            <v>15</v>
          </cell>
          <cell r="W379">
            <v>2</v>
          </cell>
          <cell r="X379">
            <v>7</v>
          </cell>
          <cell r="AC379">
            <v>7282500</v>
          </cell>
        </row>
        <row r="380">
          <cell r="C380" t="str">
            <v>MBC002687</v>
          </cell>
          <cell r="D380" t="str">
            <v>North</v>
          </cell>
          <cell r="E380" t="str">
            <v>Musa Aliyu (RME)</v>
          </cell>
          <cell r="F380" t="str">
            <v>Stockist</v>
          </cell>
          <cell r="G380">
            <v>10</v>
          </cell>
          <cell r="K380">
            <v>1</v>
          </cell>
          <cell r="N380">
            <v>2</v>
          </cell>
          <cell r="O380">
            <v>2</v>
          </cell>
          <cell r="V380">
            <v>3</v>
          </cell>
          <cell r="X380">
            <v>2</v>
          </cell>
          <cell r="AC380">
            <v>1545000</v>
          </cell>
        </row>
        <row r="381">
          <cell r="C381" t="str">
            <v>MBC002974</v>
          </cell>
          <cell r="D381" t="str">
            <v>North</v>
          </cell>
          <cell r="E381" t="str">
            <v>Alhaji Dauda (RME)</v>
          </cell>
          <cell r="F381" t="str">
            <v>Partner</v>
          </cell>
          <cell r="G381">
            <v>50</v>
          </cell>
          <cell r="J381">
            <v>2</v>
          </cell>
          <cell r="K381">
            <v>6</v>
          </cell>
          <cell r="M381">
            <v>1</v>
          </cell>
          <cell r="N381">
            <v>10</v>
          </cell>
          <cell r="O381">
            <v>7</v>
          </cell>
          <cell r="V381">
            <v>17</v>
          </cell>
          <cell r="W381">
            <v>1</v>
          </cell>
          <cell r="X381">
            <v>6</v>
          </cell>
          <cell r="AC381">
            <v>7494000</v>
          </cell>
        </row>
        <row r="382">
          <cell r="C382" t="str">
            <v>MBC003359</v>
          </cell>
          <cell r="D382" t="str">
            <v>North</v>
          </cell>
          <cell r="E382" t="str">
            <v>Daniel Sini Song - RME</v>
          </cell>
          <cell r="F382" t="str">
            <v>Stockist</v>
          </cell>
          <cell r="G382">
            <v>40</v>
          </cell>
          <cell r="J382">
            <v>2</v>
          </cell>
          <cell r="K382">
            <v>6</v>
          </cell>
          <cell r="M382">
            <v>3</v>
          </cell>
          <cell r="N382">
            <v>5</v>
          </cell>
          <cell r="O382">
            <v>5</v>
          </cell>
          <cell r="V382">
            <v>15</v>
          </cell>
          <cell r="W382">
            <v>1</v>
          </cell>
          <cell r="X382">
            <v>3</v>
          </cell>
          <cell r="AC382">
            <v>6114000</v>
          </cell>
        </row>
        <row r="383">
          <cell r="C383" t="str">
            <v>MBC003360</v>
          </cell>
          <cell r="D383" t="str">
            <v>North</v>
          </cell>
          <cell r="E383" t="str">
            <v>Abubakar Moh'd Ganye - RME</v>
          </cell>
          <cell r="F383" t="str">
            <v>Stockist</v>
          </cell>
          <cell r="G383">
            <v>30</v>
          </cell>
          <cell r="J383">
            <v>1</v>
          </cell>
          <cell r="K383">
            <v>4</v>
          </cell>
          <cell r="M383">
            <v>1</v>
          </cell>
          <cell r="N383">
            <v>4</v>
          </cell>
          <cell r="O383">
            <v>4</v>
          </cell>
          <cell r="V383">
            <v>11</v>
          </cell>
          <cell r="W383">
            <v>2</v>
          </cell>
          <cell r="X383">
            <v>3</v>
          </cell>
          <cell r="AC383">
            <v>4484000</v>
          </cell>
        </row>
        <row r="384">
          <cell r="C384" t="str">
            <v>MBC003499</v>
          </cell>
          <cell r="D384" t="str">
            <v>North</v>
          </cell>
          <cell r="E384" t="str">
            <v xml:space="preserve"> Mr. Ibu Yakubu (RME)</v>
          </cell>
          <cell r="F384" t="str">
            <v>Stockist</v>
          </cell>
          <cell r="G384">
            <v>20</v>
          </cell>
          <cell r="J384">
            <v>1</v>
          </cell>
          <cell r="K384">
            <v>3</v>
          </cell>
          <cell r="M384">
            <v>1</v>
          </cell>
          <cell r="N384">
            <v>4</v>
          </cell>
          <cell r="O384">
            <v>2</v>
          </cell>
          <cell r="V384">
            <v>7</v>
          </cell>
          <cell r="X384">
            <v>2</v>
          </cell>
          <cell r="AC384">
            <v>2978000</v>
          </cell>
        </row>
        <row r="385">
          <cell r="C385" t="str">
            <v>NTC0045</v>
          </cell>
          <cell r="D385" t="str">
            <v>North</v>
          </cell>
          <cell r="E385" t="str">
            <v>Shehu Giwa</v>
          </cell>
          <cell r="F385" t="str">
            <v>Partner</v>
          </cell>
          <cell r="G385">
            <v>35</v>
          </cell>
          <cell r="K385">
            <v>1</v>
          </cell>
          <cell r="M385">
            <v>1</v>
          </cell>
          <cell r="N385">
            <v>14</v>
          </cell>
          <cell r="O385">
            <v>2</v>
          </cell>
          <cell r="X385">
            <v>4</v>
          </cell>
          <cell r="Y385">
            <v>13</v>
          </cell>
          <cell r="AC385">
            <v>4378500</v>
          </cell>
        </row>
        <row r="386">
          <cell r="C386" t="str">
            <v>NTC0047</v>
          </cell>
          <cell r="D386" t="str">
            <v>North</v>
          </cell>
          <cell r="E386" t="str">
            <v>Alh Uba</v>
          </cell>
          <cell r="F386" t="str">
            <v>Stockist</v>
          </cell>
          <cell r="G386">
            <v>15</v>
          </cell>
          <cell r="J386">
            <v>0.5</v>
          </cell>
          <cell r="K386">
            <v>0.4</v>
          </cell>
          <cell r="M386">
            <v>0.6</v>
          </cell>
          <cell r="N386">
            <v>6</v>
          </cell>
          <cell r="O386">
            <v>3</v>
          </cell>
          <cell r="V386">
            <v>0.5</v>
          </cell>
          <cell r="X386">
            <v>4</v>
          </cell>
          <cell r="AC386">
            <v>2381500</v>
          </cell>
        </row>
        <row r="387">
          <cell r="C387" t="str">
            <v>NTC0056</v>
          </cell>
          <cell r="D387" t="str">
            <v>North</v>
          </cell>
          <cell r="E387" t="str">
            <v>Alh. Sanusi Abubakar</v>
          </cell>
          <cell r="F387" t="str">
            <v>Stockist</v>
          </cell>
          <cell r="G387">
            <v>35</v>
          </cell>
          <cell r="K387">
            <v>1</v>
          </cell>
          <cell r="M387">
            <v>1</v>
          </cell>
          <cell r="N387">
            <v>14</v>
          </cell>
          <cell r="O387">
            <v>2</v>
          </cell>
          <cell r="X387">
            <v>4</v>
          </cell>
          <cell r="Y387">
            <v>13</v>
          </cell>
          <cell r="AC387">
            <v>4378500</v>
          </cell>
        </row>
        <row r="388">
          <cell r="C388" t="str">
            <v>NTC0076</v>
          </cell>
          <cell r="D388" t="str">
            <v>North</v>
          </cell>
          <cell r="E388" t="str">
            <v>ALH. MUSA LAMBIS</v>
          </cell>
          <cell r="F388" t="str">
            <v>Stockist</v>
          </cell>
          <cell r="G388">
            <v>10</v>
          </cell>
          <cell r="J388">
            <v>1</v>
          </cell>
          <cell r="K388">
            <v>1</v>
          </cell>
          <cell r="O388">
            <v>2</v>
          </cell>
          <cell r="X388">
            <v>4</v>
          </cell>
          <cell r="Y388">
            <v>2</v>
          </cell>
          <cell r="AC388">
            <v>1879000</v>
          </cell>
        </row>
        <row r="389">
          <cell r="C389" t="str">
            <v>NTC0085</v>
          </cell>
          <cell r="D389" t="str">
            <v>North</v>
          </cell>
          <cell r="E389" t="str">
            <v>ALH. UMAR MAILAHIYA</v>
          </cell>
          <cell r="F389" t="str">
            <v>Partner</v>
          </cell>
          <cell r="G389">
            <v>35</v>
          </cell>
          <cell r="J389">
            <v>5</v>
          </cell>
          <cell r="K389">
            <v>5</v>
          </cell>
          <cell r="N389">
            <v>2</v>
          </cell>
          <cell r="O389">
            <v>3</v>
          </cell>
          <cell r="X389">
            <v>10</v>
          </cell>
          <cell r="Y389">
            <v>10</v>
          </cell>
          <cell r="AC389">
            <v>6087500</v>
          </cell>
        </row>
        <row r="390">
          <cell r="C390" t="str">
            <v>NTC0208</v>
          </cell>
          <cell r="D390" t="str">
            <v>North</v>
          </cell>
          <cell r="E390" t="str">
            <v>ALH. ZAKI KAMBA</v>
          </cell>
          <cell r="F390" t="str">
            <v>Partner</v>
          </cell>
          <cell r="G390">
            <v>35</v>
          </cell>
          <cell r="J390">
            <v>5</v>
          </cell>
          <cell r="K390">
            <v>5</v>
          </cell>
          <cell r="N390">
            <v>2</v>
          </cell>
          <cell r="O390">
            <v>3</v>
          </cell>
          <cell r="X390">
            <v>10</v>
          </cell>
          <cell r="Y390">
            <v>10</v>
          </cell>
          <cell r="AC390">
            <v>6087500</v>
          </cell>
        </row>
        <row r="391">
          <cell r="C391" t="str">
            <v>NTC0255</v>
          </cell>
          <cell r="D391" t="str">
            <v>North</v>
          </cell>
          <cell r="E391" t="str">
            <v>Uche best investment</v>
          </cell>
          <cell r="F391" t="str">
            <v>Partner</v>
          </cell>
          <cell r="G391">
            <v>35</v>
          </cell>
          <cell r="J391">
            <v>2</v>
          </cell>
          <cell r="K391">
            <v>2</v>
          </cell>
          <cell r="M391">
            <v>3</v>
          </cell>
          <cell r="N391">
            <v>5</v>
          </cell>
          <cell r="O391">
            <v>7</v>
          </cell>
          <cell r="V391">
            <v>5</v>
          </cell>
          <cell r="X391">
            <v>11</v>
          </cell>
          <cell r="AC391">
            <v>6132500</v>
          </cell>
        </row>
        <row r="392">
          <cell r="C392" t="str">
            <v>NTC0295</v>
          </cell>
          <cell r="D392" t="str">
            <v>North</v>
          </cell>
          <cell r="E392" t="str">
            <v>MR VICENT</v>
          </cell>
          <cell r="F392" t="str">
            <v>Partner</v>
          </cell>
          <cell r="G392">
            <v>35</v>
          </cell>
          <cell r="J392">
            <v>2</v>
          </cell>
          <cell r="K392">
            <v>2</v>
          </cell>
          <cell r="M392">
            <v>3</v>
          </cell>
          <cell r="N392">
            <v>5</v>
          </cell>
          <cell r="O392">
            <v>7</v>
          </cell>
          <cell r="V392">
            <v>5</v>
          </cell>
          <cell r="X392">
            <v>11</v>
          </cell>
          <cell r="AC392">
            <v>6132500</v>
          </cell>
        </row>
        <row r="393">
          <cell r="C393" t="str">
            <v>NTC1054</v>
          </cell>
          <cell r="D393" t="str">
            <v>North</v>
          </cell>
          <cell r="E393" t="str">
            <v>MR. ANDREW</v>
          </cell>
          <cell r="F393" t="str">
            <v>Stockist</v>
          </cell>
          <cell r="G393">
            <v>35</v>
          </cell>
          <cell r="J393">
            <v>2</v>
          </cell>
          <cell r="K393">
            <v>2</v>
          </cell>
          <cell r="M393">
            <v>3</v>
          </cell>
          <cell r="N393">
            <v>5</v>
          </cell>
          <cell r="O393">
            <v>7</v>
          </cell>
          <cell r="V393">
            <v>5</v>
          </cell>
          <cell r="X393">
            <v>11</v>
          </cell>
          <cell r="AC393">
            <v>6132500</v>
          </cell>
        </row>
        <row r="394">
          <cell r="C394" t="str">
            <v>NTC1095</v>
          </cell>
          <cell r="D394" t="str">
            <v>North</v>
          </cell>
          <cell r="E394" t="str">
            <v>Alh Kabiru Gurbin (RME)</v>
          </cell>
          <cell r="F394" t="str">
            <v>Stockist</v>
          </cell>
          <cell r="G394">
            <v>10</v>
          </cell>
          <cell r="N394">
            <v>1</v>
          </cell>
          <cell r="O394">
            <v>4</v>
          </cell>
          <cell r="X394">
            <v>4</v>
          </cell>
          <cell r="Y394">
            <v>1</v>
          </cell>
          <cell r="AC394">
            <v>1885000</v>
          </cell>
        </row>
        <row r="395">
          <cell r="C395" t="str">
            <v>NTC1119</v>
          </cell>
          <cell r="D395" t="str">
            <v>North</v>
          </cell>
          <cell r="E395" t="str">
            <v>Alhaji Boyi Tambual</v>
          </cell>
          <cell r="F395" t="str">
            <v>Partner</v>
          </cell>
          <cell r="G395">
            <v>10</v>
          </cell>
          <cell r="J395">
            <v>1</v>
          </cell>
          <cell r="K395">
            <v>1</v>
          </cell>
          <cell r="O395">
            <v>2</v>
          </cell>
          <cell r="X395">
            <v>4</v>
          </cell>
          <cell r="Y395">
            <v>2</v>
          </cell>
          <cell r="AC395">
            <v>1879000</v>
          </cell>
        </row>
        <row r="396">
          <cell r="C396" t="str">
            <v>NTC1188</v>
          </cell>
          <cell r="D396" t="str">
            <v>North</v>
          </cell>
          <cell r="E396" t="str">
            <v>Alh Aliyu Kangiwa (RME)</v>
          </cell>
          <cell r="F396" t="str">
            <v>Partner</v>
          </cell>
          <cell r="G396">
            <v>35</v>
          </cell>
          <cell r="J396">
            <v>5</v>
          </cell>
          <cell r="K396">
            <v>5</v>
          </cell>
          <cell r="N396">
            <v>2</v>
          </cell>
          <cell r="O396">
            <v>3</v>
          </cell>
          <cell r="X396">
            <v>10</v>
          </cell>
          <cell r="Y396">
            <v>10</v>
          </cell>
          <cell r="AC396">
            <v>6087500</v>
          </cell>
        </row>
        <row r="397">
          <cell r="C397" t="str">
            <v>NTC1252</v>
          </cell>
          <cell r="D397" t="str">
            <v>North</v>
          </cell>
          <cell r="E397" t="str">
            <v>Madam Eze (Stockiest)</v>
          </cell>
          <cell r="F397" t="str">
            <v>Partner</v>
          </cell>
          <cell r="G397">
            <v>40</v>
          </cell>
          <cell r="J397">
            <v>1</v>
          </cell>
          <cell r="K397">
            <v>4</v>
          </cell>
          <cell r="M397">
            <v>4</v>
          </cell>
          <cell r="N397">
            <v>10</v>
          </cell>
          <cell r="O397">
            <v>6</v>
          </cell>
          <cell r="V397">
            <v>6</v>
          </cell>
          <cell r="X397">
            <v>9</v>
          </cell>
          <cell r="AC397">
            <v>6381000</v>
          </cell>
        </row>
        <row r="398">
          <cell r="C398" t="str">
            <v>NTC1536</v>
          </cell>
          <cell r="D398" t="str">
            <v>North</v>
          </cell>
          <cell r="E398" t="str">
            <v>ALH. KABIRU ABUBAKAR (RME)</v>
          </cell>
          <cell r="F398" t="str">
            <v>Partner</v>
          </cell>
          <cell r="G398">
            <v>35</v>
          </cell>
          <cell r="K398">
            <v>1</v>
          </cell>
          <cell r="M398">
            <v>1</v>
          </cell>
          <cell r="N398">
            <v>14</v>
          </cell>
          <cell r="O398">
            <v>2</v>
          </cell>
          <cell r="X398">
            <v>4</v>
          </cell>
          <cell r="Y398">
            <v>13</v>
          </cell>
          <cell r="AC398">
            <v>4378500</v>
          </cell>
        </row>
        <row r="399">
          <cell r="C399" t="str">
            <v>NTC1539</v>
          </cell>
          <cell r="D399" t="str">
            <v>North</v>
          </cell>
          <cell r="E399" t="str">
            <v>Hajiya Umara</v>
          </cell>
          <cell r="F399" t="str">
            <v>Partner</v>
          </cell>
          <cell r="G399">
            <v>40</v>
          </cell>
          <cell r="J399">
            <v>4</v>
          </cell>
          <cell r="K399">
            <v>3</v>
          </cell>
          <cell r="N399">
            <v>7</v>
          </cell>
          <cell r="O399">
            <v>3</v>
          </cell>
          <cell r="V399">
            <v>10</v>
          </cell>
          <cell r="W399">
            <v>1</v>
          </cell>
          <cell r="X399">
            <v>5</v>
          </cell>
          <cell r="Y399">
            <v>7</v>
          </cell>
          <cell r="AC399">
            <v>5918000</v>
          </cell>
        </row>
        <row r="400">
          <cell r="C400" t="str">
            <v>NTC1680</v>
          </cell>
          <cell r="D400" t="str">
            <v>North</v>
          </cell>
          <cell r="E400" t="str">
            <v>Alh Nura Bello (RME)</v>
          </cell>
          <cell r="F400" t="str">
            <v>Partner</v>
          </cell>
          <cell r="G400">
            <v>35</v>
          </cell>
          <cell r="J400">
            <v>5</v>
          </cell>
          <cell r="K400">
            <v>5</v>
          </cell>
          <cell r="N400">
            <v>2</v>
          </cell>
          <cell r="O400">
            <v>3</v>
          </cell>
          <cell r="X400">
            <v>10</v>
          </cell>
          <cell r="Y400">
            <v>10</v>
          </cell>
          <cell r="AC400">
            <v>6087500</v>
          </cell>
        </row>
        <row r="401">
          <cell r="C401" t="str">
            <v>NTC1724</v>
          </cell>
          <cell r="D401" t="str">
            <v>North</v>
          </cell>
          <cell r="E401" t="str">
            <v>Ibrahim Adamu (RME)</v>
          </cell>
          <cell r="F401" t="str">
            <v>Stockist</v>
          </cell>
          <cell r="G401">
            <v>13</v>
          </cell>
          <cell r="N401">
            <v>2</v>
          </cell>
          <cell r="O401">
            <v>4</v>
          </cell>
          <cell r="X401">
            <v>5</v>
          </cell>
          <cell r="Y401">
            <v>2</v>
          </cell>
          <cell r="AC401">
            <v>2282500</v>
          </cell>
        </row>
        <row r="402">
          <cell r="C402" t="str">
            <v>NTC1877</v>
          </cell>
          <cell r="D402" t="str">
            <v>North</v>
          </cell>
          <cell r="E402" t="str">
            <v>Adamu Mohd. -Michika</v>
          </cell>
          <cell r="F402" t="str">
            <v>Partner</v>
          </cell>
          <cell r="G402">
            <v>35</v>
          </cell>
          <cell r="J402">
            <v>5</v>
          </cell>
          <cell r="K402">
            <v>5</v>
          </cell>
          <cell r="N402">
            <v>7</v>
          </cell>
          <cell r="O402">
            <v>3</v>
          </cell>
          <cell r="V402">
            <v>8</v>
          </cell>
          <cell r="W402">
            <v>1</v>
          </cell>
          <cell r="X402">
            <v>3</v>
          </cell>
          <cell r="Y402">
            <v>3</v>
          </cell>
          <cell r="AC402">
            <v>5472500</v>
          </cell>
        </row>
        <row r="403">
          <cell r="C403" t="str">
            <v>NTC1902</v>
          </cell>
          <cell r="D403" t="str">
            <v>New</v>
          </cell>
          <cell r="E403" t="str">
            <v>Rabiu Buba</v>
          </cell>
          <cell r="F403" t="str">
            <v>Partner</v>
          </cell>
          <cell r="G403">
            <v>40</v>
          </cell>
          <cell r="J403">
            <v>1</v>
          </cell>
          <cell r="K403">
            <v>4</v>
          </cell>
          <cell r="M403">
            <v>4</v>
          </cell>
          <cell r="N403">
            <v>10</v>
          </cell>
          <cell r="O403">
            <v>6</v>
          </cell>
          <cell r="V403">
            <v>6</v>
          </cell>
          <cell r="X403">
            <v>9</v>
          </cell>
          <cell r="AC403">
            <v>6381000</v>
          </cell>
        </row>
        <row r="404">
          <cell r="C404" t="str">
            <v>NTC1909</v>
          </cell>
          <cell r="E404" t="str">
            <v>Alh. Umar Bagudo</v>
          </cell>
          <cell r="F404" t="str">
            <v>Partner</v>
          </cell>
          <cell r="G404">
            <v>35</v>
          </cell>
          <cell r="J404">
            <v>5</v>
          </cell>
          <cell r="K404">
            <v>5</v>
          </cell>
          <cell r="N404">
            <v>2</v>
          </cell>
          <cell r="O404">
            <v>3</v>
          </cell>
          <cell r="X404">
            <v>10</v>
          </cell>
          <cell r="Y404">
            <v>10</v>
          </cell>
          <cell r="AC404">
            <v>6087500</v>
          </cell>
        </row>
        <row r="405">
          <cell r="C405" t="str">
            <v>NTC1912</v>
          </cell>
          <cell r="E405" t="str">
            <v>Jimbo Chibok (RME)</v>
          </cell>
          <cell r="F405" t="str">
            <v>Stockist</v>
          </cell>
          <cell r="G405">
            <v>45</v>
          </cell>
          <cell r="J405">
            <v>5</v>
          </cell>
          <cell r="K405">
            <v>4</v>
          </cell>
          <cell r="N405">
            <v>15</v>
          </cell>
          <cell r="O405">
            <v>5</v>
          </cell>
          <cell r="P405">
            <v>1</v>
          </cell>
          <cell r="V405">
            <v>5</v>
          </cell>
          <cell r="X405">
            <v>5</v>
          </cell>
          <cell r="Y405">
            <v>5</v>
          </cell>
          <cell r="AC405">
            <v>6933500</v>
          </cell>
        </row>
        <row r="406">
          <cell r="C406" t="str">
            <v>NTC1914</v>
          </cell>
          <cell r="E406" t="str">
            <v>Oliver Ogwu (RME)</v>
          </cell>
          <cell r="F406" t="str">
            <v>Stockist</v>
          </cell>
          <cell r="G406">
            <v>10</v>
          </cell>
          <cell r="N406">
            <v>4</v>
          </cell>
          <cell r="O406">
            <v>1</v>
          </cell>
          <cell r="X406">
            <v>1</v>
          </cell>
          <cell r="Y406">
            <v>4</v>
          </cell>
          <cell r="AC406">
            <v>1255000</v>
          </cell>
        </row>
        <row r="407">
          <cell r="C407" t="str">
            <v>NTC1916</v>
          </cell>
          <cell r="E407" t="str">
            <v>Samson Smart Okwor</v>
          </cell>
          <cell r="F407" t="str">
            <v>Stockist</v>
          </cell>
          <cell r="G407">
            <v>10</v>
          </cell>
          <cell r="N407">
            <v>4</v>
          </cell>
          <cell r="O407">
            <v>1</v>
          </cell>
          <cell r="X407">
            <v>1</v>
          </cell>
          <cell r="Y407">
            <v>4</v>
          </cell>
          <cell r="AC407">
            <v>1255000</v>
          </cell>
        </row>
        <row r="408">
          <cell r="C408" t="str">
            <v>NTC1939</v>
          </cell>
          <cell r="E408" t="str">
            <v>Alh. Nasiru Rice</v>
          </cell>
          <cell r="F408" t="str">
            <v>Stockist</v>
          </cell>
          <cell r="G408">
            <v>35</v>
          </cell>
          <cell r="K408">
            <v>4</v>
          </cell>
          <cell r="M408">
            <v>5</v>
          </cell>
          <cell r="N408">
            <v>0</v>
          </cell>
          <cell r="O408">
            <v>12</v>
          </cell>
          <cell r="X408">
            <v>13</v>
          </cell>
          <cell r="Y408">
            <v>1</v>
          </cell>
          <cell r="AC408">
            <v>6909500</v>
          </cell>
        </row>
        <row r="409">
          <cell r="C409" t="str">
            <v>NTC1980</v>
          </cell>
          <cell r="E409" t="str">
            <v>Abubakar Adam</v>
          </cell>
          <cell r="F409" t="str">
            <v>Stockist</v>
          </cell>
          <cell r="G409">
            <v>10</v>
          </cell>
          <cell r="K409">
            <v>0</v>
          </cell>
          <cell r="N409">
            <v>4</v>
          </cell>
          <cell r="O409">
            <v>1</v>
          </cell>
          <cell r="X409">
            <v>1</v>
          </cell>
          <cell r="Y409">
            <v>4</v>
          </cell>
          <cell r="AC409">
            <v>1255000</v>
          </cell>
        </row>
        <row r="410">
          <cell r="C410" t="str">
            <v>NTC2251</v>
          </cell>
          <cell r="E410" t="str">
            <v>Kefas Marghi Uba - RME</v>
          </cell>
          <cell r="F410" t="str">
            <v>Stockist</v>
          </cell>
          <cell r="G410">
            <v>35</v>
          </cell>
          <cell r="J410">
            <v>2</v>
          </cell>
          <cell r="K410">
            <v>4</v>
          </cell>
          <cell r="N410">
            <v>10</v>
          </cell>
          <cell r="O410">
            <v>4</v>
          </cell>
          <cell r="V410">
            <v>10</v>
          </cell>
          <cell r="W410">
            <v>1</v>
          </cell>
          <cell r="X410">
            <v>4</v>
          </cell>
          <cell r="AC410">
            <v>5104500</v>
          </cell>
        </row>
        <row r="411">
          <cell r="C411" t="str">
            <v>NTC2254</v>
          </cell>
          <cell r="E411" t="str">
            <v>NGWU ONYEKA - RME</v>
          </cell>
          <cell r="F411" t="str">
            <v>Stockist</v>
          </cell>
          <cell r="G411">
            <v>15</v>
          </cell>
          <cell r="J411">
            <v>0.2</v>
          </cell>
          <cell r="K411">
            <v>0.4</v>
          </cell>
          <cell r="M411">
            <v>0.6</v>
          </cell>
          <cell r="N411">
            <v>6</v>
          </cell>
          <cell r="O411">
            <v>3</v>
          </cell>
          <cell r="P411">
            <v>0.3</v>
          </cell>
          <cell r="V411">
            <v>0.5</v>
          </cell>
          <cell r="X411">
            <v>4</v>
          </cell>
          <cell r="AC411">
            <v>2381500</v>
          </cell>
        </row>
        <row r="412">
          <cell r="C412" t="str">
            <v>NTC2263</v>
          </cell>
          <cell r="E412" t="str">
            <v>ALH BABANGIDA ALIYU MUSA</v>
          </cell>
          <cell r="F412" t="str">
            <v>Stockist</v>
          </cell>
          <cell r="G412">
            <v>10</v>
          </cell>
          <cell r="N412">
            <v>4</v>
          </cell>
          <cell r="O412">
            <v>1</v>
          </cell>
          <cell r="X412">
            <v>1</v>
          </cell>
          <cell r="Y412">
            <v>4</v>
          </cell>
          <cell r="AC412">
            <v>1255000</v>
          </cell>
        </row>
        <row r="413">
          <cell r="C413" t="str">
            <v>NTC2275</v>
          </cell>
          <cell r="E413" t="str">
            <v>Success Ventures -RME</v>
          </cell>
          <cell r="F413" t="str">
            <v>Stockist</v>
          </cell>
          <cell r="G413">
            <v>15</v>
          </cell>
          <cell r="J413">
            <v>0.2</v>
          </cell>
          <cell r="K413">
            <v>0.4</v>
          </cell>
          <cell r="M413">
            <v>0.6</v>
          </cell>
          <cell r="N413">
            <v>6</v>
          </cell>
          <cell r="O413">
            <v>3</v>
          </cell>
          <cell r="P413">
            <v>0.3</v>
          </cell>
          <cell r="V413">
            <v>0.5</v>
          </cell>
          <cell r="X413">
            <v>4</v>
          </cell>
          <cell r="AC413">
            <v>2381500</v>
          </cell>
        </row>
        <row r="414">
          <cell r="C414" t="str">
            <v>NTC2282</v>
          </cell>
          <cell r="E414" t="str">
            <v>Alh Dahiru Dutsinma.</v>
          </cell>
          <cell r="F414" t="str">
            <v>Stockist</v>
          </cell>
          <cell r="G414">
            <v>10</v>
          </cell>
          <cell r="N414">
            <v>2</v>
          </cell>
          <cell r="O414">
            <v>3</v>
          </cell>
          <cell r="X414">
            <v>3</v>
          </cell>
          <cell r="Y414">
            <v>2</v>
          </cell>
          <cell r="AC414">
            <v>1675000</v>
          </cell>
        </row>
        <row r="415">
          <cell r="C415" t="str">
            <v>NTC2305</v>
          </cell>
          <cell r="E415" t="str">
            <v>Alh Shuaibu Danmansir - RME</v>
          </cell>
          <cell r="F415" t="str">
            <v>Stockist</v>
          </cell>
          <cell r="G415">
            <v>10</v>
          </cell>
          <cell r="N415">
            <v>2</v>
          </cell>
          <cell r="O415">
            <v>3</v>
          </cell>
          <cell r="X415">
            <v>3</v>
          </cell>
          <cell r="Y415">
            <v>2</v>
          </cell>
          <cell r="AC415">
            <v>1675000</v>
          </cell>
        </row>
        <row r="416">
          <cell r="C416" t="str">
            <v>NTC2316</v>
          </cell>
          <cell r="E416" t="str">
            <v>Alh Arab Samaila - RME</v>
          </cell>
          <cell r="F416" t="str">
            <v>Stockist</v>
          </cell>
          <cell r="G416">
            <v>10</v>
          </cell>
          <cell r="K416">
            <v>1</v>
          </cell>
          <cell r="M416">
            <v>1</v>
          </cell>
          <cell r="N416">
            <v>1</v>
          </cell>
          <cell r="O416">
            <v>2</v>
          </cell>
          <cell r="V416">
            <v>2</v>
          </cell>
          <cell r="X416">
            <v>2</v>
          </cell>
          <cell r="Y416">
            <v>1</v>
          </cell>
          <cell r="AC416">
            <v>1625000</v>
          </cell>
        </row>
        <row r="417">
          <cell r="C417" t="str">
            <v>NTC2330</v>
          </cell>
          <cell r="E417" t="str">
            <v>Alh Musa Runka - RME</v>
          </cell>
          <cell r="F417" t="str">
            <v>Stockist</v>
          </cell>
          <cell r="G417">
            <v>35</v>
          </cell>
          <cell r="J417">
            <v>1</v>
          </cell>
          <cell r="K417">
            <v>5</v>
          </cell>
          <cell r="M417">
            <v>3</v>
          </cell>
          <cell r="N417">
            <v>7</v>
          </cell>
          <cell r="O417">
            <v>9</v>
          </cell>
          <cell r="X417">
            <v>8</v>
          </cell>
          <cell r="Y417">
            <v>2</v>
          </cell>
          <cell r="AC417">
            <v>6143500</v>
          </cell>
        </row>
        <row r="418">
          <cell r="C418" t="str">
            <v>NTC2352</v>
          </cell>
          <cell r="E418" t="str">
            <v>IBM GLOBAL INVESTMENT - RME</v>
          </cell>
          <cell r="F418" t="str">
            <v>Stockist</v>
          </cell>
          <cell r="G418">
            <v>35</v>
          </cell>
          <cell r="K418">
            <v>3</v>
          </cell>
          <cell r="M418">
            <v>4</v>
          </cell>
          <cell r="N418">
            <v>2</v>
          </cell>
          <cell r="O418">
            <v>14</v>
          </cell>
          <cell r="X418">
            <v>10</v>
          </cell>
          <cell r="Y418">
            <v>2</v>
          </cell>
          <cell r="AC418">
            <v>6758500</v>
          </cell>
        </row>
        <row r="419">
          <cell r="C419" t="str">
            <v>NTC2354</v>
          </cell>
          <cell r="E419" t="str">
            <v>Shehu Muazu - RME</v>
          </cell>
          <cell r="F419" t="str">
            <v>Stockist</v>
          </cell>
          <cell r="G419">
            <v>10</v>
          </cell>
          <cell r="J419">
            <v>1</v>
          </cell>
          <cell r="K419">
            <v>1</v>
          </cell>
          <cell r="O419">
            <v>2</v>
          </cell>
          <cell r="X419">
            <v>4</v>
          </cell>
          <cell r="Y419">
            <v>2</v>
          </cell>
          <cell r="AC419">
            <v>1879000</v>
          </cell>
        </row>
        <row r="420">
          <cell r="C420" t="str">
            <v>NTC2359</v>
          </cell>
          <cell r="E420" t="str">
            <v>Alh Tanimu Bako - RME</v>
          </cell>
          <cell r="F420" t="str">
            <v>Stockist</v>
          </cell>
          <cell r="G420">
            <v>10</v>
          </cell>
          <cell r="N420">
            <v>4</v>
          </cell>
          <cell r="O420">
            <v>1</v>
          </cell>
          <cell r="X420">
            <v>2</v>
          </cell>
          <cell r="Y420">
            <v>3</v>
          </cell>
          <cell r="AC420">
            <v>1330000</v>
          </cell>
        </row>
        <row r="421">
          <cell r="C421" t="str">
            <v>NTC2360</v>
          </cell>
          <cell r="E421" t="str">
            <v>Ado Garba - RME</v>
          </cell>
          <cell r="F421" t="str">
            <v>Stockist</v>
          </cell>
          <cell r="G421">
            <v>10</v>
          </cell>
          <cell r="J421">
            <v>1</v>
          </cell>
          <cell r="K421">
            <v>1</v>
          </cell>
          <cell r="N421">
            <v>1</v>
          </cell>
          <cell r="O421">
            <v>2</v>
          </cell>
          <cell r="V421">
            <v>3</v>
          </cell>
          <cell r="X421">
            <v>1</v>
          </cell>
          <cell r="Y421">
            <v>1</v>
          </cell>
          <cell r="AC421">
            <v>1636000</v>
          </cell>
        </row>
        <row r="422">
          <cell r="C422" t="str">
            <v>NTC2380</v>
          </cell>
          <cell r="E422" t="str">
            <v>Vincen O Sunday - RME</v>
          </cell>
          <cell r="F422" t="str">
            <v>Stockist</v>
          </cell>
          <cell r="G422">
            <v>35</v>
          </cell>
          <cell r="J422">
            <v>5</v>
          </cell>
          <cell r="K422">
            <v>5</v>
          </cell>
          <cell r="N422">
            <v>2</v>
          </cell>
          <cell r="O422">
            <v>3</v>
          </cell>
          <cell r="X422">
            <v>10</v>
          </cell>
          <cell r="Y422">
            <v>10</v>
          </cell>
          <cell r="AC422">
            <v>6087500</v>
          </cell>
        </row>
        <row r="423">
          <cell r="C423" t="str">
            <v>NTC2386</v>
          </cell>
          <cell r="E423" t="str">
            <v>Alh Aminu Na Masaudu - RME</v>
          </cell>
          <cell r="F423" t="str">
            <v>Partner</v>
          </cell>
          <cell r="G423">
            <v>40</v>
          </cell>
          <cell r="K423">
            <v>4</v>
          </cell>
          <cell r="M423">
            <v>4</v>
          </cell>
          <cell r="O423">
            <v>17</v>
          </cell>
          <cell r="X423">
            <v>13</v>
          </cell>
          <cell r="Y423">
            <v>2</v>
          </cell>
          <cell r="AC423">
            <v>8000000</v>
          </cell>
        </row>
        <row r="424">
          <cell r="C424" t="str">
            <v>NTC2388</v>
          </cell>
          <cell r="E424" t="str">
            <v>Nwaigwe Pius - RME</v>
          </cell>
          <cell r="F424" t="str">
            <v>Stockist</v>
          </cell>
          <cell r="G424">
            <v>10</v>
          </cell>
          <cell r="J424">
            <v>4</v>
          </cell>
          <cell r="K424">
            <v>1</v>
          </cell>
          <cell r="O424">
            <v>2</v>
          </cell>
          <cell r="X424">
            <v>2</v>
          </cell>
          <cell r="Y424">
            <v>1</v>
          </cell>
          <cell r="AC424">
            <v>2173000</v>
          </cell>
        </row>
        <row r="425">
          <cell r="C425" t="str">
            <v>NTC2403</v>
          </cell>
          <cell r="E425" t="str">
            <v>Alhaji Deeni - RME</v>
          </cell>
          <cell r="F425" t="str">
            <v>Partner</v>
          </cell>
          <cell r="G425">
            <v>35</v>
          </cell>
          <cell r="K425">
            <v>2</v>
          </cell>
          <cell r="M425">
            <v>1</v>
          </cell>
          <cell r="N425">
            <v>8</v>
          </cell>
          <cell r="O425">
            <v>8</v>
          </cell>
          <cell r="X425">
            <v>7</v>
          </cell>
          <cell r="Y425">
            <v>9</v>
          </cell>
          <cell r="AC425">
            <v>5475500</v>
          </cell>
        </row>
        <row r="426">
          <cell r="C426" t="str">
            <v>NTC2439</v>
          </cell>
          <cell r="E426" t="str">
            <v>Zayyanu Nasiru - RME</v>
          </cell>
          <cell r="F426" t="str">
            <v>Stockist</v>
          </cell>
          <cell r="G426">
            <v>10</v>
          </cell>
          <cell r="N426">
            <v>4</v>
          </cell>
          <cell r="O426">
            <v>1</v>
          </cell>
          <cell r="X426">
            <v>1</v>
          </cell>
          <cell r="Y426">
            <v>4</v>
          </cell>
          <cell r="AC426">
            <v>1255000</v>
          </cell>
        </row>
        <row r="427">
          <cell r="C427" t="str">
            <v>NTC2450</v>
          </cell>
          <cell r="E427" t="str">
            <v>Usman Sule - RME</v>
          </cell>
          <cell r="F427" t="str">
            <v>Stockist</v>
          </cell>
          <cell r="G427">
            <v>10</v>
          </cell>
          <cell r="J427">
            <v>0.5</v>
          </cell>
          <cell r="K427">
            <v>0.4</v>
          </cell>
          <cell r="M427">
            <v>0.6</v>
          </cell>
          <cell r="N427">
            <v>3</v>
          </cell>
          <cell r="O427">
            <v>2</v>
          </cell>
          <cell r="V427">
            <v>0.5</v>
          </cell>
          <cell r="X427">
            <v>3</v>
          </cell>
          <cell r="AC427">
            <v>1676000</v>
          </cell>
        </row>
        <row r="428">
          <cell r="C428" t="str">
            <v>NTC2451</v>
          </cell>
          <cell r="E428" t="str">
            <v>Jamilu Ibrahim - RME</v>
          </cell>
          <cell r="F428" t="str">
            <v>Stockist</v>
          </cell>
          <cell r="G428">
            <v>10</v>
          </cell>
          <cell r="J428">
            <v>0.5</v>
          </cell>
          <cell r="K428">
            <v>0.4</v>
          </cell>
          <cell r="M428">
            <v>0.6</v>
          </cell>
          <cell r="N428">
            <v>3</v>
          </cell>
          <cell r="O428">
            <v>2</v>
          </cell>
          <cell r="V428">
            <v>0.5</v>
          </cell>
          <cell r="X428">
            <v>3</v>
          </cell>
          <cell r="AC428">
            <v>1676000</v>
          </cell>
        </row>
        <row r="429">
          <cell r="C429" t="str">
            <v>NTC2497</v>
          </cell>
          <cell r="E429" t="str">
            <v>Alhaji Uba - RME</v>
          </cell>
          <cell r="F429" t="str">
            <v>Stockist</v>
          </cell>
          <cell r="G429">
            <v>10</v>
          </cell>
          <cell r="J429">
            <v>0.2</v>
          </cell>
          <cell r="K429">
            <v>1.2</v>
          </cell>
          <cell r="N429">
            <v>3</v>
          </cell>
          <cell r="O429">
            <v>0.3</v>
          </cell>
          <cell r="V429">
            <v>3</v>
          </cell>
          <cell r="X429">
            <v>0.3</v>
          </cell>
          <cell r="Y429">
            <v>2</v>
          </cell>
          <cell r="AC429">
            <v>1242600</v>
          </cell>
        </row>
        <row r="430">
          <cell r="C430" t="str">
            <v>NTC2498</v>
          </cell>
          <cell r="D430" t="str">
            <v>New</v>
          </cell>
          <cell r="E430" t="str">
            <v>Simon Zakaria - RME</v>
          </cell>
          <cell r="F430" t="str">
            <v>Partner</v>
          </cell>
          <cell r="G430">
            <v>35</v>
          </cell>
          <cell r="J430">
            <v>5</v>
          </cell>
          <cell r="K430">
            <v>4</v>
          </cell>
          <cell r="N430">
            <v>7</v>
          </cell>
          <cell r="O430">
            <v>5</v>
          </cell>
          <cell r="P430">
            <v>1</v>
          </cell>
          <cell r="V430">
            <v>5</v>
          </cell>
          <cell r="X430">
            <v>5</v>
          </cell>
          <cell r="Y430">
            <v>3</v>
          </cell>
          <cell r="AC430">
            <v>5942500</v>
          </cell>
        </row>
        <row r="431">
          <cell r="C431" t="str">
            <v>WCDA000809</v>
          </cell>
          <cell r="E431" t="str">
            <v>Alhaji Danlami Abdullahi</v>
          </cell>
          <cell r="F431" t="str">
            <v>Partner</v>
          </cell>
          <cell r="G431">
            <v>35</v>
          </cell>
          <cell r="J431">
            <v>1</v>
          </cell>
          <cell r="K431">
            <v>3</v>
          </cell>
          <cell r="M431">
            <v>4</v>
          </cell>
          <cell r="N431">
            <v>7</v>
          </cell>
          <cell r="O431">
            <v>6</v>
          </cell>
          <cell r="V431">
            <v>5</v>
          </cell>
          <cell r="X431">
            <v>9</v>
          </cell>
          <cell r="AC431">
            <v>5805500</v>
          </cell>
        </row>
        <row r="432">
          <cell r="C432" t="str">
            <v>WCDA004813</v>
          </cell>
          <cell r="D432" t="str">
            <v>New</v>
          </cell>
          <cell r="E432" t="str">
            <v>Aliyu Kamba</v>
          </cell>
          <cell r="F432" t="str">
            <v>Partner</v>
          </cell>
          <cell r="G432">
            <v>35</v>
          </cell>
          <cell r="J432">
            <v>5</v>
          </cell>
          <cell r="K432">
            <v>5</v>
          </cell>
          <cell r="N432">
            <v>2</v>
          </cell>
          <cell r="O432">
            <v>3</v>
          </cell>
          <cell r="X432">
            <v>10</v>
          </cell>
          <cell r="Y432">
            <v>10</v>
          </cell>
          <cell r="AC432">
            <v>6087500</v>
          </cell>
        </row>
        <row r="433">
          <cell r="C433" t="str">
            <v>WCDA004829</v>
          </cell>
          <cell r="E433" t="str">
            <v>ZAKI TAMBUWAL</v>
          </cell>
          <cell r="F433" t="str">
            <v>Partner</v>
          </cell>
          <cell r="G433">
            <v>35</v>
          </cell>
          <cell r="J433">
            <v>5</v>
          </cell>
          <cell r="K433">
            <v>5</v>
          </cell>
          <cell r="N433">
            <v>2</v>
          </cell>
          <cell r="O433">
            <v>3</v>
          </cell>
          <cell r="X433">
            <v>10</v>
          </cell>
          <cell r="Y433">
            <v>10</v>
          </cell>
          <cell r="AC433">
            <v>6087500</v>
          </cell>
        </row>
        <row r="434">
          <cell r="C434" t="str">
            <v>WCDA004831</v>
          </cell>
          <cell r="E434" t="str">
            <v>Aminu Bitchi (Stockist)</v>
          </cell>
          <cell r="F434" t="str">
            <v>Partner</v>
          </cell>
          <cell r="G434">
            <v>35</v>
          </cell>
          <cell r="J434">
            <v>1</v>
          </cell>
          <cell r="K434">
            <v>3</v>
          </cell>
          <cell r="M434">
            <v>4</v>
          </cell>
          <cell r="N434">
            <v>7</v>
          </cell>
          <cell r="O434">
            <v>6</v>
          </cell>
          <cell r="V434">
            <v>5</v>
          </cell>
          <cell r="X434">
            <v>9</v>
          </cell>
          <cell r="AC434">
            <v>5805500</v>
          </cell>
        </row>
        <row r="435">
          <cell r="C435" t="str">
            <v>NTC1193</v>
          </cell>
          <cell r="E435" t="str">
            <v>Alh Nura Abubakar (RME)</v>
          </cell>
          <cell r="F435" t="str">
            <v>Partner</v>
          </cell>
          <cell r="G435">
            <v>10</v>
          </cell>
          <cell r="J435">
            <v>4</v>
          </cell>
          <cell r="K435">
            <v>1</v>
          </cell>
          <cell r="O435">
            <v>2</v>
          </cell>
          <cell r="X435">
            <v>2</v>
          </cell>
          <cell r="Y435">
            <v>1</v>
          </cell>
          <cell r="AC435">
            <v>2173000</v>
          </cell>
        </row>
        <row r="436">
          <cell r="C436" t="str">
            <v>WCDA004814</v>
          </cell>
          <cell r="E436" t="str">
            <v>Lawali Kangiwa</v>
          </cell>
          <cell r="F436" t="str">
            <v>Partner</v>
          </cell>
          <cell r="G436">
            <v>35</v>
          </cell>
          <cell r="J436">
            <v>5</v>
          </cell>
          <cell r="K436">
            <v>5</v>
          </cell>
          <cell r="N436">
            <v>2</v>
          </cell>
          <cell r="O436">
            <v>3</v>
          </cell>
          <cell r="X436">
            <v>10</v>
          </cell>
          <cell r="Y436">
            <v>10</v>
          </cell>
          <cell r="AC436">
            <v>6087500</v>
          </cell>
        </row>
        <row r="437">
          <cell r="C437" t="str">
            <v>NTC2342</v>
          </cell>
          <cell r="E437" t="str">
            <v>Gambo Abdullahi Dakare - RME</v>
          </cell>
          <cell r="F437" t="str">
            <v>stockist</v>
          </cell>
          <cell r="G437">
            <v>15</v>
          </cell>
          <cell r="N437">
            <v>3</v>
          </cell>
          <cell r="O437">
            <v>5</v>
          </cell>
          <cell r="X437">
            <v>6</v>
          </cell>
          <cell r="Y437">
            <v>1</v>
          </cell>
          <cell r="AC437">
            <v>2683500</v>
          </cell>
        </row>
        <row r="438">
          <cell r="C438" t="str">
            <v>NTC0048</v>
          </cell>
          <cell r="E438" t="str">
            <v>Danladi Gaiya</v>
          </cell>
          <cell r="F438" t="str">
            <v>Partner</v>
          </cell>
          <cell r="G438">
            <v>35</v>
          </cell>
          <cell r="J438">
            <v>1</v>
          </cell>
          <cell r="K438">
            <v>4</v>
          </cell>
          <cell r="M438">
            <v>4</v>
          </cell>
          <cell r="N438">
            <v>8</v>
          </cell>
          <cell r="O438">
            <v>6</v>
          </cell>
          <cell r="V438">
            <v>3</v>
          </cell>
          <cell r="X438">
            <v>9</v>
          </cell>
          <cell r="AC438">
            <v>5849500</v>
          </cell>
        </row>
        <row r="439">
          <cell r="C439" t="str">
            <v>NTC0758</v>
          </cell>
          <cell r="E439" t="str">
            <v>NURA BASHIR</v>
          </cell>
          <cell r="F439" t="str">
            <v>Partner</v>
          </cell>
          <cell r="G439">
            <v>0</v>
          </cell>
          <cell r="AC439">
            <v>0</v>
          </cell>
        </row>
        <row r="440">
          <cell r="C440" t="str">
            <v>NTC2239</v>
          </cell>
          <cell r="E440" t="str">
            <v>SAADU HASSAN</v>
          </cell>
          <cell r="F440" t="str">
            <v>Partner</v>
          </cell>
          <cell r="G440">
            <v>35</v>
          </cell>
          <cell r="J440">
            <v>1</v>
          </cell>
          <cell r="K440">
            <v>4</v>
          </cell>
          <cell r="M440">
            <v>4</v>
          </cell>
          <cell r="N440">
            <v>8</v>
          </cell>
          <cell r="O440">
            <v>6</v>
          </cell>
          <cell r="V440">
            <v>3</v>
          </cell>
          <cell r="X440">
            <v>9</v>
          </cell>
          <cell r="AC440">
            <v>5849500</v>
          </cell>
        </row>
        <row r="441">
          <cell r="C441" t="str">
            <v>NTC1876</v>
          </cell>
          <cell r="E441" t="str">
            <v>Istafanu Paulka</v>
          </cell>
          <cell r="F441" t="str">
            <v>Stockist</v>
          </cell>
          <cell r="G441">
            <v>50</v>
          </cell>
          <cell r="J441">
            <v>2</v>
          </cell>
          <cell r="K441">
            <v>3</v>
          </cell>
          <cell r="N441">
            <v>10</v>
          </cell>
          <cell r="O441">
            <v>4</v>
          </cell>
          <cell r="V441">
            <v>15</v>
          </cell>
          <cell r="W441">
            <v>1</v>
          </cell>
          <cell r="X441">
            <v>5</v>
          </cell>
          <cell r="Y441">
            <v>10</v>
          </cell>
          <cell r="AC441">
            <v>6820000</v>
          </cell>
        </row>
        <row r="442">
          <cell r="C442" t="str">
            <v>NTC2361</v>
          </cell>
          <cell r="E442" t="str">
            <v>Abubakar Buba - RME</v>
          </cell>
          <cell r="F442" t="str">
            <v>Stockist</v>
          </cell>
          <cell r="G442">
            <v>10</v>
          </cell>
          <cell r="K442">
            <v>0.3</v>
          </cell>
          <cell r="N442">
            <v>3</v>
          </cell>
          <cell r="O442">
            <v>0.5</v>
          </cell>
          <cell r="V442">
            <v>5</v>
          </cell>
          <cell r="X442">
            <v>0.2</v>
          </cell>
          <cell r="Y442">
            <v>1</v>
          </cell>
          <cell r="AC442">
            <v>1173100</v>
          </cell>
        </row>
        <row r="443">
          <cell r="C443" t="str">
            <v>NTC1864</v>
          </cell>
          <cell r="E443" t="str">
            <v xml:space="preserve">  Alh Rabiu Bodinga (RME)</v>
          </cell>
          <cell r="F443" t="str">
            <v>Stockist</v>
          </cell>
          <cell r="G443">
            <v>10</v>
          </cell>
          <cell r="J443">
            <v>1</v>
          </cell>
          <cell r="K443">
            <v>1</v>
          </cell>
          <cell r="O443">
            <v>2</v>
          </cell>
          <cell r="X443">
            <v>4</v>
          </cell>
          <cell r="Y443">
            <v>2</v>
          </cell>
          <cell r="AC443">
            <v>1879000</v>
          </cell>
        </row>
        <row r="444">
          <cell r="C444" t="str">
            <v>MBC001344</v>
          </cell>
          <cell r="E444" t="str">
            <v>Mallam Nafiu</v>
          </cell>
          <cell r="F444" t="str">
            <v>Stockist</v>
          </cell>
          <cell r="G444">
            <v>20</v>
          </cell>
          <cell r="J444">
            <v>1</v>
          </cell>
          <cell r="K444">
            <v>2</v>
          </cell>
          <cell r="M444">
            <v>0.5</v>
          </cell>
          <cell r="N444">
            <v>5</v>
          </cell>
          <cell r="O444">
            <v>3.5</v>
          </cell>
          <cell r="V444">
            <v>5</v>
          </cell>
          <cell r="W444">
            <v>1</v>
          </cell>
          <cell r="X444">
            <v>2</v>
          </cell>
          <cell r="AC444">
            <v>3042500</v>
          </cell>
        </row>
        <row r="445">
          <cell r="C445" t="str">
            <v>MBC001605</v>
          </cell>
          <cell r="E445" t="str">
            <v>Braima chigari(RME)</v>
          </cell>
          <cell r="F445" t="str">
            <v>Stockist</v>
          </cell>
          <cell r="G445">
            <v>10</v>
          </cell>
          <cell r="J445">
            <v>1</v>
          </cell>
          <cell r="K445">
            <v>1</v>
          </cell>
          <cell r="N445">
            <v>3</v>
          </cell>
          <cell r="O445">
            <v>1</v>
          </cell>
          <cell r="V445">
            <v>3</v>
          </cell>
          <cell r="X445">
            <v>1</v>
          </cell>
          <cell r="AC445">
            <v>1483000</v>
          </cell>
        </row>
        <row r="446">
          <cell r="C446" t="str">
            <v>MBC003432</v>
          </cell>
          <cell r="E446" t="str">
            <v>Danbaba Gombi - RME</v>
          </cell>
          <cell r="F446" t="str">
            <v>Stockist</v>
          </cell>
          <cell r="G446">
            <v>28</v>
          </cell>
          <cell r="J446">
            <v>0.5</v>
          </cell>
          <cell r="K446">
            <v>3.5</v>
          </cell>
          <cell r="M446">
            <v>0.5</v>
          </cell>
          <cell r="N446">
            <v>5</v>
          </cell>
          <cell r="O446">
            <v>3.5</v>
          </cell>
          <cell r="V446">
            <v>10</v>
          </cell>
          <cell r="W446">
            <v>1</v>
          </cell>
          <cell r="X446">
            <v>4</v>
          </cell>
          <cell r="AC446">
            <v>4119500</v>
          </cell>
        </row>
        <row r="447">
          <cell r="C447" t="str">
            <v>MBC003438</v>
          </cell>
          <cell r="E447" t="str">
            <v>Maulud Guyuk - RME</v>
          </cell>
          <cell r="F447" t="str">
            <v>Stockist</v>
          </cell>
          <cell r="G447">
            <v>10</v>
          </cell>
          <cell r="J447">
            <v>1</v>
          </cell>
          <cell r="K447">
            <v>1</v>
          </cell>
          <cell r="N447">
            <v>3</v>
          </cell>
          <cell r="O447">
            <v>1</v>
          </cell>
          <cell r="V447">
            <v>3</v>
          </cell>
          <cell r="X447">
            <v>1</v>
          </cell>
          <cell r="AC447">
            <v>1483000</v>
          </cell>
        </row>
        <row r="448">
          <cell r="C448" t="str">
            <v>NTC2485</v>
          </cell>
          <cell r="E448" t="str">
            <v>ACCA PROVISION STORES - RME</v>
          </cell>
          <cell r="F448" t="str">
            <v>Stockist</v>
          </cell>
          <cell r="G448">
            <v>10</v>
          </cell>
          <cell r="J448">
            <v>0.5</v>
          </cell>
          <cell r="K448">
            <v>0.4</v>
          </cell>
          <cell r="M448">
            <v>0.6</v>
          </cell>
          <cell r="N448">
            <v>3</v>
          </cell>
          <cell r="O448">
            <v>2</v>
          </cell>
          <cell r="V448">
            <v>0.5</v>
          </cell>
          <cell r="X448">
            <v>3</v>
          </cell>
          <cell r="AC448">
            <v>1676000</v>
          </cell>
        </row>
        <row r="449">
          <cell r="C449" t="str">
            <v>NTC2520</v>
          </cell>
          <cell r="E449" t="str">
            <v>A,G.K Provision Store</v>
          </cell>
          <cell r="F449" t="str">
            <v>Stockiest</v>
          </cell>
          <cell r="G449">
            <v>10</v>
          </cell>
          <cell r="J449">
            <v>0.5</v>
          </cell>
          <cell r="K449">
            <v>0.4</v>
          </cell>
          <cell r="M449">
            <v>0.6</v>
          </cell>
          <cell r="N449">
            <v>3</v>
          </cell>
          <cell r="O449">
            <v>2</v>
          </cell>
          <cell r="V449">
            <v>0.5</v>
          </cell>
          <cell r="X449">
            <v>3</v>
          </cell>
          <cell r="AC449">
            <v>1676000</v>
          </cell>
        </row>
        <row r="450">
          <cell r="C450" t="str">
            <v>NTC2515</v>
          </cell>
          <cell r="E450" t="str">
            <v>Isamaila Umaru-Maiha</v>
          </cell>
          <cell r="F450" t="str">
            <v>Stockist</v>
          </cell>
          <cell r="G450">
            <v>20</v>
          </cell>
          <cell r="J450">
            <v>0.5</v>
          </cell>
          <cell r="K450">
            <v>0.5</v>
          </cell>
          <cell r="N450">
            <v>5</v>
          </cell>
          <cell r="O450">
            <v>0.5</v>
          </cell>
          <cell r="V450">
            <v>10</v>
          </cell>
          <cell r="X450">
            <v>0.5</v>
          </cell>
          <cell r="Y450">
            <v>3</v>
          </cell>
          <cell r="AC450">
            <v>2381000</v>
          </cell>
        </row>
        <row r="451">
          <cell r="C451" t="str">
            <v>NTC2527</v>
          </cell>
          <cell r="E451" t="str">
            <v>Sini Yawate</v>
          </cell>
          <cell r="F451" t="str">
            <v>Probation</v>
          </cell>
          <cell r="G451">
            <v>10</v>
          </cell>
          <cell r="J451">
            <v>0.5</v>
          </cell>
          <cell r="K451">
            <v>0.5</v>
          </cell>
          <cell r="N451">
            <v>3</v>
          </cell>
          <cell r="O451">
            <v>0.5</v>
          </cell>
          <cell r="V451">
            <v>4</v>
          </cell>
          <cell r="X451">
            <v>0.5</v>
          </cell>
          <cell r="Y451">
            <v>1</v>
          </cell>
          <cell r="AC451">
            <v>1282000</v>
          </cell>
        </row>
        <row r="452">
          <cell r="C452" t="str">
            <v>NTC2537</v>
          </cell>
          <cell r="E452" t="str">
            <v>Luka Kwache</v>
          </cell>
          <cell r="F452" t="str">
            <v>Probation</v>
          </cell>
          <cell r="G452">
            <v>10</v>
          </cell>
          <cell r="J452">
            <v>0.5</v>
          </cell>
          <cell r="K452">
            <v>0.5</v>
          </cell>
          <cell r="N452">
            <v>3</v>
          </cell>
          <cell r="O452">
            <v>0.5</v>
          </cell>
          <cell r="V452">
            <v>4</v>
          </cell>
          <cell r="X452">
            <v>0.5</v>
          </cell>
          <cell r="Y452">
            <v>1</v>
          </cell>
          <cell r="AC452">
            <v>1282000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rban"/>
      <sheetName val="Rural"/>
      <sheetName val="Prices"/>
    </sheetNames>
    <sheetDataSet>
      <sheetData sheetId="0" refreshError="1"/>
      <sheetData sheetId="1"/>
      <sheetData sheetId="2">
        <row r="3">
          <cell r="E3" t="str">
            <v>Brand</v>
          </cell>
          <cell r="F3" t="str">
            <v>Case Price</v>
          </cell>
          <cell r="J3" t="str">
            <v>Brand</v>
          </cell>
          <cell r="K3" t="str">
            <v>Case Price</v>
          </cell>
        </row>
        <row r="4">
          <cell r="E4" t="str">
            <v>B &amp; H Switch</v>
          </cell>
          <cell r="F4">
            <v>261000</v>
          </cell>
          <cell r="J4" t="str">
            <v>B &amp; H Switch</v>
          </cell>
          <cell r="K4">
            <v>261500</v>
          </cell>
        </row>
        <row r="5">
          <cell r="E5" t="str">
            <v>Rothmans Switch</v>
          </cell>
          <cell r="F5">
            <v>175000</v>
          </cell>
          <cell r="J5" t="str">
            <v>Rothmans Switch</v>
          </cell>
          <cell r="K5">
            <v>175500</v>
          </cell>
        </row>
        <row r="6">
          <cell r="E6" t="str">
            <v>Benson &amp; Hedges Boost</v>
          </cell>
          <cell r="F6">
            <v>175000</v>
          </cell>
          <cell r="J6" t="str">
            <v>Benson &amp; Hedges Boost</v>
          </cell>
          <cell r="K6">
            <v>175500</v>
          </cell>
        </row>
        <row r="7">
          <cell r="E7" t="str">
            <v>Benson &amp; Hedges Demi-Slims</v>
          </cell>
          <cell r="F7">
            <v>175000</v>
          </cell>
          <cell r="J7" t="str">
            <v>Benson &amp; Hedges Demi-Slims</v>
          </cell>
          <cell r="K7">
            <v>175500</v>
          </cell>
        </row>
        <row r="8">
          <cell r="E8" t="str">
            <v>Benson &amp; Hedges Flavour</v>
          </cell>
          <cell r="F8">
            <v>230000</v>
          </cell>
          <cell r="J8" t="str">
            <v>Benson &amp; Hedges Flavour</v>
          </cell>
          <cell r="K8">
            <v>230500</v>
          </cell>
        </row>
        <row r="9">
          <cell r="E9" t="str">
            <v>Dunhill Switch</v>
          </cell>
          <cell r="F9">
            <v>261000</v>
          </cell>
          <cell r="J9" t="str">
            <v>Dunhill Switch</v>
          </cell>
          <cell r="K9">
            <v>261500</v>
          </cell>
        </row>
        <row r="10">
          <cell r="E10" t="str">
            <v>ST Moritz By Dunhill</v>
          </cell>
          <cell r="F10">
            <v>186000</v>
          </cell>
          <cell r="J10" t="str">
            <v>ST Moritz By Dunhill</v>
          </cell>
          <cell r="K10">
            <v>186500</v>
          </cell>
        </row>
        <row r="11">
          <cell r="E11" t="str">
            <v>Rothmans Menthol</v>
          </cell>
          <cell r="F11">
            <v>144000</v>
          </cell>
          <cell r="J11" t="str">
            <v>Rothmans Menthol</v>
          </cell>
          <cell r="K11">
            <v>144500</v>
          </cell>
        </row>
        <row r="12">
          <cell r="E12" t="str">
            <v>Pall Mall Filter</v>
          </cell>
          <cell r="F12">
            <v>113000</v>
          </cell>
          <cell r="J12" t="str">
            <v>Pall Mall Filter</v>
          </cell>
          <cell r="K12">
            <v>113500</v>
          </cell>
        </row>
        <row r="13">
          <cell r="E13" t="str">
            <v>Pall Mall Menthol</v>
          </cell>
          <cell r="F13">
            <v>113000</v>
          </cell>
          <cell r="J13" t="str">
            <v>Pall Mall Menthol</v>
          </cell>
          <cell r="K13">
            <v>113500</v>
          </cell>
        </row>
        <row r="14">
          <cell r="E14" t="str">
            <v>Rothmans Flavour</v>
          </cell>
          <cell r="F14">
            <v>188000</v>
          </cell>
          <cell r="J14" t="str">
            <v>Rothmans Flavour</v>
          </cell>
          <cell r="K14">
            <v>188500</v>
          </cell>
        </row>
        <row r="15">
          <cell r="E15" t="str">
            <v>Royal  Std Filter</v>
          </cell>
          <cell r="F15">
            <v>113000</v>
          </cell>
          <cell r="J15" t="str">
            <v>Royal  Std Filter</v>
          </cell>
          <cell r="K15">
            <v>113500</v>
          </cell>
        </row>
        <row r="16">
          <cell r="E16" t="str">
            <v>Pall Mall - Excel Blend</v>
          </cell>
          <cell r="F16">
            <v>95000</v>
          </cell>
          <cell r="J16" t="str">
            <v>Pall Mall - Excel Blend</v>
          </cell>
          <cell r="K16">
            <v>95500</v>
          </cell>
        </row>
        <row r="17">
          <cell r="E17" t="str">
            <v>Pall Mall Boost</v>
          </cell>
          <cell r="F17">
            <v>104500</v>
          </cell>
          <cell r="J17" t="str">
            <v>Pall Mall Boost</v>
          </cell>
          <cell r="K17">
            <v>105000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336"/>
  <sheetViews>
    <sheetView showGridLines="0" tabSelected="1" zoomScale="80" zoomScaleNormal="80" workbookViewId="0">
      <pane xSplit="13" ySplit="2" topLeftCell="N3" activePane="bottomRight" state="frozen"/>
      <selection pane="topRight" activeCell="N1" sqref="N1"/>
      <selection pane="bottomLeft" activeCell="A3" sqref="A3"/>
      <selection pane="bottomRight" activeCell="AH338" sqref="AH338"/>
    </sheetView>
  </sheetViews>
  <sheetFormatPr defaultColWidth="9.08984375" defaultRowHeight="14.5" outlineLevelCol="1"/>
  <cols>
    <col min="1" max="1" width="7.36328125" style="7" customWidth="1"/>
    <col min="2" max="2" width="17.6328125" style="1" hidden="1" customWidth="1"/>
    <col min="3" max="3" width="0" style="1" hidden="1" customWidth="1"/>
    <col min="4" max="4" width="15.36328125" style="1" hidden="1" customWidth="1"/>
    <col min="5" max="5" width="14.36328125" style="1" hidden="1" customWidth="1"/>
    <col min="6" max="6" width="13.6328125" style="1" hidden="1" customWidth="1"/>
    <col min="7" max="7" width="16.08984375" style="1" hidden="1" customWidth="1"/>
    <col min="8" max="8" width="15.90625" style="1" hidden="1" customWidth="1"/>
    <col min="9" max="9" width="25.36328125" style="22" customWidth="1"/>
    <col min="10" max="10" width="7.08984375" style="22" customWidth="1"/>
    <col min="11" max="11" width="8.36328125" style="1" customWidth="1"/>
    <col min="12" max="12" width="11.54296875" style="1" customWidth="1"/>
    <col min="13" max="13" width="18.08984375" style="2" customWidth="1"/>
    <col min="14" max="14" width="11.6328125" style="44" customWidth="1"/>
    <col min="15" max="28" width="16.08984375" style="2" customWidth="1" outlineLevel="1"/>
    <col min="29" max="29" width="18.08984375" style="2" customWidth="1"/>
    <col min="30" max="30" width="20.6328125" style="2" customWidth="1"/>
    <col min="31" max="32" width="21.453125" style="2" hidden="1" customWidth="1"/>
    <col min="33" max="33" width="16.08984375" style="1" customWidth="1"/>
    <col min="34" max="34" width="18.453125" style="1" customWidth="1"/>
    <col min="35" max="35" width="12.36328125" style="22" hidden="1" customWidth="1"/>
    <col min="36" max="36" width="13.453125" style="22" customWidth="1"/>
    <col min="37" max="37" width="58.453125" style="1" customWidth="1"/>
    <col min="38" max="16384" width="9.08984375" style="1"/>
  </cols>
  <sheetData>
    <row r="1" spans="1:37" ht="15" thickBot="1">
      <c r="A1" s="8">
        <v>0</v>
      </c>
      <c r="B1" s="95" t="s">
        <v>15</v>
      </c>
      <c r="C1" s="96"/>
      <c r="D1" s="96"/>
      <c r="E1" s="96"/>
      <c r="F1" s="96"/>
      <c r="G1" s="96"/>
      <c r="H1" s="97"/>
      <c r="M1" s="17" t="s">
        <v>16</v>
      </c>
      <c r="N1" s="42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17"/>
      <c r="AD1" s="17" t="s">
        <v>16</v>
      </c>
      <c r="AE1" s="17"/>
      <c r="AF1" s="17"/>
      <c r="AG1" s="17" t="s">
        <v>16</v>
      </c>
      <c r="AH1" s="17" t="s">
        <v>16</v>
      </c>
    </row>
    <row r="2" spans="1:37" ht="58.5" thickBot="1">
      <c r="A2" s="6" t="s">
        <v>3</v>
      </c>
      <c r="B2" s="11" t="s">
        <v>9</v>
      </c>
      <c r="C2" s="11" t="s">
        <v>10</v>
      </c>
      <c r="D2" s="11" t="s">
        <v>1</v>
      </c>
      <c r="E2" s="11" t="s">
        <v>11</v>
      </c>
      <c r="F2" s="11" t="s">
        <v>12</v>
      </c>
      <c r="G2" s="11" t="s">
        <v>13</v>
      </c>
      <c r="H2" s="11" t="s">
        <v>14</v>
      </c>
      <c r="I2" s="63" t="s">
        <v>2</v>
      </c>
      <c r="J2" s="63" t="s">
        <v>1386</v>
      </c>
      <c r="K2" s="64" t="s">
        <v>0</v>
      </c>
      <c r="L2" s="64" t="s">
        <v>1</v>
      </c>
      <c r="M2" s="65" t="s">
        <v>1503</v>
      </c>
      <c r="N2" s="65" t="s">
        <v>6</v>
      </c>
      <c r="O2" s="58" t="s">
        <v>1480</v>
      </c>
      <c r="P2" s="58" t="s">
        <v>1481</v>
      </c>
      <c r="Q2" s="58" t="s">
        <v>1482</v>
      </c>
      <c r="R2" s="58" t="s">
        <v>1483</v>
      </c>
      <c r="S2" s="58" t="s">
        <v>1484</v>
      </c>
      <c r="T2" s="58" t="s">
        <v>1485</v>
      </c>
      <c r="U2" s="58" t="s">
        <v>1486</v>
      </c>
      <c r="V2" s="58" t="s">
        <v>1487</v>
      </c>
      <c r="W2" s="58" t="s">
        <v>1488</v>
      </c>
      <c r="X2" s="58" t="s">
        <v>1489</v>
      </c>
      <c r="Y2" s="58" t="s">
        <v>1490</v>
      </c>
      <c r="Z2" s="58" t="s">
        <v>1491</v>
      </c>
      <c r="AA2" s="58" t="s">
        <v>1492</v>
      </c>
      <c r="AB2" s="58" t="s">
        <v>1493</v>
      </c>
      <c r="AC2" s="58" t="s">
        <v>1504</v>
      </c>
      <c r="AD2" s="64" t="s">
        <v>1505</v>
      </c>
      <c r="AE2" s="59" t="s">
        <v>1506</v>
      </c>
      <c r="AF2" s="59" t="s">
        <v>17</v>
      </c>
      <c r="AG2" s="56" t="s">
        <v>4</v>
      </c>
      <c r="AH2" s="60" t="s">
        <v>1502</v>
      </c>
      <c r="AI2" s="27" t="s">
        <v>7</v>
      </c>
      <c r="AJ2" s="23" t="s">
        <v>8</v>
      </c>
      <c r="AK2" s="10" t="s">
        <v>5</v>
      </c>
    </row>
    <row r="3" spans="1:37" hidden="1">
      <c r="A3" s="3">
        <v>1</v>
      </c>
      <c r="B3" s="12"/>
      <c r="C3" s="13"/>
      <c r="D3" s="13"/>
      <c r="E3" s="13"/>
      <c r="F3" s="13"/>
      <c r="G3" s="13"/>
      <c r="H3" s="28"/>
      <c r="I3" s="24" t="s">
        <v>21</v>
      </c>
      <c r="J3" s="24" t="s">
        <v>1387</v>
      </c>
      <c r="K3" s="26" t="s">
        <v>652</v>
      </c>
      <c r="L3" s="26" t="s">
        <v>337</v>
      </c>
      <c r="M3" s="66">
        <f>IFERROR(VLOOKUP($L3,[1]Consolidated!$C$9:$AC$341,27,0),0)</f>
        <v>17643000</v>
      </c>
      <c r="N3" s="66">
        <f>IFERROR(VLOOKUP($L3,[1]Consolidated!$C$9:$AC$341,5,0),0)</f>
        <v>80</v>
      </c>
      <c r="O3" s="5">
        <v>0</v>
      </c>
      <c r="P3" s="5"/>
      <c r="Q3" s="5"/>
      <c r="R3" s="5"/>
      <c r="S3" s="5"/>
      <c r="T3" s="5"/>
      <c r="U3" s="5"/>
      <c r="V3" s="5"/>
      <c r="W3" s="5"/>
      <c r="X3" s="5">
        <v>0</v>
      </c>
      <c r="Y3" s="5"/>
      <c r="Z3" s="5"/>
      <c r="AA3" s="5"/>
      <c r="AB3" s="5"/>
      <c r="AC3" s="4">
        <f>(VLOOKUP($O$2,Prices!$E$3:$F$17,2,FALSE)*Urban!O3)+(VLOOKUP($P$2,Prices!$E$3:$F$17,2,FALSE)*Urban!P3)+(VLOOKUP($Q$2,Prices!$E$3:$F$17,2,FALSE)*Urban!Q3)+(VLOOKUP($R$2,Prices!$E$3:$F$17,2,FALSE)*Urban!R3)+(VLOOKUP($S$2,Prices!$E$3:$F$17,2,FALSE)*Urban!S3)+(VLOOKUP($T$2,Prices!$E$3:$F$17,2,FALSE)*Urban!T3)+(VLOOKUP($U$2,Prices!$E$3:$F$17,2,FALSE)*Urban!U3)+(VLOOKUP($V$2,Prices!$E$3:$F$17,2,FALSE)*Urban!V3)+(VLOOKUP($W$2,Prices!$E$3:$F$17,2,FALSE)*Urban!W3)+(VLOOKUP($X$2,Prices!$E$3:$F$17,2,FALSE)*Urban!X3)+(VLOOKUP($Y$2,Prices!$E$3:$F$17,2,FALSE)*Urban!Y3)+(VLOOKUP($Z$2,Prices!$E$3:$F$17,2,FALSE)*Urban!Z3)+(VLOOKUP($AA$2,Prices!$E$3:$F$17,2,FALSE)*Urban!AA3)+(VLOOKUP($AB$2,Prices!$E$3:$F$17,2,FALSE)*Urban!AB3)+M3</f>
        <v>17643000</v>
      </c>
      <c r="AD3" s="69">
        <v>6172650</v>
      </c>
      <c r="AE3" s="18"/>
      <c r="AF3" s="4">
        <f t="shared" ref="AF3:AF66" si="0">AD3-AE3</f>
        <v>6172650</v>
      </c>
      <c r="AG3" s="4">
        <v>0</v>
      </c>
      <c r="AH3" s="16">
        <f t="shared" ref="AH3:AH66" si="1">AD3+AG3</f>
        <v>6172650</v>
      </c>
      <c r="AI3" s="21">
        <f t="shared" ref="AI3:AI66" si="2">AH3/M3</f>
        <v>0.34986396871280395</v>
      </c>
      <c r="AJ3" s="20">
        <f t="shared" ref="AJ3:AJ66" si="3">AH3/AC3</f>
        <v>0.34986396871280395</v>
      </c>
      <c r="AK3" s="19"/>
    </row>
    <row r="4" spans="1:37" hidden="1">
      <c r="A4" s="3">
        <v>2</v>
      </c>
      <c r="B4" s="12"/>
      <c r="C4" s="13"/>
      <c r="D4" s="13"/>
      <c r="E4" s="13"/>
      <c r="F4" s="13"/>
      <c r="G4" s="13"/>
      <c r="H4" s="28"/>
      <c r="I4" s="24" t="s">
        <v>22</v>
      </c>
      <c r="J4" s="24" t="s">
        <v>1387</v>
      </c>
      <c r="K4" s="26" t="s">
        <v>652</v>
      </c>
      <c r="L4" s="26" t="s">
        <v>338</v>
      </c>
      <c r="M4" s="66">
        <f>IFERROR(VLOOKUP($L4,[1]Consolidated!$C$9:$AC$341,27,0),0)</f>
        <v>19740000</v>
      </c>
      <c r="N4" s="66">
        <f>IFERROR(VLOOKUP($L4,[1]Consolidated!$C$9:$AC$341,5,0),0)</f>
        <v>90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4">
        <f>(VLOOKUP($O$2,Prices!$E$3:$F$17,2,FALSE)*Urban!O4)+(VLOOKUP($P$2,Prices!$E$3:$F$17,2,FALSE)*Urban!P4)+(VLOOKUP($Q$2,Prices!$E$3:$F$17,2,FALSE)*Urban!Q4)+(VLOOKUP($R$2,Prices!$E$3:$F$17,2,FALSE)*Urban!R4)+(VLOOKUP($S$2,Prices!$E$3:$F$17,2,FALSE)*Urban!S4)+(VLOOKUP($T$2,Prices!$E$3:$F$17,2,FALSE)*Urban!T4)+(VLOOKUP($U$2,Prices!$E$3:$F$17,2,FALSE)*Urban!U4)+(VLOOKUP($V$2,Prices!$E$3:$F$17,2,FALSE)*Urban!V4)+(VLOOKUP($W$2,Prices!$E$3:$F$17,2,FALSE)*Urban!W4)+(VLOOKUP($X$2,Prices!$E$3:$F$17,2,FALSE)*Urban!X4)+(VLOOKUP($Y$2,Prices!$E$3:$F$17,2,FALSE)*Urban!Y4)+(VLOOKUP($Z$2,Prices!$E$3:$F$17,2,FALSE)*Urban!Z4)+(VLOOKUP($AA$2,Prices!$E$3:$F$17,2,FALSE)*Urban!AA4)+(VLOOKUP($AB$2,Prices!$E$3:$F$17,2,FALSE)*Urban!AB4)+M4</f>
        <v>19740000</v>
      </c>
      <c r="AD4" s="69">
        <v>6908670</v>
      </c>
      <c r="AE4" s="18"/>
      <c r="AF4" s="4">
        <f t="shared" si="0"/>
        <v>6908670</v>
      </c>
      <c r="AG4" s="4"/>
      <c r="AH4" s="16">
        <f t="shared" si="1"/>
        <v>6908670</v>
      </c>
      <c r="AI4" s="21">
        <f t="shared" si="2"/>
        <v>0.34998328267477202</v>
      </c>
      <c r="AJ4" s="20">
        <f t="shared" si="3"/>
        <v>0.34998328267477202</v>
      </c>
      <c r="AK4" s="9"/>
    </row>
    <row r="5" spans="1:37" hidden="1">
      <c r="A5" s="3">
        <v>3</v>
      </c>
      <c r="B5" s="12"/>
      <c r="C5" s="13"/>
      <c r="D5" s="13"/>
      <c r="E5" s="13"/>
      <c r="F5" s="13"/>
      <c r="G5" s="13"/>
      <c r="H5" s="28"/>
      <c r="I5" s="24" t="s">
        <v>23</v>
      </c>
      <c r="J5" s="24" t="s">
        <v>1387</v>
      </c>
      <c r="K5" s="26" t="s">
        <v>652</v>
      </c>
      <c r="L5" s="26" t="s">
        <v>339</v>
      </c>
      <c r="M5" s="66">
        <f>IFERROR(VLOOKUP($L5,[1]Consolidated!$C$9:$AC$341,27,0),0)</f>
        <v>18900000</v>
      </c>
      <c r="N5" s="66">
        <f>IFERROR(VLOOKUP($L5,[1]Consolidated!$C$9:$AC$341,5,0),0)</f>
        <v>80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4">
        <f>(VLOOKUP($O$2,Prices!$E$3:$F$17,2,FALSE)*Urban!O5)+(VLOOKUP($P$2,Prices!$E$3:$F$17,2,FALSE)*Urban!P5)+(VLOOKUP($Q$2,Prices!$E$3:$F$17,2,FALSE)*Urban!Q5)+(VLOOKUP($R$2,Prices!$E$3:$F$17,2,FALSE)*Urban!R5)+(VLOOKUP($S$2,Prices!$E$3:$F$17,2,FALSE)*Urban!S5)+(VLOOKUP($T$2,Prices!$E$3:$F$17,2,FALSE)*Urban!T5)+(VLOOKUP($U$2,Prices!$E$3:$F$17,2,FALSE)*Urban!U5)+(VLOOKUP($V$2,Prices!$E$3:$F$17,2,FALSE)*Urban!V5)+(VLOOKUP($W$2,Prices!$E$3:$F$17,2,FALSE)*Urban!W5)+(VLOOKUP($X$2,Prices!$E$3:$F$17,2,FALSE)*Urban!X5)+(VLOOKUP($Y$2,Prices!$E$3:$F$17,2,FALSE)*Urban!Y5)+(VLOOKUP($Z$2,Prices!$E$3:$F$17,2,FALSE)*Urban!Z5)+(VLOOKUP($AA$2,Prices!$E$3:$F$17,2,FALSE)*Urban!AA5)+(VLOOKUP($AB$2,Prices!$E$3:$F$17,2,FALSE)*Urban!AB5)+M5</f>
        <v>18900000</v>
      </c>
      <c r="AD5" s="69">
        <v>6613740</v>
      </c>
      <c r="AE5" s="18"/>
      <c r="AF5" s="4">
        <f t="shared" si="0"/>
        <v>6613740</v>
      </c>
      <c r="AG5" s="4"/>
      <c r="AH5" s="16">
        <f t="shared" si="1"/>
        <v>6613740</v>
      </c>
      <c r="AI5" s="21">
        <f t="shared" si="2"/>
        <v>0.34993333333333332</v>
      </c>
      <c r="AJ5" s="20">
        <f t="shared" si="3"/>
        <v>0.34993333333333332</v>
      </c>
      <c r="AK5" s="9"/>
    </row>
    <row r="6" spans="1:37">
      <c r="A6" s="3">
        <v>4</v>
      </c>
      <c r="B6" s="12"/>
      <c r="C6" s="13"/>
      <c r="D6" s="13"/>
      <c r="E6" s="13"/>
      <c r="F6" s="13"/>
      <c r="G6" s="13"/>
      <c r="H6" s="28"/>
      <c r="I6" s="24" t="s">
        <v>24</v>
      </c>
      <c r="J6" s="24" t="s">
        <v>1387</v>
      </c>
      <c r="K6" s="26" t="s">
        <v>652</v>
      </c>
      <c r="L6" s="26" t="s">
        <v>340</v>
      </c>
      <c r="M6" s="66">
        <f>IFERROR(VLOOKUP($L6,[1]Consolidated!$C$9:$AC$341,27,0),0)</f>
        <v>20470000</v>
      </c>
      <c r="N6" s="66">
        <f>IFERROR(VLOOKUP($L6,[1]Consolidated!$C$9:$AC$341,5,0),0)</f>
        <v>90</v>
      </c>
      <c r="O6" s="5">
        <v>10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4">
        <f>(VLOOKUP($O$2,Prices!$E$3:$F$17,2,FALSE)*Urban!O6)+(VLOOKUP($P$2,Prices!$E$3:$F$17,2,FALSE)*Urban!P6)+(VLOOKUP($Q$2,Prices!$E$3:$F$17,2,FALSE)*Urban!Q6)+(VLOOKUP($R$2,Prices!$E$3:$F$17,2,FALSE)*Urban!R6)+(VLOOKUP($S$2,Prices!$E$3:$F$17,2,FALSE)*Urban!S6)+(VLOOKUP($T$2,Prices!$E$3:$F$17,2,FALSE)*Urban!T6)+(VLOOKUP($U$2,Prices!$E$3:$F$17,2,FALSE)*Urban!U6)+(VLOOKUP($V$2,Prices!$E$3:$F$17,2,FALSE)*Urban!V6)+(VLOOKUP($W$2,Prices!$E$3:$F$17,2,FALSE)*Urban!W6)+(VLOOKUP($X$2,Prices!$E$3:$F$17,2,FALSE)*Urban!X6)+(VLOOKUP($Y$2,Prices!$E$3:$F$17,2,FALSE)*Urban!Y6)+(VLOOKUP($Z$2,Prices!$E$3:$F$17,2,FALSE)*Urban!Z6)+(VLOOKUP($AA$2,Prices!$E$3:$F$17,2,FALSE)*Urban!AA6)+(VLOOKUP($AB$2,Prices!$E$3:$F$17,2,FALSE)*Urban!AB6)+M6</f>
        <v>23080000</v>
      </c>
      <c r="AD6" s="69">
        <v>7073100</v>
      </c>
      <c r="AE6" s="18"/>
      <c r="AF6" s="4">
        <f t="shared" si="0"/>
        <v>7073100</v>
      </c>
      <c r="AG6" s="4">
        <v>9000000</v>
      </c>
      <c r="AH6" s="16">
        <f t="shared" si="1"/>
        <v>16073100</v>
      </c>
      <c r="AI6" s="21">
        <f t="shared" si="2"/>
        <v>0.78520273571079624</v>
      </c>
      <c r="AJ6" s="20">
        <f t="shared" si="3"/>
        <v>0.69640814558058928</v>
      </c>
      <c r="AK6" s="9" t="s">
        <v>1510</v>
      </c>
    </row>
    <row r="7" spans="1:37" hidden="1">
      <c r="A7" s="3">
        <v>5</v>
      </c>
      <c r="B7" s="12"/>
      <c r="C7" s="13"/>
      <c r="D7" s="13"/>
      <c r="E7" s="13"/>
      <c r="F7" s="13"/>
      <c r="G7" s="13"/>
      <c r="H7" s="28"/>
      <c r="I7" s="24" t="s">
        <v>25</v>
      </c>
      <c r="J7" s="24" t="s">
        <v>1387</v>
      </c>
      <c r="K7" s="26" t="s">
        <v>652</v>
      </c>
      <c r="L7" s="26" t="s">
        <v>341</v>
      </c>
      <c r="M7" s="66">
        <f>IFERROR(VLOOKUP($L7,[1]Consolidated!$C$9:$AC$341,27,0),0)</f>
        <v>19740000</v>
      </c>
      <c r="N7" s="66">
        <f>IFERROR(VLOOKUP($L7,[1]Consolidated!$C$9:$AC$341,5,0),0)</f>
        <v>90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4">
        <f>(VLOOKUP($O$2,Prices!$E$3:$F$17,2,FALSE)*Urban!O7)+(VLOOKUP($P$2,Prices!$E$3:$F$17,2,FALSE)*Urban!P7)+(VLOOKUP($Q$2,Prices!$E$3:$F$17,2,FALSE)*Urban!Q7)+(VLOOKUP($R$2,Prices!$E$3:$F$17,2,FALSE)*Urban!R7)+(VLOOKUP($S$2,Prices!$E$3:$F$17,2,FALSE)*Urban!S7)+(VLOOKUP($T$2,Prices!$E$3:$F$17,2,FALSE)*Urban!T7)+(VLOOKUP($U$2,Prices!$E$3:$F$17,2,FALSE)*Urban!U7)+(VLOOKUP($V$2,Prices!$E$3:$F$17,2,FALSE)*Urban!V7)+(VLOOKUP($W$2,Prices!$E$3:$F$17,2,FALSE)*Urban!W7)+(VLOOKUP($X$2,Prices!$E$3:$F$17,2,FALSE)*Urban!X7)+(VLOOKUP($Y$2,Prices!$E$3:$F$17,2,FALSE)*Urban!Y7)+(VLOOKUP($Z$2,Prices!$E$3:$F$17,2,FALSE)*Urban!Z7)+(VLOOKUP($AA$2,Prices!$E$3:$F$17,2,FALSE)*Urban!AA7)+(VLOOKUP($AB$2,Prices!$E$3:$F$17,2,FALSE)*Urban!AB7)+M7</f>
        <v>19740000</v>
      </c>
      <c r="AD7" s="69">
        <v>6908670</v>
      </c>
      <c r="AE7" s="18"/>
      <c r="AF7" s="4">
        <f t="shared" si="0"/>
        <v>6908670</v>
      </c>
      <c r="AG7" s="4"/>
      <c r="AH7" s="16">
        <f t="shared" si="1"/>
        <v>6908670</v>
      </c>
      <c r="AI7" s="21">
        <f t="shared" si="2"/>
        <v>0.34998328267477202</v>
      </c>
      <c r="AJ7" s="20">
        <f t="shared" si="3"/>
        <v>0.34998328267477202</v>
      </c>
      <c r="AK7" s="9"/>
    </row>
    <row r="8" spans="1:37" hidden="1">
      <c r="A8" s="3">
        <v>6</v>
      </c>
      <c r="B8" s="12"/>
      <c r="C8" s="13"/>
      <c r="D8" s="13"/>
      <c r="E8" s="13"/>
      <c r="F8" s="13"/>
      <c r="G8" s="13"/>
      <c r="H8" s="28"/>
      <c r="I8" s="24" t="s">
        <v>26</v>
      </c>
      <c r="J8" s="24" t="s">
        <v>1387</v>
      </c>
      <c r="K8" s="26" t="s">
        <v>652</v>
      </c>
      <c r="L8" s="26" t="s">
        <v>342</v>
      </c>
      <c r="M8" s="66">
        <f>IFERROR(VLOOKUP($L8,[1]Consolidated!$C$9:$AC$341,27,0),0)</f>
        <v>0</v>
      </c>
      <c r="N8" s="66">
        <f>IFERROR(VLOOKUP($L8,[1]Consolidated!$C$9:$AC$341,5,0),0)</f>
        <v>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4">
        <f>(VLOOKUP($O$2,Prices!$E$3:$F$17,2,FALSE)*Urban!O8)+(VLOOKUP($P$2,Prices!$E$3:$F$17,2,FALSE)*Urban!P8)+(VLOOKUP($Q$2,Prices!$E$3:$F$17,2,FALSE)*Urban!Q8)+(VLOOKUP($R$2,Prices!$E$3:$F$17,2,FALSE)*Urban!R8)+(VLOOKUP($S$2,Prices!$E$3:$F$17,2,FALSE)*Urban!S8)+(VLOOKUP($T$2,Prices!$E$3:$F$17,2,FALSE)*Urban!T8)+(VLOOKUP($U$2,Prices!$E$3:$F$17,2,FALSE)*Urban!U8)+(VLOOKUP($V$2,Prices!$E$3:$F$17,2,FALSE)*Urban!V8)+(VLOOKUP($W$2,Prices!$E$3:$F$17,2,FALSE)*Urban!W8)+(VLOOKUP($X$2,Prices!$E$3:$F$17,2,FALSE)*Urban!X8)+(VLOOKUP($Y$2,Prices!$E$3:$F$17,2,FALSE)*Urban!Y8)+(VLOOKUP($Z$2,Prices!$E$3:$F$17,2,FALSE)*Urban!Z8)+(VLOOKUP($AA$2,Prices!$E$3:$F$17,2,FALSE)*Urban!AA8)+(VLOOKUP($AB$2,Prices!$E$3:$F$17,2,FALSE)*Urban!AB8)+M8</f>
        <v>0</v>
      </c>
      <c r="AD8" s="13">
        <v>0</v>
      </c>
      <c r="AE8" s="18"/>
      <c r="AF8" s="4">
        <f t="shared" si="0"/>
        <v>0</v>
      </c>
      <c r="AG8" s="4"/>
      <c r="AH8" s="16">
        <f t="shared" si="1"/>
        <v>0</v>
      </c>
      <c r="AI8" s="21" t="e">
        <f t="shared" si="2"/>
        <v>#DIV/0!</v>
      </c>
      <c r="AJ8" s="20" t="e">
        <f t="shared" si="3"/>
        <v>#DIV/0!</v>
      </c>
      <c r="AK8" s="9"/>
    </row>
    <row r="9" spans="1:37" hidden="1">
      <c r="A9" s="3">
        <v>7</v>
      </c>
      <c r="B9" s="12"/>
      <c r="C9" s="13"/>
      <c r="D9" s="13"/>
      <c r="E9" s="13"/>
      <c r="F9" s="13"/>
      <c r="G9" s="13"/>
      <c r="H9" s="28"/>
      <c r="I9" s="24" t="s">
        <v>27</v>
      </c>
      <c r="J9" s="24" t="s">
        <v>1387</v>
      </c>
      <c r="K9" s="26" t="s">
        <v>652</v>
      </c>
      <c r="L9" s="26" t="s">
        <v>343</v>
      </c>
      <c r="M9" s="66">
        <f>IFERROR(VLOOKUP($L9,[1]Consolidated!$C$9:$AC$341,27,0),0)</f>
        <v>0</v>
      </c>
      <c r="N9" s="66">
        <f>IFERROR(VLOOKUP($L9,[1]Consolidated!$C$9:$AC$341,5,0),0)</f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4">
        <f>(VLOOKUP($O$2,Prices!$E$3:$F$17,2,FALSE)*Urban!O9)+(VLOOKUP($P$2,Prices!$E$3:$F$17,2,FALSE)*Urban!P9)+(VLOOKUP($Q$2,Prices!$E$3:$F$17,2,FALSE)*Urban!Q9)+(VLOOKUP($R$2,Prices!$E$3:$F$17,2,FALSE)*Urban!R9)+(VLOOKUP($S$2,Prices!$E$3:$F$17,2,FALSE)*Urban!S9)+(VLOOKUP($T$2,Prices!$E$3:$F$17,2,FALSE)*Urban!T9)+(VLOOKUP($U$2,Prices!$E$3:$F$17,2,FALSE)*Urban!U9)+(VLOOKUP($V$2,Prices!$E$3:$F$17,2,FALSE)*Urban!V9)+(VLOOKUP($W$2,Prices!$E$3:$F$17,2,FALSE)*Urban!W9)+(VLOOKUP($X$2,Prices!$E$3:$F$17,2,FALSE)*Urban!X9)+(VLOOKUP($Y$2,Prices!$E$3:$F$17,2,FALSE)*Urban!Y9)+(VLOOKUP($Z$2,Prices!$E$3:$F$17,2,FALSE)*Urban!Z9)+(VLOOKUP($AA$2,Prices!$E$3:$F$17,2,FALSE)*Urban!AA9)+(VLOOKUP($AB$2,Prices!$E$3:$F$17,2,FALSE)*Urban!AB9)+M9</f>
        <v>0</v>
      </c>
      <c r="AD9" s="13">
        <v>0</v>
      </c>
      <c r="AE9" s="18"/>
      <c r="AF9" s="4">
        <f t="shared" si="0"/>
        <v>0</v>
      </c>
      <c r="AG9" s="4"/>
      <c r="AH9" s="16">
        <f t="shared" si="1"/>
        <v>0</v>
      </c>
      <c r="AI9" s="21" t="e">
        <f t="shared" si="2"/>
        <v>#DIV/0!</v>
      </c>
      <c r="AJ9" s="20" t="e">
        <f t="shared" si="3"/>
        <v>#DIV/0!</v>
      </c>
      <c r="AK9" s="9"/>
    </row>
    <row r="10" spans="1:37" hidden="1">
      <c r="A10" s="3">
        <v>8</v>
      </c>
      <c r="B10" s="12"/>
      <c r="C10" s="13"/>
      <c r="D10" s="13"/>
      <c r="E10" s="13"/>
      <c r="F10" s="13"/>
      <c r="G10" s="13"/>
      <c r="H10" s="28"/>
      <c r="I10" s="24" t="s">
        <v>28</v>
      </c>
      <c r="J10" s="24" t="s">
        <v>1387</v>
      </c>
      <c r="K10" s="26" t="s">
        <v>652</v>
      </c>
      <c r="L10" s="26" t="s">
        <v>344</v>
      </c>
      <c r="M10" s="66">
        <f>IFERROR(VLOOKUP($L10,[1]Consolidated!$C$9:$AC$341,27,0),0)</f>
        <v>28200000</v>
      </c>
      <c r="N10" s="66">
        <f>IFERROR(VLOOKUP($L10,[1]Consolidated!$C$9:$AC$341,5,0),0)</f>
        <v>120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4">
        <f>(VLOOKUP($O$2,Prices!$E$3:$F$17,2,FALSE)*Urban!O10)+(VLOOKUP($P$2,Prices!$E$3:$F$17,2,FALSE)*Urban!P10)+(VLOOKUP($Q$2,Prices!$E$3:$F$17,2,FALSE)*Urban!Q10)+(VLOOKUP($R$2,Prices!$E$3:$F$17,2,FALSE)*Urban!R10)+(VLOOKUP($S$2,Prices!$E$3:$F$17,2,FALSE)*Urban!S10)+(VLOOKUP($T$2,Prices!$E$3:$F$17,2,FALSE)*Urban!T10)+(VLOOKUP($U$2,Prices!$E$3:$F$17,2,FALSE)*Urban!U10)+(VLOOKUP($V$2,Prices!$E$3:$F$17,2,FALSE)*Urban!V10)+(VLOOKUP($W$2,Prices!$E$3:$F$17,2,FALSE)*Urban!W10)+(VLOOKUP($X$2,Prices!$E$3:$F$17,2,FALSE)*Urban!X10)+(VLOOKUP($Y$2,Prices!$E$3:$F$17,2,FALSE)*Urban!Y10)+(VLOOKUP($Z$2,Prices!$E$3:$F$17,2,FALSE)*Urban!Z10)+(VLOOKUP($AA$2,Prices!$E$3:$F$17,2,FALSE)*Urban!AA10)+(VLOOKUP($AB$2,Prices!$E$3:$F$17,2,FALSE)*Urban!AB10)+M10</f>
        <v>28200000</v>
      </c>
      <c r="AD10" s="69">
        <v>9868410</v>
      </c>
      <c r="AE10" s="18"/>
      <c r="AF10" s="4">
        <f t="shared" si="0"/>
        <v>9868410</v>
      </c>
      <c r="AG10" s="4"/>
      <c r="AH10" s="16">
        <f t="shared" si="1"/>
        <v>9868410</v>
      </c>
      <c r="AI10" s="21">
        <f t="shared" si="2"/>
        <v>0.34994361702127658</v>
      </c>
      <c r="AJ10" s="20">
        <f t="shared" si="3"/>
        <v>0.34994361702127658</v>
      </c>
      <c r="AK10" s="9"/>
    </row>
    <row r="11" spans="1:37" hidden="1">
      <c r="A11" s="3">
        <v>9</v>
      </c>
      <c r="B11" s="12"/>
      <c r="C11" s="13"/>
      <c r="D11" s="13"/>
      <c r="E11" s="13"/>
      <c r="F11" s="13"/>
      <c r="G11" s="13"/>
      <c r="H11" s="28"/>
      <c r="I11" s="24" t="s">
        <v>29</v>
      </c>
      <c r="J11" s="24" t="s">
        <v>1387</v>
      </c>
      <c r="K11" s="26" t="s">
        <v>652</v>
      </c>
      <c r="L11" s="26" t="s">
        <v>345</v>
      </c>
      <c r="M11" s="66">
        <f>IFERROR(VLOOKUP($L11,[1]Consolidated!$C$9:$AC$341,27,0),0)</f>
        <v>17860000</v>
      </c>
      <c r="N11" s="66">
        <f>IFERROR(VLOOKUP($L11,[1]Consolidated!$C$9:$AC$341,5,0),0)</f>
        <v>80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4">
        <f>(VLOOKUP($O$2,Prices!$E$3:$F$17,2,FALSE)*Urban!O11)+(VLOOKUP($P$2,Prices!$E$3:$F$17,2,FALSE)*Urban!P11)+(VLOOKUP($Q$2,Prices!$E$3:$F$17,2,FALSE)*Urban!Q11)+(VLOOKUP($R$2,Prices!$E$3:$F$17,2,FALSE)*Urban!R11)+(VLOOKUP($S$2,Prices!$E$3:$F$17,2,FALSE)*Urban!S11)+(VLOOKUP($T$2,Prices!$E$3:$F$17,2,FALSE)*Urban!T11)+(VLOOKUP($U$2,Prices!$E$3:$F$17,2,FALSE)*Urban!U11)+(VLOOKUP($V$2,Prices!$E$3:$F$17,2,FALSE)*Urban!V11)+(VLOOKUP($W$2,Prices!$E$3:$F$17,2,FALSE)*Urban!W11)+(VLOOKUP($X$2,Prices!$E$3:$F$17,2,FALSE)*Urban!X11)+(VLOOKUP($Y$2,Prices!$E$3:$F$17,2,FALSE)*Urban!Y11)+(VLOOKUP($Z$2,Prices!$E$3:$F$17,2,FALSE)*Urban!Z11)+(VLOOKUP($AA$2,Prices!$E$3:$F$17,2,FALSE)*Urban!AA11)+(VLOOKUP($AB$2,Prices!$E$3:$F$17,2,FALSE)*Urban!AB11)+M11</f>
        <v>17860000</v>
      </c>
      <c r="AD11" s="69">
        <v>6237900</v>
      </c>
      <c r="AE11" s="18"/>
      <c r="AF11" s="4">
        <f t="shared" si="0"/>
        <v>6237900</v>
      </c>
      <c r="AG11" s="4"/>
      <c r="AH11" s="16">
        <f t="shared" si="1"/>
        <v>6237900</v>
      </c>
      <c r="AI11" s="21">
        <f t="shared" si="2"/>
        <v>0.34926651735722286</v>
      </c>
      <c r="AJ11" s="20">
        <f t="shared" si="3"/>
        <v>0.34926651735722286</v>
      </c>
      <c r="AK11" s="9"/>
    </row>
    <row r="12" spans="1:37" hidden="1">
      <c r="A12" s="3">
        <v>10</v>
      </c>
      <c r="B12" s="12"/>
      <c r="C12" s="13"/>
      <c r="D12" s="13"/>
      <c r="E12" s="13"/>
      <c r="F12" s="13"/>
      <c r="G12" s="13"/>
      <c r="H12" s="28"/>
      <c r="I12" s="39" t="s">
        <v>30</v>
      </c>
      <c r="J12" s="24" t="s">
        <v>1387</v>
      </c>
      <c r="K12" s="26" t="s">
        <v>652</v>
      </c>
      <c r="L12" s="26" t="s">
        <v>346</v>
      </c>
      <c r="M12" s="41">
        <f>IFERROR(VLOOKUP($L12,'[2]Top WH -National'!$D$9:$AC$124,26,0),0)</f>
        <v>73428000</v>
      </c>
      <c r="N12" s="41">
        <f>IFERROR(VLOOKUP($L12,'[2]Top WH -National'!$D$9:$AC$124,4,0),0)</f>
        <v>352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4">
        <f>(VLOOKUP($O$2,Prices!$E$3:$F$17,2,FALSE)*Urban!O12)+(VLOOKUP($P$2,Prices!$E$3:$F$17,2,FALSE)*Urban!P12)+(VLOOKUP($Q$2,Prices!$E$3:$F$17,2,FALSE)*Urban!Q12)+(VLOOKUP($R$2,Prices!$E$3:$F$17,2,FALSE)*Urban!R12)+(VLOOKUP($S$2,Prices!$E$3:$F$17,2,FALSE)*Urban!S12)+(VLOOKUP($T$2,Prices!$E$3:$F$17,2,FALSE)*Urban!T12)+(VLOOKUP($U$2,Prices!$E$3:$F$17,2,FALSE)*Urban!U12)+(VLOOKUP($V$2,Prices!$E$3:$F$17,2,FALSE)*Urban!V12)+(VLOOKUP($W$2,Prices!$E$3:$F$17,2,FALSE)*Urban!W12)+(VLOOKUP($X$2,Prices!$E$3:$F$17,2,FALSE)*Urban!X12)+(VLOOKUP($Y$2,Prices!$E$3:$F$17,2,FALSE)*Urban!Y12)+(VLOOKUP($Z$2,Prices!$E$3:$F$17,2,FALSE)*Urban!Z12)+(VLOOKUP($AA$2,Prices!$E$3:$F$17,2,FALSE)*Urban!AA12)+(VLOOKUP($AB$2,Prices!$E$3:$F$17,2,FALSE)*Urban!AB12)+M12</f>
        <v>73428000</v>
      </c>
      <c r="AD12" s="69">
        <v>47840000</v>
      </c>
      <c r="AE12" s="18"/>
      <c r="AF12" s="4">
        <f t="shared" si="0"/>
        <v>47840000</v>
      </c>
      <c r="AG12" s="4"/>
      <c r="AH12" s="16">
        <f t="shared" si="1"/>
        <v>47840000</v>
      </c>
      <c r="AI12" s="21">
        <f t="shared" si="2"/>
        <v>0.65152257994225637</v>
      </c>
      <c r="AJ12" s="20">
        <f t="shared" si="3"/>
        <v>0.65152257994225637</v>
      </c>
      <c r="AK12" s="9"/>
    </row>
    <row r="13" spans="1:37" hidden="1">
      <c r="A13" s="3">
        <v>11</v>
      </c>
      <c r="B13" s="12"/>
      <c r="C13" s="13"/>
      <c r="D13" s="13"/>
      <c r="E13" s="13"/>
      <c r="F13" s="13"/>
      <c r="G13" s="13"/>
      <c r="H13" s="28"/>
      <c r="I13" s="24" t="s">
        <v>31</v>
      </c>
      <c r="J13" s="24" t="s">
        <v>1387</v>
      </c>
      <c r="K13" s="26" t="s">
        <v>652</v>
      </c>
      <c r="L13" s="26" t="s">
        <v>347</v>
      </c>
      <c r="M13" s="66">
        <f>IFERROR(VLOOKUP($L13,[1]Consolidated!$C$9:$AC$341,27,0),0)</f>
        <v>23290000</v>
      </c>
      <c r="N13" s="66">
        <f>IFERROR(VLOOKUP($L13,[1]Consolidated!$C$9:$AC$341,5,0),0)</f>
        <v>100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4">
        <f>(VLOOKUP($O$2,Prices!$E$3:$F$17,2,FALSE)*Urban!O13)+(VLOOKUP($P$2,Prices!$E$3:$F$17,2,FALSE)*Urban!P13)+(VLOOKUP($Q$2,Prices!$E$3:$F$17,2,FALSE)*Urban!Q13)+(VLOOKUP($R$2,Prices!$E$3:$F$17,2,FALSE)*Urban!R13)+(VLOOKUP($S$2,Prices!$E$3:$F$17,2,FALSE)*Urban!S13)+(VLOOKUP($T$2,Prices!$E$3:$F$17,2,FALSE)*Urban!T13)+(VLOOKUP($U$2,Prices!$E$3:$F$17,2,FALSE)*Urban!U13)+(VLOOKUP($V$2,Prices!$E$3:$F$17,2,FALSE)*Urban!V13)+(VLOOKUP($W$2,Prices!$E$3:$F$17,2,FALSE)*Urban!W13)+(VLOOKUP($X$2,Prices!$E$3:$F$17,2,FALSE)*Urban!X13)+(VLOOKUP($Y$2,Prices!$E$3:$F$17,2,FALSE)*Urban!Y13)+(VLOOKUP($Z$2,Prices!$E$3:$F$17,2,FALSE)*Urban!Z13)+(VLOOKUP($AA$2,Prices!$E$3:$F$17,2,FALSE)*Urban!AA13)+(VLOOKUP($AB$2,Prices!$E$3:$F$17,2,FALSE)*Urban!AB13)+M13</f>
        <v>23290000</v>
      </c>
      <c r="AD13" s="69">
        <v>8143200</v>
      </c>
      <c r="AE13" s="18"/>
      <c r="AF13" s="4">
        <f t="shared" si="0"/>
        <v>8143200</v>
      </c>
      <c r="AG13" s="4"/>
      <c r="AH13" s="16">
        <f t="shared" si="1"/>
        <v>8143200</v>
      </c>
      <c r="AI13" s="21">
        <f t="shared" si="2"/>
        <v>0.34964362387290682</v>
      </c>
      <c r="AJ13" s="20">
        <f t="shared" si="3"/>
        <v>0.34964362387290682</v>
      </c>
      <c r="AK13" s="9"/>
    </row>
    <row r="14" spans="1:37" hidden="1">
      <c r="A14" s="3">
        <v>12</v>
      </c>
      <c r="B14" s="12"/>
      <c r="C14" s="13"/>
      <c r="D14" s="13"/>
      <c r="E14" s="13"/>
      <c r="F14" s="13"/>
      <c r="G14" s="13"/>
      <c r="H14" s="28"/>
      <c r="I14" s="24" t="s">
        <v>32</v>
      </c>
      <c r="J14" s="24" t="s">
        <v>1387</v>
      </c>
      <c r="K14" s="26" t="s">
        <v>652</v>
      </c>
      <c r="L14" s="26" t="s">
        <v>348</v>
      </c>
      <c r="M14" s="66">
        <f>IFERROR(VLOOKUP($L14,[1]Consolidated!$C$9:$AC$341,27,0),0)</f>
        <v>28200000</v>
      </c>
      <c r="N14" s="66">
        <f>IFERROR(VLOOKUP($L14,[1]Consolidated!$C$9:$AC$341,5,0),0)</f>
        <v>120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4">
        <f>(VLOOKUP($O$2,Prices!$E$3:$F$17,2,FALSE)*Urban!O14)+(VLOOKUP($P$2,Prices!$E$3:$F$17,2,FALSE)*Urban!P14)+(VLOOKUP($Q$2,Prices!$E$3:$F$17,2,FALSE)*Urban!Q14)+(VLOOKUP($R$2,Prices!$E$3:$F$17,2,FALSE)*Urban!R14)+(VLOOKUP($S$2,Prices!$E$3:$F$17,2,FALSE)*Urban!S14)+(VLOOKUP($T$2,Prices!$E$3:$F$17,2,FALSE)*Urban!T14)+(VLOOKUP($U$2,Prices!$E$3:$F$17,2,FALSE)*Urban!U14)+(VLOOKUP($V$2,Prices!$E$3:$F$17,2,FALSE)*Urban!V14)+(VLOOKUP($W$2,Prices!$E$3:$F$17,2,FALSE)*Urban!W14)+(VLOOKUP($X$2,Prices!$E$3:$F$17,2,FALSE)*Urban!X14)+(VLOOKUP($Y$2,Prices!$E$3:$F$17,2,FALSE)*Urban!Y14)+(VLOOKUP($Z$2,Prices!$E$3:$F$17,2,FALSE)*Urban!Z14)+(VLOOKUP($AA$2,Prices!$E$3:$F$17,2,FALSE)*Urban!AA14)+(VLOOKUP($AB$2,Prices!$E$3:$F$17,2,FALSE)*Urban!AB14)+M14</f>
        <v>28200000</v>
      </c>
      <c r="AD14" s="69">
        <v>9865800</v>
      </c>
      <c r="AE14" s="18"/>
      <c r="AF14" s="4">
        <f t="shared" si="0"/>
        <v>9865800</v>
      </c>
      <c r="AG14" s="4"/>
      <c r="AH14" s="16">
        <f t="shared" si="1"/>
        <v>9865800</v>
      </c>
      <c r="AI14" s="21">
        <f t="shared" si="2"/>
        <v>0.34985106382978726</v>
      </c>
      <c r="AJ14" s="20">
        <f t="shared" si="3"/>
        <v>0.34985106382978726</v>
      </c>
      <c r="AK14" s="9"/>
    </row>
    <row r="15" spans="1:37" hidden="1">
      <c r="A15" s="3">
        <v>13</v>
      </c>
      <c r="B15" s="12"/>
      <c r="C15" s="13"/>
      <c r="D15" s="13"/>
      <c r="E15" s="13"/>
      <c r="F15" s="13"/>
      <c r="G15" s="13"/>
      <c r="H15" s="28"/>
      <c r="I15" s="24" t="s">
        <v>1370</v>
      </c>
      <c r="J15" s="24" t="s">
        <v>1387</v>
      </c>
      <c r="K15" s="26" t="s">
        <v>652</v>
      </c>
      <c r="L15" s="26" t="s">
        <v>1369</v>
      </c>
      <c r="M15" s="66">
        <f>IFERROR(VLOOKUP($L15,[1]Consolidated!$C$9:$AC$341,27,0),0)</f>
        <v>18800000</v>
      </c>
      <c r="N15" s="66">
        <f>IFERROR(VLOOKUP($L15,[1]Consolidated!$C$9:$AC$341,5,0),0)</f>
        <v>80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4">
        <f>(VLOOKUP($O$2,Prices!$E$3:$F$17,2,FALSE)*Urban!O15)+(VLOOKUP($P$2,Prices!$E$3:$F$17,2,FALSE)*Urban!P15)+(VLOOKUP($Q$2,Prices!$E$3:$F$17,2,FALSE)*Urban!Q15)+(VLOOKUP($R$2,Prices!$E$3:$F$17,2,FALSE)*Urban!R15)+(VLOOKUP($S$2,Prices!$E$3:$F$17,2,FALSE)*Urban!S15)+(VLOOKUP($T$2,Prices!$E$3:$F$17,2,FALSE)*Urban!T15)+(VLOOKUP($U$2,Prices!$E$3:$F$17,2,FALSE)*Urban!U15)+(VLOOKUP($V$2,Prices!$E$3:$F$17,2,FALSE)*Urban!V15)+(VLOOKUP($W$2,Prices!$E$3:$F$17,2,FALSE)*Urban!W15)+(VLOOKUP($X$2,Prices!$E$3:$F$17,2,FALSE)*Urban!X15)+(VLOOKUP($Y$2,Prices!$E$3:$F$17,2,FALSE)*Urban!Y15)+(VLOOKUP($Z$2,Prices!$E$3:$F$17,2,FALSE)*Urban!Z15)+(VLOOKUP($AA$2,Prices!$E$3:$F$17,2,FALSE)*Urban!AA15)+(VLOOKUP($AB$2,Prices!$E$3:$F$17,2,FALSE)*Urban!AB15)+M15</f>
        <v>18800000</v>
      </c>
      <c r="AD15" s="13">
        <v>0</v>
      </c>
      <c r="AE15" s="18"/>
      <c r="AF15" s="4">
        <f t="shared" si="0"/>
        <v>0</v>
      </c>
      <c r="AG15" s="4"/>
      <c r="AH15" s="16">
        <f t="shared" si="1"/>
        <v>0</v>
      </c>
      <c r="AI15" s="21">
        <f t="shared" si="2"/>
        <v>0</v>
      </c>
      <c r="AJ15" s="20">
        <f t="shared" si="3"/>
        <v>0</v>
      </c>
      <c r="AK15" s="19"/>
    </row>
    <row r="16" spans="1:37" hidden="1">
      <c r="A16" s="3">
        <v>14</v>
      </c>
      <c r="B16" s="12"/>
      <c r="C16" s="13"/>
      <c r="D16" s="13"/>
      <c r="E16" s="13"/>
      <c r="F16" s="13"/>
      <c r="G16" s="13"/>
      <c r="H16" s="28"/>
      <c r="I16" s="39" t="s">
        <v>33</v>
      </c>
      <c r="J16" s="24" t="s">
        <v>1387</v>
      </c>
      <c r="K16" s="26" t="s">
        <v>652</v>
      </c>
      <c r="L16" s="26" t="s">
        <v>349</v>
      </c>
      <c r="M16" s="41">
        <f>IFERROR(VLOOKUP($L16,'[2]Top WH -National'!$D$9:$AC$124,26,0),0)</f>
        <v>274042000</v>
      </c>
      <c r="N16" s="41">
        <f>IFERROR(VLOOKUP($L16,'[2]Top WH -National'!$D$9:$AC$124,4,0),0)</f>
        <v>1331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4">
        <f>(VLOOKUP($O$2,Prices!$E$3:$F$17,2,FALSE)*Urban!O16)+(VLOOKUP($P$2,Prices!$E$3:$F$17,2,FALSE)*Urban!P16)+(VLOOKUP($Q$2,Prices!$E$3:$F$17,2,FALSE)*Urban!Q16)+(VLOOKUP($R$2,Prices!$E$3:$F$17,2,FALSE)*Urban!R16)+(VLOOKUP($S$2,Prices!$E$3:$F$17,2,FALSE)*Urban!S16)+(VLOOKUP($T$2,Prices!$E$3:$F$17,2,FALSE)*Urban!T16)+(VLOOKUP($U$2,Prices!$E$3:$F$17,2,FALSE)*Urban!U16)+(VLOOKUP($V$2,Prices!$E$3:$F$17,2,FALSE)*Urban!V16)+(VLOOKUP($W$2,Prices!$E$3:$F$17,2,FALSE)*Urban!W16)+(VLOOKUP($X$2,Prices!$E$3:$F$17,2,FALSE)*Urban!X16)+(VLOOKUP($Y$2,Prices!$E$3:$F$17,2,FALSE)*Urban!Y16)+(VLOOKUP($Z$2,Prices!$E$3:$F$17,2,FALSE)*Urban!Z16)+(VLOOKUP($AA$2,Prices!$E$3:$F$17,2,FALSE)*Urban!AA16)+(VLOOKUP($AB$2,Prices!$E$3:$F$17,2,FALSE)*Urban!AB16)+M16</f>
        <v>274042000</v>
      </c>
      <c r="AD16" s="69">
        <v>173420000</v>
      </c>
      <c r="AE16" s="18"/>
      <c r="AF16" s="4">
        <f t="shared" si="0"/>
        <v>173420000</v>
      </c>
      <c r="AG16" s="4"/>
      <c r="AH16" s="16">
        <f t="shared" si="1"/>
        <v>173420000</v>
      </c>
      <c r="AI16" s="21">
        <f t="shared" si="2"/>
        <v>0.63282270600856805</v>
      </c>
      <c r="AJ16" s="20">
        <f t="shared" si="3"/>
        <v>0.63282270600856805</v>
      </c>
      <c r="AK16" s="9"/>
    </row>
    <row r="17" spans="1:37" hidden="1">
      <c r="A17" s="3">
        <v>15</v>
      </c>
      <c r="B17" s="12"/>
      <c r="C17" s="13"/>
      <c r="D17" s="13"/>
      <c r="E17" s="13"/>
      <c r="F17" s="13"/>
      <c r="G17" s="13"/>
      <c r="H17" s="28"/>
      <c r="I17" s="24" t="s">
        <v>34</v>
      </c>
      <c r="J17" s="24" t="s">
        <v>1387</v>
      </c>
      <c r="K17" s="26" t="s">
        <v>652</v>
      </c>
      <c r="L17" s="26" t="s">
        <v>350</v>
      </c>
      <c r="M17" s="66">
        <f>IFERROR(VLOOKUP($L17,[1]Consolidated!$C$9:$AC$341,27,0),0)</f>
        <v>28930000</v>
      </c>
      <c r="N17" s="66">
        <f>IFERROR(VLOOKUP($L17,[1]Consolidated!$C$9:$AC$341,5,0),0)</f>
        <v>120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4">
        <f>(VLOOKUP($O$2,Prices!$E$3:$F$17,2,FALSE)*Urban!O17)+(VLOOKUP($P$2,Prices!$E$3:$F$17,2,FALSE)*Urban!P17)+(VLOOKUP($Q$2,Prices!$E$3:$F$17,2,FALSE)*Urban!Q17)+(VLOOKUP($R$2,Prices!$E$3:$F$17,2,FALSE)*Urban!R17)+(VLOOKUP($S$2,Prices!$E$3:$F$17,2,FALSE)*Urban!S17)+(VLOOKUP($T$2,Prices!$E$3:$F$17,2,FALSE)*Urban!T17)+(VLOOKUP($U$2,Prices!$E$3:$F$17,2,FALSE)*Urban!U17)+(VLOOKUP($V$2,Prices!$E$3:$F$17,2,FALSE)*Urban!V17)+(VLOOKUP($W$2,Prices!$E$3:$F$17,2,FALSE)*Urban!W17)+(VLOOKUP($X$2,Prices!$E$3:$F$17,2,FALSE)*Urban!X17)+(VLOOKUP($Y$2,Prices!$E$3:$F$17,2,FALSE)*Urban!Y17)+(VLOOKUP($Z$2,Prices!$E$3:$F$17,2,FALSE)*Urban!Z17)+(VLOOKUP($AA$2,Prices!$E$3:$F$17,2,FALSE)*Urban!AA17)+(VLOOKUP($AB$2,Prices!$E$3:$F$17,2,FALSE)*Urban!AB17)+M17</f>
        <v>28930000</v>
      </c>
      <c r="AD17" s="69">
        <v>10100700</v>
      </c>
      <c r="AE17" s="18"/>
      <c r="AF17" s="4">
        <f t="shared" si="0"/>
        <v>10100700</v>
      </c>
      <c r="AG17" s="4"/>
      <c r="AH17" s="16">
        <f t="shared" si="1"/>
        <v>10100700</v>
      </c>
      <c r="AI17" s="21">
        <f t="shared" si="2"/>
        <v>0.34914275838230213</v>
      </c>
      <c r="AJ17" s="20">
        <f t="shared" si="3"/>
        <v>0.34914275838230213</v>
      </c>
      <c r="AK17" s="9"/>
    </row>
    <row r="18" spans="1:37" hidden="1">
      <c r="A18" s="3">
        <v>16</v>
      </c>
      <c r="B18" s="12"/>
      <c r="C18" s="13"/>
      <c r="D18" s="13"/>
      <c r="E18" s="13"/>
      <c r="F18" s="13"/>
      <c r="G18" s="13"/>
      <c r="H18" s="28"/>
      <c r="I18" s="24" t="s">
        <v>35</v>
      </c>
      <c r="J18" s="24" t="s">
        <v>1387</v>
      </c>
      <c r="K18" s="26" t="s">
        <v>652</v>
      </c>
      <c r="L18" s="26" t="s">
        <v>351</v>
      </c>
      <c r="M18" s="66">
        <f>IFERROR(VLOOKUP($L18,[1]Consolidated!$C$9:$AC$341,27,0),0)</f>
        <v>18800000</v>
      </c>
      <c r="N18" s="66">
        <f>IFERROR(VLOOKUP($L18,[1]Consolidated!$C$9:$AC$341,5,0),0)</f>
        <v>80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4">
        <f>(VLOOKUP($O$2,Prices!$E$3:$F$17,2,FALSE)*Urban!O18)+(VLOOKUP($P$2,Prices!$E$3:$F$17,2,FALSE)*Urban!P18)+(VLOOKUP($Q$2,Prices!$E$3:$F$17,2,FALSE)*Urban!Q18)+(VLOOKUP($R$2,Prices!$E$3:$F$17,2,FALSE)*Urban!R18)+(VLOOKUP($S$2,Prices!$E$3:$F$17,2,FALSE)*Urban!S18)+(VLOOKUP($T$2,Prices!$E$3:$F$17,2,FALSE)*Urban!T18)+(VLOOKUP($U$2,Prices!$E$3:$F$17,2,FALSE)*Urban!U18)+(VLOOKUP($V$2,Prices!$E$3:$F$17,2,FALSE)*Urban!V18)+(VLOOKUP($W$2,Prices!$E$3:$F$17,2,FALSE)*Urban!W18)+(VLOOKUP($X$2,Prices!$E$3:$F$17,2,FALSE)*Urban!X18)+(VLOOKUP($Y$2,Prices!$E$3:$F$17,2,FALSE)*Urban!Y18)+(VLOOKUP($Z$2,Prices!$E$3:$F$17,2,FALSE)*Urban!Z18)+(VLOOKUP($AA$2,Prices!$E$3:$F$17,2,FALSE)*Urban!AA18)+(VLOOKUP($AB$2,Prices!$E$3:$F$17,2,FALSE)*Urban!AB18)+M18</f>
        <v>18800000</v>
      </c>
      <c r="AD18" s="69">
        <v>6577200</v>
      </c>
      <c r="AE18" s="18"/>
      <c r="AF18" s="4">
        <f t="shared" si="0"/>
        <v>6577200</v>
      </c>
      <c r="AG18" s="4"/>
      <c r="AH18" s="16">
        <f t="shared" si="1"/>
        <v>6577200</v>
      </c>
      <c r="AI18" s="21">
        <f t="shared" si="2"/>
        <v>0.34985106382978726</v>
      </c>
      <c r="AJ18" s="20">
        <f t="shared" si="3"/>
        <v>0.34985106382978726</v>
      </c>
      <c r="AK18" s="9"/>
    </row>
    <row r="19" spans="1:37" hidden="1">
      <c r="A19" s="3">
        <v>17</v>
      </c>
      <c r="B19" s="12"/>
      <c r="C19" s="13"/>
      <c r="D19" s="13"/>
      <c r="E19" s="13"/>
      <c r="F19" s="13"/>
      <c r="G19" s="13"/>
      <c r="H19" s="28"/>
      <c r="I19" s="24" t="s">
        <v>36</v>
      </c>
      <c r="J19" s="24" t="s">
        <v>1387</v>
      </c>
      <c r="K19" s="26" t="s">
        <v>653</v>
      </c>
      <c r="L19" s="26" t="s">
        <v>352</v>
      </c>
      <c r="M19" s="66">
        <f>IFERROR(VLOOKUP($L19,[1]Consolidated!$C$9:$AC$341,27,0),0)</f>
        <v>0</v>
      </c>
      <c r="N19" s="66">
        <f>IFERROR(VLOOKUP($L19,[1]Consolidated!$C$9:$AC$341,5,0),0)</f>
        <v>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4">
        <f>(VLOOKUP($O$2,Prices!$E$3:$F$17,2,FALSE)*Urban!O19)+(VLOOKUP($P$2,Prices!$E$3:$F$17,2,FALSE)*Urban!P19)+(VLOOKUP($Q$2,Prices!$E$3:$F$17,2,FALSE)*Urban!Q19)+(VLOOKUP($R$2,Prices!$E$3:$F$17,2,FALSE)*Urban!R19)+(VLOOKUP($S$2,Prices!$E$3:$F$17,2,FALSE)*Urban!S19)+(VLOOKUP($T$2,Prices!$E$3:$F$17,2,FALSE)*Urban!T19)+(VLOOKUP($U$2,Prices!$E$3:$F$17,2,FALSE)*Urban!U19)+(VLOOKUP($V$2,Prices!$E$3:$F$17,2,FALSE)*Urban!V19)+(VLOOKUP($W$2,Prices!$E$3:$F$17,2,FALSE)*Urban!W19)+(VLOOKUP($X$2,Prices!$E$3:$F$17,2,FALSE)*Urban!X19)+(VLOOKUP($Y$2,Prices!$E$3:$F$17,2,FALSE)*Urban!Y19)+(VLOOKUP($Z$2,Prices!$E$3:$F$17,2,FALSE)*Urban!Z19)+(VLOOKUP($AA$2,Prices!$E$3:$F$17,2,FALSE)*Urban!AA19)+(VLOOKUP($AB$2,Prices!$E$3:$F$17,2,FALSE)*Urban!AB19)+M19</f>
        <v>0</v>
      </c>
      <c r="AD19" s="13">
        <v>0</v>
      </c>
      <c r="AE19" s="18"/>
      <c r="AF19" s="4">
        <f t="shared" si="0"/>
        <v>0</v>
      </c>
      <c r="AG19" s="4"/>
      <c r="AH19" s="16">
        <f t="shared" si="1"/>
        <v>0</v>
      </c>
      <c r="AI19" s="21" t="e">
        <f t="shared" si="2"/>
        <v>#DIV/0!</v>
      </c>
      <c r="AJ19" s="20" t="e">
        <f t="shared" si="3"/>
        <v>#DIV/0!</v>
      </c>
      <c r="AK19" s="9"/>
    </row>
    <row r="20" spans="1:37" hidden="1">
      <c r="A20" s="3">
        <v>18</v>
      </c>
      <c r="B20" s="12"/>
      <c r="C20" s="13"/>
      <c r="D20" s="13"/>
      <c r="E20" s="13"/>
      <c r="F20" s="13"/>
      <c r="G20" s="13"/>
      <c r="H20" s="28"/>
      <c r="I20" s="24" t="s">
        <v>37</v>
      </c>
      <c r="J20" s="24" t="s">
        <v>1387</v>
      </c>
      <c r="K20" s="26" t="s">
        <v>653</v>
      </c>
      <c r="L20" s="26" t="s">
        <v>353</v>
      </c>
      <c r="M20" s="66">
        <f>IFERROR(VLOOKUP($L20,[1]Consolidated!$C$9:$AC$341,27,0),0)</f>
        <v>45120000</v>
      </c>
      <c r="N20" s="66">
        <f>IFERROR(VLOOKUP($L20,[1]Consolidated!$C$9:$AC$341,5,0),0)</f>
        <v>180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4">
        <f>(VLOOKUP($O$2,Prices!$E$3:$F$17,2,FALSE)*Urban!O20)+(VLOOKUP($P$2,Prices!$E$3:$F$17,2,FALSE)*Urban!P20)+(VLOOKUP($Q$2,Prices!$E$3:$F$17,2,FALSE)*Urban!Q20)+(VLOOKUP($R$2,Prices!$E$3:$F$17,2,FALSE)*Urban!R20)+(VLOOKUP($S$2,Prices!$E$3:$F$17,2,FALSE)*Urban!S20)+(VLOOKUP($T$2,Prices!$E$3:$F$17,2,FALSE)*Urban!T20)+(VLOOKUP($U$2,Prices!$E$3:$F$17,2,FALSE)*Urban!U20)+(VLOOKUP($V$2,Prices!$E$3:$F$17,2,FALSE)*Urban!V20)+(VLOOKUP($W$2,Prices!$E$3:$F$17,2,FALSE)*Urban!W20)+(VLOOKUP($X$2,Prices!$E$3:$F$17,2,FALSE)*Urban!X20)+(VLOOKUP($Y$2,Prices!$E$3:$F$17,2,FALSE)*Urban!Y20)+(VLOOKUP($Z$2,Prices!$E$3:$F$17,2,FALSE)*Urban!Z20)+(VLOOKUP($AA$2,Prices!$E$3:$F$17,2,FALSE)*Urban!AA20)+(VLOOKUP($AB$2,Prices!$E$3:$F$17,2,FALSE)*Urban!AB20)+M20</f>
        <v>45120000</v>
      </c>
      <c r="AD20" s="69">
        <v>14616000</v>
      </c>
      <c r="AE20" s="18"/>
      <c r="AF20" s="4">
        <f t="shared" si="0"/>
        <v>14616000</v>
      </c>
      <c r="AG20" s="4"/>
      <c r="AH20" s="16">
        <f t="shared" si="1"/>
        <v>14616000</v>
      </c>
      <c r="AI20" s="21">
        <f t="shared" si="2"/>
        <v>0.32393617021276594</v>
      </c>
      <c r="AJ20" s="20">
        <f t="shared" si="3"/>
        <v>0.32393617021276594</v>
      </c>
      <c r="AK20" s="9"/>
    </row>
    <row r="21" spans="1:37" hidden="1">
      <c r="A21" s="3">
        <v>19</v>
      </c>
      <c r="B21" s="12"/>
      <c r="C21" s="13"/>
      <c r="D21" s="13"/>
      <c r="E21" s="13"/>
      <c r="F21" s="13"/>
      <c r="G21" s="13"/>
      <c r="H21" s="28"/>
      <c r="I21" s="39" t="s">
        <v>39</v>
      </c>
      <c r="J21" s="24" t="s">
        <v>1387</v>
      </c>
      <c r="K21" s="26" t="s">
        <v>653</v>
      </c>
      <c r="L21" s="26" t="s">
        <v>354</v>
      </c>
      <c r="M21" s="41">
        <f>IFERROR(VLOOKUP($L21,'[2]Top WH -National'!$D$9:$AC$124,26,0),0)</f>
        <v>71364000</v>
      </c>
      <c r="N21" s="41">
        <f>IFERROR(VLOOKUP($L21,'[2]Top WH -National'!$D$9:$AC$124,4,0),0)</f>
        <v>300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4">
        <f>(VLOOKUP($O$2,Prices!$E$3:$F$17,2,FALSE)*Urban!O21)+(VLOOKUP($P$2,Prices!$E$3:$F$17,2,FALSE)*Urban!P21)+(VLOOKUP($Q$2,Prices!$E$3:$F$17,2,FALSE)*Urban!Q21)+(VLOOKUP($R$2,Prices!$E$3:$F$17,2,FALSE)*Urban!R21)+(VLOOKUP($S$2,Prices!$E$3:$F$17,2,FALSE)*Urban!S21)+(VLOOKUP($T$2,Prices!$E$3:$F$17,2,FALSE)*Urban!T21)+(VLOOKUP($U$2,Prices!$E$3:$F$17,2,FALSE)*Urban!U21)+(VLOOKUP($V$2,Prices!$E$3:$F$17,2,FALSE)*Urban!V21)+(VLOOKUP($W$2,Prices!$E$3:$F$17,2,FALSE)*Urban!W21)+(VLOOKUP($X$2,Prices!$E$3:$F$17,2,FALSE)*Urban!X21)+(VLOOKUP($Y$2,Prices!$E$3:$F$17,2,FALSE)*Urban!Y21)+(VLOOKUP($Z$2,Prices!$E$3:$F$17,2,FALSE)*Urban!Z21)+(VLOOKUP($AA$2,Prices!$E$3:$F$17,2,FALSE)*Urban!AA21)+(VLOOKUP($AB$2,Prices!$E$3:$F$17,2,FALSE)*Urban!AB21)+M21</f>
        <v>71364000</v>
      </c>
      <c r="AD21" s="69">
        <v>42543000</v>
      </c>
      <c r="AE21" s="18"/>
      <c r="AF21" s="4">
        <f t="shared" si="0"/>
        <v>42543000</v>
      </c>
      <c r="AG21" s="4"/>
      <c r="AH21" s="16">
        <f t="shared" si="1"/>
        <v>42543000</v>
      </c>
      <c r="AI21" s="21">
        <f t="shared" si="2"/>
        <v>0.59614091138389103</v>
      </c>
      <c r="AJ21" s="20">
        <f t="shared" si="3"/>
        <v>0.59614091138389103</v>
      </c>
      <c r="AK21" s="9"/>
    </row>
    <row r="22" spans="1:37" hidden="1">
      <c r="A22" s="3">
        <v>20</v>
      </c>
      <c r="B22" s="12"/>
      <c r="C22" s="13"/>
      <c r="D22" s="13"/>
      <c r="E22" s="13"/>
      <c r="F22" s="13"/>
      <c r="G22" s="13"/>
      <c r="H22" s="28"/>
      <c r="I22" s="40" t="s">
        <v>40</v>
      </c>
      <c r="J22" s="24" t="s">
        <v>1387</v>
      </c>
      <c r="K22" s="26" t="s">
        <v>653</v>
      </c>
      <c r="L22" s="26" t="s">
        <v>355</v>
      </c>
      <c r="M22" s="41">
        <f>IFERROR(VLOOKUP($L22,'[2]Top WH -National'!$D$9:$AC$124,26,0),0)</f>
        <v>69891000</v>
      </c>
      <c r="N22" s="41">
        <f>IFERROR(VLOOKUP($L22,'[2]Top WH -National'!$D$9:$AC$124,4,0),0)</f>
        <v>300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4">
        <f>(VLOOKUP($O$2,Prices!$E$3:$F$17,2,FALSE)*Urban!O22)+(VLOOKUP($P$2,Prices!$E$3:$F$17,2,FALSE)*Urban!P22)+(VLOOKUP($Q$2,Prices!$E$3:$F$17,2,FALSE)*Urban!Q22)+(VLOOKUP($R$2,Prices!$E$3:$F$17,2,FALSE)*Urban!R22)+(VLOOKUP($S$2,Prices!$E$3:$F$17,2,FALSE)*Urban!S22)+(VLOOKUP($T$2,Prices!$E$3:$F$17,2,FALSE)*Urban!T22)+(VLOOKUP($U$2,Prices!$E$3:$F$17,2,FALSE)*Urban!U22)+(VLOOKUP($V$2,Prices!$E$3:$F$17,2,FALSE)*Urban!V22)+(VLOOKUP($W$2,Prices!$E$3:$F$17,2,FALSE)*Urban!W22)+(VLOOKUP($X$2,Prices!$E$3:$F$17,2,FALSE)*Urban!X22)+(VLOOKUP($Y$2,Prices!$E$3:$F$17,2,FALSE)*Urban!Y22)+(VLOOKUP($Z$2,Prices!$E$3:$F$17,2,FALSE)*Urban!Z22)+(VLOOKUP($AA$2,Prices!$E$3:$F$17,2,FALSE)*Urban!AA22)+(VLOOKUP($AB$2,Prices!$E$3:$F$17,2,FALSE)*Urban!AB22)+M22</f>
        <v>69891000</v>
      </c>
      <c r="AD22" s="69">
        <v>26100000</v>
      </c>
      <c r="AE22" s="18"/>
      <c r="AF22" s="4">
        <f t="shared" si="0"/>
        <v>26100000</v>
      </c>
      <c r="AG22" s="4"/>
      <c r="AH22" s="16">
        <f t="shared" si="1"/>
        <v>26100000</v>
      </c>
      <c r="AI22" s="21">
        <f t="shared" si="2"/>
        <v>0.373438640168262</v>
      </c>
      <c r="AJ22" s="20">
        <f t="shared" si="3"/>
        <v>0.373438640168262</v>
      </c>
      <c r="AK22" s="9"/>
    </row>
    <row r="23" spans="1:37" hidden="1">
      <c r="A23" s="3">
        <v>21</v>
      </c>
      <c r="B23" s="12"/>
      <c r="C23" s="13"/>
      <c r="D23" s="13"/>
      <c r="E23" s="13"/>
      <c r="F23" s="13"/>
      <c r="G23" s="13"/>
      <c r="H23" s="28"/>
      <c r="I23" s="39" t="s">
        <v>41</v>
      </c>
      <c r="J23" s="24" t="s">
        <v>1387</v>
      </c>
      <c r="K23" s="26" t="s">
        <v>653</v>
      </c>
      <c r="L23" s="26" t="s">
        <v>356</v>
      </c>
      <c r="M23" s="41">
        <f>IFERROR(VLOOKUP($L23,'[2]Top WH -National'!$D$9:$AC$124,26,0),0)</f>
        <v>70624000</v>
      </c>
      <c r="N23" s="41">
        <f>IFERROR(VLOOKUP($L23,'[2]Top WH -National'!$D$9:$AC$124,4,0),0)</f>
        <v>300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4">
        <f>(VLOOKUP($O$2,Prices!$E$3:$F$17,2,FALSE)*Urban!O23)+(VLOOKUP($P$2,Prices!$E$3:$F$17,2,FALSE)*Urban!P23)+(VLOOKUP($Q$2,Prices!$E$3:$F$17,2,FALSE)*Urban!Q23)+(VLOOKUP($R$2,Prices!$E$3:$F$17,2,FALSE)*Urban!R23)+(VLOOKUP($S$2,Prices!$E$3:$F$17,2,FALSE)*Urban!S23)+(VLOOKUP($T$2,Prices!$E$3:$F$17,2,FALSE)*Urban!T23)+(VLOOKUP($U$2,Prices!$E$3:$F$17,2,FALSE)*Urban!U23)+(VLOOKUP($V$2,Prices!$E$3:$F$17,2,FALSE)*Urban!V23)+(VLOOKUP($W$2,Prices!$E$3:$F$17,2,FALSE)*Urban!W23)+(VLOOKUP($X$2,Prices!$E$3:$F$17,2,FALSE)*Urban!X23)+(VLOOKUP($Y$2,Prices!$E$3:$F$17,2,FALSE)*Urban!Y23)+(VLOOKUP($Z$2,Prices!$E$3:$F$17,2,FALSE)*Urban!Z23)+(VLOOKUP($AA$2,Prices!$E$3:$F$17,2,FALSE)*Urban!AA23)+(VLOOKUP($AB$2,Prices!$E$3:$F$17,2,FALSE)*Urban!AB23)+M23</f>
        <v>70624000</v>
      </c>
      <c r="AD23" s="69">
        <v>42282000</v>
      </c>
      <c r="AE23" s="18"/>
      <c r="AF23" s="4">
        <f t="shared" si="0"/>
        <v>42282000</v>
      </c>
      <c r="AG23" s="4"/>
      <c r="AH23" s="16">
        <f t="shared" si="1"/>
        <v>42282000</v>
      </c>
      <c r="AI23" s="21">
        <f t="shared" si="2"/>
        <v>0.598691662890802</v>
      </c>
      <c r="AJ23" s="20">
        <f t="shared" si="3"/>
        <v>0.598691662890802</v>
      </c>
      <c r="AK23" s="9"/>
    </row>
    <row r="24" spans="1:37" hidden="1">
      <c r="A24" s="3">
        <v>22</v>
      </c>
      <c r="B24" s="12"/>
      <c r="C24" s="13"/>
      <c r="D24" s="13"/>
      <c r="E24" s="13"/>
      <c r="F24" s="13"/>
      <c r="G24" s="13"/>
      <c r="H24" s="28"/>
      <c r="I24" s="39" t="s">
        <v>42</v>
      </c>
      <c r="J24" s="24" t="s">
        <v>1387</v>
      </c>
      <c r="K24" s="26" t="s">
        <v>653</v>
      </c>
      <c r="L24" s="26" t="s">
        <v>357</v>
      </c>
      <c r="M24" s="41">
        <f>IFERROR(VLOOKUP($L24,'[2]Top WH -National'!$D$9:$AC$124,26,0),0)</f>
        <v>229375000</v>
      </c>
      <c r="N24" s="41">
        <f>IFERROR(VLOOKUP($L24,'[2]Top WH -National'!$D$9:$AC$124,4,0),0)</f>
        <v>1004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4">
        <f>(VLOOKUP($O$2,Prices!$E$3:$F$17,2,FALSE)*Urban!O24)+(VLOOKUP($P$2,Prices!$E$3:$F$17,2,FALSE)*Urban!P24)+(VLOOKUP($Q$2,Prices!$E$3:$F$17,2,FALSE)*Urban!Q24)+(VLOOKUP($R$2,Prices!$E$3:$F$17,2,FALSE)*Urban!R24)+(VLOOKUP($S$2,Prices!$E$3:$F$17,2,FALSE)*Urban!S24)+(VLOOKUP($T$2,Prices!$E$3:$F$17,2,FALSE)*Urban!T24)+(VLOOKUP($U$2,Prices!$E$3:$F$17,2,FALSE)*Urban!U24)+(VLOOKUP($V$2,Prices!$E$3:$F$17,2,FALSE)*Urban!V24)+(VLOOKUP($W$2,Prices!$E$3:$F$17,2,FALSE)*Urban!W24)+(VLOOKUP($X$2,Prices!$E$3:$F$17,2,FALSE)*Urban!X24)+(VLOOKUP($Y$2,Prices!$E$3:$F$17,2,FALSE)*Urban!Y24)+(VLOOKUP($Z$2,Prices!$E$3:$F$17,2,FALSE)*Urban!Z24)+(VLOOKUP($AA$2,Prices!$E$3:$F$17,2,FALSE)*Urban!AA24)+(VLOOKUP($AB$2,Prices!$E$3:$F$17,2,FALSE)*Urban!AB24)+M24</f>
        <v>229375000</v>
      </c>
      <c r="AD24" s="69">
        <v>138330000</v>
      </c>
      <c r="AE24" s="18"/>
      <c r="AF24" s="4">
        <f t="shared" si="0"/>
        <v>138330000</v>
      </c>
      <c r="AG24" s="4"/>
      <c r="AH24" s="16">
        <f t="shared" si="1"/>
        <v>138330000</v>
      </c>
      <c r="AI24" s="21">
        <f t="shared" si="2"/>
        <v>0.60307356948228885</v>
      </c>
      <c r="AJ24" s="20">
        <f t="shared" si="3"/>
        <v>0.60307356948228885</v>
      </c>
      <c r="AK24" s="9"/>
    </row>
    <row r="25" spans="1:37" hidden="1">
      <c r="A25" s="3">
        <v>23</v>
      </c>
      <c r="B25" s="12"/>
      <c r="C25" s="13"/>
      <c r="D25" s="13"/>
      <c r="E25" s="13"/>
      <c r="F25" s="13"/>
      <c r="G25" s="13"/>
      <c r="H25" s="28"/>
      <c r="I25" s="39" t="s">
        <v>44</v>
      </c>
      <c r="J25" s="24" t="s">
        <v>1387</v>
      </c>
      <c r="K25" s="26" t="s">
        <v>653</v>
      </c>
      <c r="L25" s="26" t="s">
        <v>358</v>
      </c>
      <c r="M25" s="41">
        <f>IFERROR(VLOOKUP($L25,'[2]Top WH -National'!$D$9:$AC$124,26,0),0)</f>
        <v>72774000</v>
      </c>
      <c r="N25" s="41">
        <f>IFERROR(VLOOKUP($L25,'[2]Top WH -National'!$D$9:$AC$124,4,0),0)</f>
        <v>300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4">
        <f>(VLOOKUP($O$2,Prices!$E$3:$F$17,2,FALSE)*Urban!O25)+(VLOOKUP($P$2,Prices!$E$3:$F$17,2,FALSE)*Urban!P25)+(VLOOKUP($Q$2,Prices!$E$3:$F$17,2,FALSE)*Urban!Q25)+(VLOOKUP($R$2,Prices!$E$3:$F$17,2,FALSE)*Urban!R25)+(VLOOKUP($S$2,Prices!$E$3:$F$17,2,FALSE)*Urban!S25)+(VLOOKUP($T$2,Prices!$E$3:$F$17,2,FALSE)*Urban!T25)+(VLOOKUP($U$2,Prices!$E$3:$F$17,2,FALSE)*Urban!U25)+(VLOOKUP($V$2,Prices!$E$3:$F$17,2,FALSE)*Urban!V25)+(VLOOKUP($W$2,Prices!$E$3:$F$17,2,FALSE)*Urban!W25)+(VLOOKUP($X$2,Prices!$E$3:$F$17,2,FALSE)*Urban!X25)+(VLOOKUP($Y$2,Prices!$E$3:$F$17,2,FALSE)*Urban!Y25)+(VLOOKUP($Z$2,Prices!$E$3:$F$17,2,FALSE)*Urban!Z25)+(VLOOKUP($AA$2,Prices!$E$3:$F$17,2,FALSE)*Urban!AA25)+(VLOOKUP($AB$2,Prices!$E$3:$F$17,2,FALSE)*Urban!AB25)+M25</f>
        <v>72774000</v>
      </c>
      <c r="AD25" s="69">
        <v>39150000</v>
      </c>
      <c r="AE25" s="18"/>
      <c r="AF25" s="4">
        <f t="shared" si="0"/>
        <v>39150000</v>
      </c>
      <c r="AG25" s="4"/>
      <c r="AH25" s="16">
        <f t="shared" si="1"/>
        <v>39150000</v>
      </c>
      <c r="AI25" s="21">
        <f t="shared" si="2"/>
        <v>0.53796685629483054</v>
      </c>
      <c r="AJ25" s="20">
        <f t="shared" si="3"/>
        <v>0.53796685629483054</v>
      </c>
      <c r="AK25" s="9"/>
    </row>
    <row r="26" spans="1:37" hidden="1">
      <c r="A26" s="3">
        <v>24</v>
      </c>
      <c r="B26" s="12"/>
      <c r="C26" s="13"/>
      <c r="D26" s="13"/>
      <c r="E26" s="13"/>
      <c r="F26" s="13"/>
      <c r="G26" s="13"/>
      <c r="H26" s="28"/>
      <c r="I26" s="24" t="s">
        <v>45</v>
      </c>
      <c r="J26" s="24" t="s">
        <v>1387</v>
      </c>
      <c r="K26" s="26" t="s">
        <v>653</v>
      </c>
      <c r="L26" s="26" t="s">
        <v>359</v>
      </c>
      <c r="M26" s="66">
        <f>IFERROR(VLOOKUP($L26,[1]Consolidated!$C$9:$AC$341,27,0),0)</f>
        <v>33620000</v>
      </c>
      <c r="N26" s="66">
        <f>IFERROR(VLOOKUP($L26,[1]Consolidated!$C$9:$AC$341,5,0),0)</f>
        <v>130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4">
        <f>(VLOOKUP($O$2,Prices!$E$3:$F$17,2,FALSE)*Urban!O26)+(VLOOKUP($P$2,Prices!$E$3:$F$17,2,FALSE)*Urban!P26)+(VLOOKUP($Q$2,Prices!$E$3:$F$17,2,FALSE)*Urban!Q26)+(VLOOKUP($R$2,Prices!$E$3:$F$17,2,FALSE)*Urban!R26)+(VLOOKUP($S$2,Prices!$E$3:$F$17,2,FALSE)*Urban!S26)+(VLOOKUP($T$2,Prices!$E$3:$F$17,2,FALSE)*Urban!T26)+(VLOOKUP($U$2,Prices!$E$3:$F$17,2,FALSE)*Urban!U26)+(VLOOKUP($V$2,Prices!$E$3:$F$17,2,FALSE)*Urban!V26)+(VLOOKUP($W$2,Prices!$E$3:$F$17,2,FALSE)*Urban!W26)+(VLOOKUP($X$2,Prices!$E$3:$F$17,2,FALSE)*Urban!X26)+(VLOOKUP($Y$2,Prices!$E$3:$F$17,2,FALSE)*Urban!Y26)+(VLOOKUP($Z$2,Prices!$E$3:$F$17,2,FALSE)*Urban!Z26)+(VLOOKUP($AA$2,Prices!$E$3:$F$17,2,FALSE)*Urban!AA26)+(VLOOKUP($AB$2,Prices!$E$3:$F$17,2,FALSE)*Urban!AB26)+M26</f>
        <v>33620000</v>
      </c>
      <c r="AD26" s="13">
        <v>0</v>
      </c>
      <c r="AE26" s="18"/>
      <c r="AF26" s="4">
        <f t="shared" si="0"/>
        <v>0</v>
      </c>
      <c r="AG26" s="4"/>
      <c r="AH26" s="16">
        <f t="shared" si="1"/>
        <v>0</v>
      </c>
      <c r="AI26" s="21">
        <f t="shared" si="2"/>
        <v>0</v>
      </c>
      <c r="AJ26" s="20">
        <f t="shared" si="3"/>
        <v>0</v>
      </c>
      <c r="AK26" s="9"/>
    </row>
    <row r="27" spans="1:37" hidden="1">
      <c r="A27" s="3">
        <v>25</v>
      </c>
      <c r="B27" s="12"/>
      <c r="C27" s="13"/>
      <c r="D27" s="13"/>
      <c r="E27" s="13"/>
      <c r="F27" s="13"/>
      <c r="G27" s="13"/>
      <c r="H27" s="28"/>
      <c r="I27" s="24" t="s">
        <v>1342</v>
      </c>
      <c r="J27" s="24" t="s">
        <v>1387</v>
      </c>
      <c r="K27" s="26" t="s">
        <v>653</v>
      </c>
      <c r="L27" s="26" t="s">
        <v>1318</v>
      </c>
      <c r="M27" s="66">
        <f>IFERROR(VLOOKUP($L27,[1]Consolidated!$C$9:$AC$341,27,0),0)</f>
        <v>0</v>
      </c>
      <c r="N27" s="66">
        <f>IFERROR(VLOOKUP($L27,[1]Consolidated!$C$9:$AC$341,5,0),0)</f>
        <v>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4">
        <f>(VLOOKUP($O$2,Prices!$E$3:$F$17,2,FALSE)*Urban!O27)+(VLOOKUP($P$2,Prices!$E$3:$F$17,2,FALSE)*Urban!P27)+(VLOOKUP($Q$2,Prices!$E$3:$F$17,2,FALSE)*Urban!Q27)+(VLOOKUP($R$2,Prices!$E$3:$F$17,2,FALSE)*Urban!R27)+(VLOOKUP($S$2,Prices!$E$3:$F$17,2,FALSE)*Urban!S27)+(VLOOKUP($T$2,Prices!$E$3:$F$17,2,FALSE)*Urban!T27)+(VLOOKUP($U$2,Prices!$E$3:$F$17,2,FALSE)*Urban!U27)+(VLOOKUP($V$2,Prices!$E$3:$F$17,2,FALSE)*Urban!V27)+(VLOOKUP($W$2,Prices!$E$3:$F$17,2,FALSE)*Urban!W27)+(VLOOKUP($X$2,Prices!$E$3:$F$17,2,FALSE)*Urban!X27)+(VLOOKUP($Y$2,Prices!$E$3:$F$17,2,FALSE)*Urban!Y27)+(VLOOKUP($Z$2,Prices!$E$3:$F$17,2,FALSE)*Urban!Z27)+(VLOOKUP($AA$2,Prices!$E$3:$F$17,2,FALSE)*Urban!AA27)+(VLOOKUP($AB$2,Prices!$E$3:$F$17,2,FALSE)*Urban!AB27)+M27</f>
        <v>0</v>
      </c>
      <c r="AD27" s="13">
        <v>0</v>
      </c>
      <c r="AE27" s="18"/>
      <c r="AF27" s="4">
        <f t="shared" si="0"/>
        <v>0</v>
      </c>
      <c r="AG27" s="4"/>
      <c r="AH27" s="16">
        <f t="shared" si="1"/>
        <v>0</v>
      </c>
      <c r="AI27" s="21" t="e">
        <f t="shared" si="2"/>
        <v>#DIV/0!</v>
      </c>
      <c r="AJ27" s="20" t="e">
        <f t="shared" si="3"/>
        <v>#DIV/0!</v>
      </c>
      <c r="AK27" s="19"/>
    </row>
    <row r="28" spans="1:37" hidden="1">
      <c r="A28" s="3">
        <v>26</v>
      </c>
      <c r="B28" s="12"/>
      <c r="C28" s="13"/>
      <c r="D28" s="13"/>
      <c r="E28" s="13"/>
      <c r="F28" s="13"/>
      <c r="G28" s="13"/>
      <c r="H28" s="28"/>
      <c r="I28" s="24" t="s">
        <v>46</v>
      </c>
      <c r="J28" s="24" t="s">
        <v>1387</v>
      </c>
      <c r="K28" s="26" t="s">
        <v>654</v>
      </c>
      <c r="L28" s="26" t="s">
        <v>360</v>
      </c>
      <c r="M28" s="66">
        <f>IFERROR(VLOOKUP($L28,[1]Consolidated!$C$9:$AC$341,27,0),0)</f>
        <v>16242000</v>
      </c>
      <c r="N28" s="66">
        <f>IFERROR(VLOOKUP($L28,[1]Consolidated!$C$9:$AC$341,5,0),0)</f>
        <v>75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4">
        <f>(VLOOKUP($O$2,Prices!$E$3:$F$17,2,FALSE)*Urban!O28)+(VLOOKUP($P$2,Prices!$E$3:$F$17,2,FALSE)*Urban!P28)+(VLOOKUP($Q$2,Prices!$E$3:$F$17,2,FALSE)*Urban!Q28)+(VLOOKUP($R$2,Prices!$E$3:$F$17,2,FALSE)*Urban!R28)+(VLOOKUP($S$2,Prices!$E$3:$F$17,2,FALSE)*Urban!S28)+(VLOOKUP($T$2,Prices!$E$3:$F$17,2,FALSE)*Urban!T28)+(VLOOKUP($U$2,Prices!$E$3:$F$17,2,FALSE)*Urban!U28)+(VLOOKUP($V$2,Prices!$E$3:$F$17,2,FALSE)*Urban!V28)+(VLOOKUP($W$2,Prices!$E$3:$F$17,2,FALSE)*Urban!W28)+(VLOOKUP($X$2,Prices!$E$3:$F$17,2,FALSE)*Urban!X28)+(VLOOKUP($Y$2,Prices!$E$3:$F$17,2,FALSE)*Urban!Y28)+(VLOOKUP($Z$2,Prices!$E$3:$F$17,2,FALSE)*Urban!Z28)+(VLOOKUP($AA$2,Prices!$E$3:$F$17,2,FALSE)*Urban!AA28)+(VLOOKUP($AB$2,Prices!$E$3:$F$17,2,FALSE)*Urban!AB28)+M28</f>
        <v>16242000</v>
      </c>
      <c r="AD28" s="69">
        <v>3461000</v>
      </c>
      <c r="AE28" s="18"/>
      <c r="AF28" s="4">
        <f t="shared" si="0"/>
        <v>3461000</v>
      </c>
      <c r="AG28" s="4"/>
      <c r="AH28" s="16">
        <f t="shared" si="1"/>
        <v>3461000</v>
      </c>
      <c r="AI28" s="21">
        <f t="shared" si="2"/>
        <v>0.21308952099495135</v>
      </c>
      <c r="AJ28" s="20">
        <f t="shared" si="3"/>
        <v>0.21308952099495135</v>
      </c>
      <c r="AK28" s="9"/>
    </row>
    <row r="29" spans="1:37" hidden="1">
      <c r="A29" s="3">
        <v>27</v>
      </c>
      <c r="B29" s="12"/>
      <c r="C29" s="13"/>
      <c r="D29" s="13"/>
      <c r="E29" s="13"/>
      <c r="F29" s="13"/>
      <c r="G29" s="13"/>
      <c r="H29" s="28"/>
      <c r="I29" s="24" t="s">
        <v>47</v>
      </c>
      <c r="J29" s="24" t="s">
        <v>1387</v>
      </c>
      <c r="K29" s="26" t="s">
        <v>654</v>
      </c>
      <c r="L29" s="26" t="s">
        <v>361</v>
      </c>
      <c r="M29" s="66">
        <f>IFERROR(VLOOKUP($L29,[1]Consolidated!$C$9:$AC$341,27,0),0)</f>
        <v>14424000</v>
      </c>
      <c r="N29" s="66">
        <f>IFERROR(VLOOKUP($L29,[1]Consolidated!$C$9:$AC$341,5,0),0)</f>
        <v>70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4">
        <f>(VLOOKUP($O$2,Prices!$E$3:$F$17,2,FALSE)*Urban!O29)+(VLOOKUP($P$2,Prices!$E$3:$F$17,2,FALSE)*Urban!P29)+(VLOOKUP($Q$2,Prices!$E$3:$F$17,2,FALSE)*Urban!Q29)+(VLOOKUP($R$2,Prices!$E$3:$F$17,2,FALSE)*Urban!R29)+(VLOOKUP($S$2,Prices!$E$3:$F$17,2,FALSE)*Urban!S29)+(VLOOKUP($T$2,Prices!$E$3:$F$17,2,FALSE)*Urban!T29)+(VLOOKUP($U$2,Prices!$E$3:$F$17,2,FALSE)*Urban!U29)+(VLOOKUP($V$2,Prices!$E$3:$F$17,2,FALSE)*Urban!V29)+(VLOOKUP($W$2,Prices!$E$3:$F$17,2,FALSE)*Urban!W29)+(VLOOKUP($X$2,Prices!$E$3:$F$17,2,FALSE)*Urban!X29)+(VLOOKUP($Y$2,Prices!$E$3:$F$17,2,FALSE)*Urban!Y29)+(VLOOKUP($Z$2,Prices!$E$3:$F$17,2,FALSE)*Urban!Z29)+(VLOOKUP($AA$2,Prices!$E$3:$F$17,2,FALSE)*Urban!AA29)+(VLOOKUP($AB$2,Prices!$E$3:$F$17,2,FALSE)*Urban!AB29)+M29</f>
        <v>14424000</v>
      </c>
      <c r="AD29" s="13">
        <v>0</v>
      </c>
      <c r="AE29" s="18"/>
      <c r="AF29" s="4">
        <f t="shared" si="0"/>
        <v>0</v>
      </c>
      <c r="AG29" s="4"/>
      <c r="AH29" s="16">
        <f t="shared" si="1"/>
        <v>0</v>
      </c>
      <c r="AI29" s="21">
        <f t="shared" si="2"/>
        <v>0</v>
      </c>
      <c r="AJ29" s="20">
        <f t="shared" si="3"/>
        <v>0</v>
      </c>
      <c r="AK29" s="9"/>
    </row>
    <row r="30" spans="1:37" hidden="1">
      <c r="A30" s="3">
        <v>28</v>
      </c>
      <c r="B30" s="12"/>
      <c r="C30" s="13"/>
      <c r="D30" s="13"/>
      <c r="E30" s="13"/>
      <c r="F30" s="13"/>
      <c r="G30" s="13"/>
      <c r="H30" s="28"/>
      <c r="I30" s="39" t="s">
        <v>48</v>
      </c>
      <c r="J30" s="24" t="s">
        <v>1387</v>
      </c>
      <c r="K30" s="26" t="s">
        <v>654</v>
      </c>
      <c r="L30" s="26" t="s">
        <v>362</v>
      </c>
      <c r="M30" s="41">
        <f>IFERROR(VLOOKUP($L30,'[2]Top WH -National'!$D$9:$AC$124,26,0),0)</f>
        <v>61481000</v>
      </c>
      <c r="N30" s="41">
        <f>IFERROR(VLOOKUP($L30,'[2]Top WH -National'!$D$9:$AC$124,4,0),0)</f>
        <v>300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4">
        <f>(VLOOKUP($O$2,Prices!$E$3:$F$17,2,FALSE)*Urban!O30)+(VLOOKUP($P$2,Prices!$E$3:$F$17,2,FALSE)*Urban!P30)+(VLOOKUP($Q$2,Prices!$E$3:$F$17,2,FALSE)*Urban!Q30)+(VLOOKUP($R$2,Prices!$E$3:$F$17,2,FALSE)*Urban!R30)+(VLOOKUP($S$2,Prices!$E$3:$F$17,2,FALSE)*Urban!S30)+(VLOOKUP($T$2,Prices!$E$3:$F$17,2,FALSE)*Urban!T30)+(VLOOKUP($U$2,Prices!$E$3:$F$17,2,FALSE)*Urban!U30)+(VLOOKUP($V$2,Prices!$E$3:$F$17,2,FALSE)*Urban!V30)+(VLOOKUP($W$2,Prices!$E$3:$F$17,2,FALSE)*Urban!W30)+(VLOOKUP($X$2,Prices!$E$3:$F$17,2,FALSE)*Urban!X30)+(VLOOKUP($Y$2,Prices!$E$3:$F$17,2,FALSE)*Urban!Y30)+(VLOOKUP($Z$2,Prices!$E$3:$F$17,2,FALSE)*Urban!Z30)+(VLOOKUP($AA$2,Prices!$E$3:$F$17,2,FALSE)*Urban!AA30)+(VLOOKUP($AB$2,Prices!$E$3:$F$17,2,FALSE)*Urban!AB30)+M30</f>
        <v>61481000</v>
      </c>
      <c r="AD30" s="69">
        <v>37116000</v>
      </c>
      <c r="AE30" s="18"/>
      <c r="AF30" s="4">
        <f t="shared" si="0"/>
        <v>37116000</v>
      </c>
      <c r="AG30" s="4"/>
      <c r="AH30" s="16">
        <f t="shared" si="1"/>
        <v>37116000</v>
      </c>
      <c r="AI30" s="21">
        <f t="shared" si="2"/>
        <v>0.60369870366454681</v>
      </c>
      <c r="AJ30" s="20">
        <f t="shared" si="3"/>
        <v>0.60369870366454681</v>
      </c>
      <c r="AK30" s="9"/>
    </row>
    <row r="31" spans="1:37" hidden="1">
      <c r="A31" s="3">
        <v>29</v>
      </c>
      <c r="B31" s="12"/>
      <c r="C31" s="13"/>
      <c r="D31" s="13"/>
      <c r="E31" s="13"/>
      <c r="F31" s="13"/>
      <c r="G31" s="13">
        <f>SUM(G3:G30)</f>
        <v>0</v>
      </c>
      <c r="H31" s="28"/>
      <c r="I31" s="24" t="s">
        <v>49</v>
      </c>
      <c r="J31" s="24" t="s">
        <v>1387</v>
      </c>
      <c r="K31" s="26" t="s">
        <v>654</v>
      </c>
      <c r="L31" s="26" t="s">
        <v>363</v>
      </c>
      <c r="M31" s="66">
        <f>IFERROR(VLOOKUP($L31,[1]Consolidated!$C$9:$AC$341,27,0),0)</f>
        <v>14994000</v>
      </c>
      <c r="N31" s="66">
        <f>IFERROR(VLOOKUP($L31,[1]Consolidated!$C$9:$AC$341,5,0),0)</f>
        <v>70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4">
        <f>(VLOOKUP($O$2,Prices!$E$3:$F$17,2,FALSE)*Urban!O31)+(VLOOKUP($P$2,Prices!$E$3:$F$17,2,FALSE)*Urban!P31)+(VLOOKUP($Q$2,Prices!$E$3:$F$17,2,FALSE)*Urban!Q31)+(VLOOKUP($R$2,Prices!$E$3:$F$17,2,FALSE)*Urban!R31)+(VLOOKUP($S$2,Prices!$E$3:$F$17,2,FALSE)*Urban!S31)+(VLOOKUP($T$2,Prices!$E$3:$F$17,2,FALSE)*Urban!T31)+(VLOOKUP($U$2,Prices!$E$3:$F$17,2,FALSE)*Urban!U31)+(VLOOKUP($V$2,Prices!$E$3:$F$17,2,FALSE)*Urban!V31)+(VLOOKUP($W$2,Prices!$E$3:$F$17,2,FALSE)*Urban!W31)+(VLOOKUP($X$2,Prices!$E$3:$F$17,2,FALSE)*Urban!X31)+(VLOOKUP($Y$2,Prices!$E$3:$F$17,2,FALSE)*Urban!Y31)+(VLOOKUP($Z$2,Prices!$E$3:$F$17,2,FALSE)*Urban!Z31)+(VLOOKUP($AA$2,Prices!$E$3:$F$17,2,FALSE)*Urban!AA31)+(VLOOKUP($AB$2,Prices!$E$3:$F$17,2,FALSE)*Urban!AB31)+M31</f>
        <v>14994000</v>
      </c>
      <c r="AD31" s="69">
        <v>3706000</v>
      </c>
      <c r="AE31" s="18"/>
      <c r="AF31" s="4">
        <f t="shared" si="0"/>
        <v>3706000</v>
      </c>
      <c r="AG31" s="4"/>
      <c r="AH31" s="16">
        <f t="shared" si="1"/>
        <v>3706000</v>
      </c>
      <c r="AI31" s="21">
        <f t="shared" si="2"/>
        <v>0.2471655328798186</v>
      </c>
      <c r="AJ31" s="20">
        <f t="shared" si="3"/>
        <v>0.2471655328798186</v>
      </c>
      <c r="AK31" s="9"/>
    </row>
    <row r="32" spans="1:37" hidden="1">
      <c r="A32" s="3">
        <v>30</v>
      </c>
      <c r="B32" s="12"/>
      <c r="C32" s="13"/>
      <c r="D32" s="13"/>
      <c r="E32" s="13"/>
      <c r="F32" s="13"/>
      <c r="G32" s="13"/>
      <c r="H32" s="28"/>
      <c r="I32" s="24" t="s">
        <v>50</v>
      </c>
      <c r="J32" s="24" t="s">
        <v>1387</v>
      </c>
      <c r="K32" s="26" t="s">
        <v>654</v>
      </c>
      <c r="L32" s="26" t="s">
        <v>364</v>
      </c>
      <c r="M32" s="66">
        <f>IFERROR(VLOOKUP($L32,[1]Consolidated!$C$9:$AC$341,27,0),0)</f>
        <v>31011000</v>
      </c>
      <c r="N32" s="66">
        <f>IFERROR(VLOOKUP($L32,[1]Consolidated!$C$9:$AC$341,5,0),0)</f>
        <v>145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4">
        <f>(VLOOKUP($O$2,Prices!$E$3:$F$17,2,FALSE)*Urban!O32)+(VLOOKUP($P$2,Prices!$E$3:$F$17,2,FALSE)*Urban!P32)+(VLOOKUP($Q$2,Prices!$E$3:$F$17,2,FALSE)*Urban!Q32)+(VLOOKUP($R$2,Prices!$E$3:$F$17,2,FALSE)*Urban!R32)+(VLOOKUP($S$2,Prices!$E$3:$F$17,2,FALSE)*Urban!S32)+(VLOOKUP($T$2,Prices!$E$3:$F$17,2,FALSE)*Urban!T32)+(VLOOKUP($U$2,Prices!$E$3:$F$17,2,FALSE)*Urban!U32)+(VLOOKUP($V$2,Prices!$E$3:$F$17,2,FALSE)*Urban!V32)+(VLOOKUP($W$2,Prices!$E$3:$F$17,2,FALSE)*Urban!W32)+(VLOOKUP($X$2,Prices!$E$3:$F$17,2,FALSE)*Urban!X32)+(VLOOKUP($Y$2,Prices!$E$3:$F$17,2,FALSE)*Urban!Y32)+(VLOOKUP($Z$2,Prices!$E$3:$F$17,2,FALSE)*Urban!Z32)+(VLOOKUP($AA$2,Prices!$E$3:$F$17,2,FALSE)*Urban!AA32)+(VLOOKUP($AB$2,Prices!$E$3:$F$17,2,FALSE)*Urban!AB32)+M32</f>
        <v>31011000</v>
      </c>
      <c r="AD32" s="13">
        <v>0</v>
      </c>
      <c r="AE32" s="18"/>
      <c r="AF32" s="4">
        <f t="shared" si="0"/>
        <v>0</v>
      </c>
      <c r="AG32" s="4"/>
      <c r="AH32" s="16">
        <f t="shared" si="1"/>
        <v>0</v>
      </c>
      <c r="AI32" s="21">
        <f t="shared" si="2"/>
        <v>0</v>
      </c>
      <c r="AJ32" s="20">
        <f t="shared" si="3"/>
        <v>0</v>
      </c>
      <c r="AK32" s="9"/>
    </row>
    <row r="33" spans="1:39" hidden="1">
      <c r="A33" s="3">
        <v>31</v>
      </c>
      <c r="B33" s="12"/>
      <c r="C33" s="13"/>
      <c r="D33" s="13"/>
      <c r="E33" s="13"/>
      <c r="F33" s="13"/>
      <c r="G33" s="13"/>
      <c r="H33" s="28"/>
      <c r="I33" s="24" t="s">
        <v>51</v>
      </c>
      <c r="J33" s="24" t="s">
        <v>1387</v>
      </c>
      <c r="K33" s="26" t="s">
        <v>654</v>
      </c>
      <c r="L33" s="26" t="s">
        <v>365</v>
      </c>
      <c r="M33" s="66">
        <f>IFERROR(VLOOKUP($L33,[1]Consolidated!$C$9:$AC$341,27,0),0)</f>
        <v>28831000</v>
      </c>
      <c r="N33" s="66">
        <f>IFERROR(VLOOKUP($L33,[1]Consolidated!$C$9:$AC$341,5,0),0)</f>
        <v>135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4">
        <f>(VLOOKUP($O$2,Prices!$E$3:$F$17,2,FALSE)*Urban!O33)+(VLOOKUP($P$2,Prices!$E$3:$F$17,2,FALSE)*Urban!P33)+(VLOOKUP($Q$2,Prices!$E$3:$F$17,2,FALSE)*Urban!Q33)+(VLOOKUP($R$2,Prices!$E$3:$F$17,2,FALSE)*Urban!R33)+(VLOOKUP($S$2,Prices!$E$3:$F$17,2,FALSE)*Urban!S33)+(VLOOKUP($T$2,Prices!$E$3:$F$17,2,FALSE)*Urban!T33)+(VLOOKUP($U$2,Prices!$E$3:$F$17,2,FALSE)*Urban!U33)+(VLOOKUP($V$2,Prices!$E$3:$F$17,2,FALSE)*Urban!V33)+(VLOOKUP($W$2,Prices!$E$3:$F$17,2,FALSE)*Urban!W33)+(VLOOKUP($X$2,Prices!$E$3:$F$17,2,FALSE)*Urban!X33)+(VLOOKUP($Y$2,Prices!$E$3:$F$17,2,FALSE)*Urban!Y33)+(VLOOKUP($Z$2,Prices!$E$3:$F$17,2,FALSE)*Urban!Z33)+(VLOOKUP($AA$2,Prices!$E$3:$F$17,2,FALSE)*Urban!AA33)+(VLOOKUP($AB$2,Prices!$E$3:$F$17,2,FALSE)*Urban!AB33)+M33</f>
        <v>28831000</v>
      </c>
      <c r="AD33" s="69">
        <v>6738500</v>
      </c>
      <c r="AE33" s="18"/>
      <c r="AF33" s="4">
        <f t="shared" si="0"/>
        <v>6738500</v>
      </c>
      <c r="AG33" s="4"/>
      <c r="AH33" s="16">
        <f t="shared" si="1"/>
        <v>6738500</v>
      </c>
      <c r="AI33" s="21">
        <f t="shared" si="2"/>
        <v>0.23372411640248344</v>
      </c>
      <c r="AJ33" s="20">
        <f t="shared" si="3"/>
        <v>0.23372411640248344</v>
      </c>
      <c r="AK33" s="9"/>
    </row>
    <row r="34" spans="1:39" hidden="1">
      <c r="A34" s="3">
        <v>32</v>
      </c>
      <c r="B34" s="12"/>
      <c r="C34" s="13"/>
      <c r="D34" s="13"/>
      <c r="E34" s="13"/>
      <c r="F34" s="13"/>
      <c r="G34" s="13"/>
      <c r="H34" s="28"/>
      <c r="I34" s="24" t="s">
        <v>52</v>
      </c>
      <c r="J34" s="24" t="s">
        <v>1387</v>
      </c>
      <c r="K34" s="26" t="s">
        <v>654</v>
      </c>
      <c r="L34" s="26" t="s">
        <v>366</v>
      </c>
      <c r="M34" s="66">
        <f>IFERROR(VLOOKUP($L34,[1]Consolidated!$C$9:$AC$341,27,0),0)</f>
        <v>14235000</v>
      </c>
      <c r="N34" s="66">
        <f>IFERROR(VLOOKUP($L34,[1]Consolidated!$C$9:$AC$341,5,0),0)</f>
        <v>70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4">
        <f>(VLOOKUP($O$2,Prices!$E$3:$F$17,2,FALSE)*Urban!O34)+(VLOOKUP($P$2,Prices!$E$3:$F$17,2,FALSE)*Urban!P34)+(VLOOKUP($Q$2,Prices!$E$3:$F$17,2,FALSE)*Urban!Q34)+(VLOOKUP($R$2,Prices!$E$3:$F$17,2,FALSE)*Urban!R34)+(VLOOKUP($S$2,Prices!$E$3:$F$17,2,FALSE)*Urban!S34)+(VLOOKUP($T$2,Prices!$E$3:$F$17,2,FALSE)*Urban!T34)+(VLOOKUP($U$2,Prices!$E$3:$F$17,2,FALSE)*Urban!U34)+(VLOOKUP($V$2,Prices!$E$3:$F$17,2,FALSE)*Urban!V34)+(VLOOKUP($W$2,Prices!$E$3:$F$17,2,FALSE)*Urban!W34)+(VLOOKUP($X$2,Prices!$E$3:$F$17,2,FALSE)*Urban!X34)+(VLOOKUP($Y$2,Prices!$E$3:$F$17,2,FALSE)*Urban!Y34)+(VLOOKUP($Z$2,Prices!$E$3:$F$17,2,FALSE)*Urban!Z34)+(VLOOKUP($AA$2,Prices!$E$3:$F$17,2,FALSE)*Urban!AA34)+(VLOOKUP($AB$2,Prices!$E$3:$F$17,2,FALSE)*Urban!AB34)+M34</f>
        <v>14235000</v>
      </c>
      <c r="AD34" s="69">
        <v>3691000</v>
      </c>
      <c r="AE34" s="18"/>
      <c r="AF34" s="4">
        <f t="shared" si="0"/>
        <v>3691000</v>
      </c>
      <c r="AG34" s="4"/>
      <c r="AH34" s="16">
        <f t="shared" si="1"/>
        <v>3691000</v>
      </c>
      <c r="AI34" s="21">
        <f t="shared" si="2"/>
        <v>0.2592904812082894</v>
      </c>
      <c r="AJ34" s="20">
        <f t="shared" si="3"/>
        <v>0.2592904812082894</v>
      </c>
      <c r="AK34" s="9"/>
    </row>
    <row r="35" spans="1:39" hidden="1">
      <c r="A35" s="3">
        <v>33</v>
      </c>
      <c r="B35" s="12"/>
      <c r="C35" s="13"/>
      <c r="D35" s="13"/>
      <c r="E35" s="13"/>
      <c r="F35" s="13"/>
      <c r="G35" s="13"/>
      <c r="H35" s="28"/>
      <c r="I35" s="24" t="s">
        <v>53</v>
      </c>
      <c r="J35" s="24" t="s">
        <v>1387</v>
      </c>
      <c r="K35" s="26" t="s">
        <v>654</v>
      </c>
      <c r="L35" s="26" t="s">
        <v>367</v>
      </c>
      <c r="M35" s="66">
        <f>IFERROR(VLOOKUP($L35,[1]Consolidated!$C$9:$AC$341,27,0),0)</f>
        <v>26559000</v>
      </c>
      <c r="N35" s="66">
        <f>IFERROR(VLOOKUP($L35,[1]Consolidated!$C$9:$AC$341,5,0),0)</f>
        <v>130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4">
        <f>(VLOOKUP($O$2,Prices!$E$3:$F$17,2,FALSE)*Urban!O35)+(VLOOKUP($P$2,Prices!$E$3:$F$17,2,FALSE)*Urban!P35)+(VLOOKUP($Q$2,Prices!$E$3:$F$17,2,FALSE)*Urban!Q35)+(VLOOKUP($R$2,Prices!$E$3:$F$17,2,FALSE)*Urban!R35)+(VLOOKUP($S$2,Prices!$E$3:$F$17,2,FALSE)*Urban!S35)+(VLOOKUP($T$2,Prices!$E$3:$F$17,2,FALSE)*Urban!T35)+(VLOOKUP($U$2,Prices!$E$3:$F$17,2,FALSE)*Urban!U35)+(VLOOKUP($V$2,Prices!$E$3:$F$17,2,FALSE)*Urban!V35)+(VLOOKUP($W$2,Prices!$E$3:$F$17,2,FALSE)*Urban!W35)+(VLOOKUP($X$2,Prices!$E$3:$F$17,2,FALSE)*Urban!X35)+(VLOOKUP($Y$2,Prices!$E$3:$F$17,2,FALSE)*Urban!Y35)+(VLOOKUP($Z$2,Prices!$E$3:$F$17,2,FALSE)*Urban!Z35)+(VLOOKUP($AA$2,Prices!$E$3:$F$17,2,FALSE)*Urban!AA35)+(VLOOKUP($AB$2,Prices!$E$3:$F$17,2,FALSE)*Urban!AB35)+M35</f>
        <v>26559000</v>
      </c>
      <c r="AD35" s="69">
        <v>6569000</v>
      </c>
      <c r="AE35" s="18"/>
      <c r="AF35" s="4">
        <f t="shared" si="0"/>
        <v>6569000</v>
      </c>
      <c r="AG35" s="4"/>
      <c r="AH35" s="16">
        <f t="shared" si="1"/>
        <v>6569000</v>
      </c>
      <c r="AI35" s="21">
        <f t="shared" si="2"/>
        <v>0.24733611958281562</v>
      </c>
      <c r="AJ35" s="20">
        <f t="shared" si="3"/>
        <v>0.24733611958281562</v>
      </c>
      <c r="AK35" s="9"/>
    </row>
    <row r="36" spans="1:39" hidden="1">
      <c r="A36" s="3">
        <v>34</v>
      </c>
      <c r="B36" s="12"/>
      <c r="C36" s="13"/>
      <c r="D36" s="13"/>
      <c r="E36" s="13"/>
      <c r="F36" s="13"/>
      <c r="G36" s="13"/>
      <c r="H36" s="28"/>
      <c r="I36" s="24" t="s">
        <v>54</v>
      </c>
      <c r="J36" s="24" t="s">
        <v>1387</v>
      </c>
      <c r="K36" s="26" t="s">
        <v>654</v>
      </c>
      <c r="L36" s="26" t="s">
        <v>368</v>
      </c>
      <c r="M36" s="66">
        <f>IFERROR(VLOOKUP($L36,[1]Consolidated!$C$9:$AC$341,27,0),0)</f>
        <v>27831000</v>
      </c>
      <c r="N36" s="66">
        <f>IFERROR(VLOOKUP($L36,[1]Consolidated!$C$9:$AC$341,5,0),0)</f>
        <v>130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4">
        <f>(VLOOKUP($O$2,Prices!$E$3:$F$17,2,FALSE)*Urban!O36)+(VLOOKUP($P$2,Prices!$E$3:$F$17,2,FALSE)*Urban!P36)+(VLOOKUP($Q$2,Prices!$E$3:$F$17,2,FALSE)*Urban!Q36)+(VLOOKUP($R$2,Prices!$E$3:$F$17,2,FALSE)*Urban!R36)+(VLOOKUP($S$2,Prices!$E$3:$F$17,2,FALSE)*Urban!S36)+(VLOOKUP($T$2,Prices!$E$3:$F$17,2,FALSE)*Urban!T36)+(VLOOKUP($U$2,Prices!$E$3:$F$17,2,FALSE)*Urban!U36)+(VLOOKUP($V$2,Prices!$E$3:$F$17,2,FALSE)*Urban!V36)+(VLOOKUP($W$2,Prices!$E$3:$F$17,2,FALSE)*Urban!W36)+(VLOOKUP($X$2,Prices!$E$3:$F$17,2,FALSE)*Urban!X36)+(VLOOKUP($Y$2,Prices!$E$3:$F$17,2,FALSE)*Urban!Y36)+(VLOOKUP($Z$2,Prices!$E$3:$F$17,2,FALSE)*Urban!Z36)+(VLOOKUP($AA$2,Prices!$E$3:$F$17,2,FALSE)*Urban!AA36)+(VLOOKUP($AB$2,Prices!$E$3:$F$17,2,FALSE)*Urban!AB36)+M36</f>
        <v>27831000</v>
      </c>
      <c r="AD36" s="13">
        <v>0</v>
      </c>
      <c r="AE36" s="18"/>
      <c r="AF36" s="4">
        <f t="shared" si="0"/>
        <v>0</v>
      </c>
      <c r="AG36" s="4"/>
      <c r="AH36" s="16">
        <f t="shared" si="1"/>
        <v>0</v>
      </c>
      <c r="AI36" s="21">
        <f t="shared" si="2"/>
        <v>0</v>
      </c>
      <c r="AJ36" s="20">
        <f t="shared" si="3"/>
        <v>0</v>
      </c>
      <c r="AK36" s="9"/>
    </row>
    <row r="37" spans="1:39" hidden="1">
      <c r="A37" s="3">
        <v>35</v>
      </c>
      <c r="B37" s="12"/>
      <c r="C37" s="13"/>
      <c r="D37" s="13"/>
      <c r="E37" s="13"/>
      <c r="F37" s="13"/>
      <c r="G37" s="13"/>
      <c r="H37" s="28"/>
      <c r="I37" s="24" t="s">
        <v>55</v>
      </c>
      <c r="J37" s="24" t="s">
        <v>1387</v>
      </c>
      <c r="K37" s="26" t="s">
        <v>654</v>
      </c>
      <c r="L37" s="26" t="s">
        <v>369</v>
      </c>
      <c r="M37" s="66">
        <f>IFERROR(VLOOKUP($L37,[1]Consolidated!$C$9:$AC$341,27,0),0)</f>
        <v>16115000</v>
      </c>
      <c r="N37" s="66">
        <f>IFERROR(VLOOKUP($L37,[1]Consolidated!$C$9:$AC$341,5,0),0)</f>
        <v>75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4">
        <f>(VLOOKUP($O$2,Prices!$E$3:$F$17,2,FALSE)*Urban!O37)+(VLOOKUP($P$2,Prices!$E$3:$F$17,2,FALSE)*Urban!P37)+(VLOOKUP($Q$2,Prices!$E$3:$F$17,2,FALSE)*Urban!Q37)+(VLOOKUP($R$2,Prices!$E$3:$F$17,2,FALSE)*Urban!R37)+(VLOOKUP($S$2,Prices!$E$3:$F$17,2,FALSE)*Urban!S37)+(VLOOKUP($T$2,Prices!$E$3:$F$17,2,FALSE)*Urban!T37)+(VLOOKUP($U$2,Prices!$E$3:$F$17,2,FALSE)*Urban!U37)+(VLOOKUP($V$2,Prices!$E$3:$F$17,2,FALSE)*Urban!V37)+(VLOOKUP($W$2,Prices!$E$3:$F$17,2,FALSE)*Urban!W37)+(VLOOKUP($X$2,Prices!$E$3:$F$17,2,FALSE)*Urban!X37)+(VLOOKUP($Y$2,Prices!$E$3:$F$17,2,FALSE)*Urban!Y37)+(VLOOKUP($Z$2,Prices!$E$3:$F$17,2,FALSE)*Urban!Z37)+(VLOOKUP($AA$2,Prices!$E$3:$F$17,2,FALSE)*Urban!AA37)+(VLOOKUP($AB$2,Prices!$E$3:$F$17,2,FALSE)*Urban!AB37)+M37</f>
        <v>16115000</v>
      </c>
      <c r="AD37" s="69">
        <v>4383000</v>
      </c>
      <c r="AE37" s="18"/>
      <c r="AF37" s="4">
        <f t="shared" si="0"/>
        <v>4383000</v>
      </c>
      <c r="AG37" s="4"/>
      <c r="AH37" s="16">
        <f t="shared" si="1"/>
        <v>4383000</v>
      </c>
      <c r="AI37" s="21">
        <f t="shared" si="2"/>
        <v>0.27198262488364877</v>
      </c>
      <c r="AJ37" s="20">
        <f t="shared" si="3"/>
        <v>0.27198262488364877</v>
      </c>
      <c r="AK37" s="9"/>
    </row>
    <row r="38" spans="1:39" hidden="1">
      <c r="A38" s="3">
        <v>36</v>
      </c>
      <c r="B38" s="12"/>
      <c r="C38" s="13"/>
      <c r="D38" s="13"/>
      <c r="E38" s="13"/>
      <c r="F38" s="13"/>
      <c r="G38" s="13"/>
      <c r="H38" s="28"/>
      <c r="I38" s="24" t="s">
        <v>56</v>
      </c>
      <c r="J38" s="24" t="s">
        <v>1387</v>
      </c>
      <c r="K38" s="26" t="s">
        <v>654</v>
      </c>
      <c r="L38" s="26" t="s">
        <v>370</v>
      </c>
      <c r="M38" s="66">
        <f>IFERROR(VLOOKUP($L38,[1]Consolidated!$C$9:$AC$341,27,0),0)</f>
        <v>24909000</v>
      </c>
      <c r="N38" s="66">
        <f>IFERROR(VLOOKUP($L38,[1]Consolidated!$C$9:$AC$341,5,0),0)</f>
        <v>120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4">
        <f>(VLOOKUP($O$2,Prices!$E$3:$F$17,2,FALSE)*Urban!O38)+(VLOOKUP($P$2,Prices!$E$3:$F$17,2,FALSE)*Urban!P38)+(VLOOKUP($Q$2,Prices!$E$3:$F$17,2,FALSE)*Urban!Q38)+(VLOOKUP($R$2,Prices!$E$3:$F$17,2,FALSE)*Urban!R38)+(VLOOKUP($S$2,Prices!$E$3:$F$17,2,FALSE)*Urban!S38)+(VLOOKUP($T$2,Prices!$E$3:$F$17,2,FALSE)*Urban!T38)+(VLOOKUP($U$2,Prices!$E$3:$F$17,2,FALSE)*Urban!U38)+(VLOOKUP($V$2,Prices!$E$3:$F$17,2,FALSE)*Urban!V38)+(VLOOKUP($W$2,Prices!$E$3:$F$17,2,FALSE)*Urban!W38)+(VLOOKUP($X$2,Prices!$E$3:$F$17,2,FALSE)*Urban!X38)+(VLOOKUP($Y$2,Prices!$E$3:$F$17,2,FALSE)*Urban!Y38)+(VLOOKUP($Z$2,Prices!$E$3:$F$17,2,FALSE)*Urban!Z38)+(VLOOKUP($AA$2,Prices!$E$3:$F$17,2,FALSE)*Urban!AA38)+(VLOOKUP($AB$2,Prices!$E$3:$F$17,2,FALSE)*Urban!AB38)+M38</f>
        <v>24909000</v>
      </c>
      <c r="AD38" s="69">
        <v>6152000</v>
      </c>
      <c r="AE38" s="18"/>
      <c r="AF38" s="4">
        <f t="shared" si="0"/>
        <v>6152000</v>
      </c>
      <c r="AG38" s="4"/>
      <c r="AH38" s="16">
        <f t="shared" si="1"/>
        <v>6152000</v>
      </c>
      <c r="AI38" s="21">
        <f t="shared" si="2"/>
        <v>0.24697900357300573</v>
      </c>
      <c r="AJ38" s="20">
        <f t="shared" si="3"/>
        <v>0.24697900357300573</v>
      </c>
      <c r="AK38" s="19"/>
    </row>
    <row r="39" spans="1:39" hidden="1">
      <c r="A39" s="3">
        <v>37</v>
      </c>
      <c r="B39" s="12"/>
      <c r="C39" s="13"/>
      <c r="D39" s="13"/>
      <c r="E39" s="13"/>
      <c r="F39" s="13"/>
      <c r="G39" s="13"/>
      <c r="H39" s="28"/>
      <c r="I39" s="24" t="s">
        <v>57</v>
      </c>
      <c r="J39" s="24" t="s">
        <v>1387</v>
      </c>
      <c r="K39" s="26" t="s">
        <v>654</v>
      </c>
      <c r="L39" s="26" t="s">
        <v>371</v>
      </c>
      <c r="M39" s="66">
        <f>IFERROR(VLOOKUP($L39,[1]Consolidated!$C$9:$AC$341,27,0),0)</f>
        <v>30860000</v>
      </c>
      <c r="N39" s="66">
        <f>IFERROR(VLOOKUP($L39,[1]Consolidated!$C$9:$AC$341,5,0),0)</f>
        <v>145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4">
        <f>(VLOOKUP($O$2,Prices!$E$3:$F$17,2,FALSE)*Urban!O39)+(VLOOKUP($P$2,Prices!$E$3:$F$17,2,FALSE)*Urban!P39)+(VLOOKUP($Q$2,Prices!$E$3:$F$17,2,FALSE)*Urban!Q39)+(VLOOKUP($R$2,Prices!$E$3:$F$17,2,FALSE)*Urban!R39)+(VLOOKUP($S$2,Prices!$E$3:$F$17,2,FALSE)*Urban!S39)+(VLOOKUP($T$2,Prices!$E$3:$F$17,2,FALSE)*Urban!T39)+(VLOOKUP($U$2,Prices!$E$3:$F$17,2,FALSE)*Urban!U39)+(VLOOKUP($V$2,Prices!$E$3:$F$17,2,FALSE)*Urban!V39)+(VLOOKUP($W$2,Prices!$E$3:$F$17,2,FALSE)*Urban!W39)+(VLOOKUP($X$2,Prices!$E$3:$F$17,2,FALSE)*Urban!X39)+(VLOOKUP($Y$2,Prices!$E$3:$F$17,2,FALSE)*Urban!Y39)+(VLOOKUP($Z$2,Prices!$E$3:$F$17,2,FALSE)*Urban!Z39)+(VLOOKUP($AA$2,Prices!$E$3:$F$17,2,FALSE)*Urban!AA39)+(VLOOKUP($AB$2,Prices!$E$3:$F$17,2,FALSE)*Urban!AB39)+M39</f>
        <v>30860000</v>
      </c>
      <c r="AD39" s="69">
        <v>8228000</v>
      </c>
      <c r="AE39" s="18"/>
      <c r="AF39" s="4">
        <f t="shared" si="0"/>
        <v>8228000</v>
      </c>
      <c r="AG39" s="4"/>
      <c r="AH39" s="16">
        <f t="shared" si="1"/>
        <v>8228000</v>
      </c>
      <c r="AI39" s="21">
        <f t="shared" si="2"/>
        <v>0.26662346079066751</v>
      </c>
      <c r="AJ39" s="20">
        <f t="shared" si="3"/>
        <v>0.26662346079066751</v>
      </c>
      <c r="AK39" s="9"/>
    </row>
    <row r="40" spans="1:39" hidden="1">
      <c r="A40" s="3">
        <v>38</v>
      </c>
      <c r="B40" s="12"/>
      <c r="C40" s="13"/>
      <c r="D40" s="13"/>
      <c r="E40" s="13"/>
      <c r="F40" s="13"/>
      <c r="G40" s="13"/>
      <c r="H40" s="28"/>
      <c r="I40" s="24" t="s">
        <v>58</v>
      </c>
      <c r="J40" s="24" t="s">
        <v>1387</v>
      </c>
      <c r="K40" s="26" t="s">
        <v>654</v>
      </c>
      <c r="L40" s="26" t="s">
        <v>372</v>
      </c>
      <c r="M40" s="66">
        <f>IFERROR(VLOOKUP($L40,[1]Consolidated!$C$9:$AC$341,27,0),0)</f>
        <v>26111000</v>
      </c>
      <c r="N40" s="66">
        <f>IFERROR(VLOOKUP($L40,[1]Consolidated!$C$9:$AC$341,5,0),0)</f>
        <v>120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4">
        <f>(VLOOKUP($O$2,Prices!$E$3:$F$17,2,FALSE)*Urban!O40)+(VLOOKUP($P$2,Prices!$E$3:$F$17,2,FALSE)*Urban!P40)+(VLOOKUP($Q$2,Prices!$E$3:$F$17,2,FALSE)*Urban!Q40)+(VLOOKUP($R$2,Prices!$E$3:$F$17,2,FALSE)*Urban!R40)+(VLOOKUP($S$2,Prices!$E$3:$F$17,2,FALSE)*Urban!S40)+(VLOOKUP($T$2,Prices!$E$3:$F$17,2,FALSE)*Urban!T40)+(VLOOKUP($U$2,Prices!$E$3:$F$17,2,FALSE)*Urban!U40)+(VLOOKUP($V$2,Prices!$E$3:$F$17,2,FALSE)*Urban!V40)+(VLOOKUP($W$2,Prices!$E$3:$F$17,2,FALSE)*Urban!W40)+(VLOOKUP($X$2,Prices!$E$3:$F$17,2,FALSE)*Urban!X40)+(VLOOKUP($Y$2,Prices!$E$3:$F$17,2,FALSE)*Urban!Y40)+(VLOOKUP($Z$2,Prices!$E$3:$F$17,2,FALSE)*Urban!Z40)+(VLOOKUP($AA$2,Prices!$E$3:$F$17,2,FALSE)*Urban!AA40)+(VLOOKUP($AB$2,Prices!$E$3:$F$17,2,FALSE)*Urban!AB40)+M40</f>
        <v>26111000</v>
      </c>
      <c r="AD40" s="13">
        <v>0</v>
      </c>
      <c r="AE40" s="18"/>
      <c r="AF40" s="4">
        <f t="shared" si="0"/>
        <v>0</v>
      </c>
      <c r="AG40" s="4"/>
      <c r="AH40" s="16">
        <f t="shared" si="1"/>
        <v>0</v>
      </c>
      <c r="AI40" s="21">
        <f t="shared" si="2"/>
        <v>0</v>
      </c>
      <c r="AJ40" s="20">
        <f t="shared" si="3"/>
        <v>0</v>
      </c>
      <c r="AK40" s="9"/>
    </row>
    <row r="41" spans="1:39" s="43" customFormat="1" hidden="1">
      <c r="A41" s="48">
        <v>39</v>
      </c>
      <c r="B41" s="49"/>
      <c r="C41" s="50"/>
      <c r="D41" s="50"/>
      <c r="E41" s="50"/>
      <c r="F41" s="50"/>
      <c r="G41" s="50"/>
      <c r="H41" s="62"/>
      <c r="I41" s="24" t="s">
        <v>59</v>
      </c>
      <c r="J41" s="24" t="s">
        <v>1387</v>
      </c>
      <c r="K41" s="26" t="s">
        <v>654</v>
      </c>
      <c r="L41" s="26" t="s">
        <v>373</v>
      </c>
      <c r="M41" s="66">
        <f>IFERROR(VLOOKUP($L41,[1]Consolidated!$C$9:$AC$341,27,0),0)</f>
        <v>26849000</v>
      </c>
      <c r="N41" s="66">
        <f>IFERROR(VLOOKUP($L41,[1]Consolidated!$C$9:$AC$341,5,0),0)</f>
        <v>125</v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>
        <f>(VLOOKUP($O$2,Prices!$E$3:$F$17,2,FALSE)*Urban!O41)+(VLOOKUP($P$2,Prices!$E$3:$F$17,2,FALSE)*Urban!P41)+(VLOOKUP($Q$2,Prices!$E$3:$F$17,2,FALSE)*Urban!Q41)+(VLOOKUP($R$2,Prices!$E$3:$F$17,2,FALSE)*Urban!R41)+(VLOOKUP($S$2,Prices!$E$3:$F$17,2,FALSE)*Urban!S41)+(VLOOKUP($T$2,Prices!$E$3:$F$17,2,FALSE)*Urban!T41)+(VLOOKUP($U$2,Prices!$E$3:$F$17,2,FALSE)*Urban!U41)+(VLOOKUP($V$2,Prices!$E$3:$F$17,2,FALSE)*Urban!V41)+(VLOOKUP($W$2,Prices!$E$3:$F$17,2,FALSE)*Urban!W41)+(VLOOKUP($X$2,Prices!$E$3:$F$17,2,FALSE)*Urban!X41)+(VLOOKUP($Y$2,Prices!$E$3:$F$17,2,FALSE)*Urban!Y41)+(VLOOKUP($Z$2,Prices!$E$3:$F$17,2,FALSE)*Urban!Z41)+(VLOOKUP($AA$2,Prices!$E$3:$F$17,2,FALSE)*Urban!AA41)+(VLOOKUP($AB$2,Prices!$E$3:$F$17,2,FALSE)*Urban!AB41)+M41</f>
        <v>26849000</v>
      </c>
      <c r="AD41" s="69">
        <v>6342000</v>
      </c>
      <c r="AE41" s="18"/>
      <c r="AF41" s="51">
        <f t="shared" si="0"/>
        <v>6342000</v>
      </c>
      <c r="AG41" s="51"/>
      <c r="AH41" s="51">
        <f t="shared" si="1"/>
        <v>6342000</v>
      </c>
      <c r="AI41" s="52">
        <f t="shared" si="2"/>
        <v>0.23620991470818281</v>
      </c>
      <c r="AJ41" s="53">
        <f t="shared" si="3"/>
        <v>0.23620991470818281</v>
      </c>
      <c r="AK41" s="9"/>
      <c r="AM41" s="1"/>
    </row>
    <row r="42" spans="1:39" hidden="1">
      <c r="A42" s="3">
        <v>40</v>
      </c>
      <c r="B42" s="12"/>
      <c r="C42" s="13"/>
      <c r="D42" s="13"/>
      <c r="E42" s="13"/>
      <c r="F42" s="13"/>
      <c r="G42" s="13"/>
      <c r="H42" s="28"/>
      <c r="I42" s="24" t="s">
        <v>60</v>
      </c>
      <c r="J42" s="24" t="s">
        <v>1387</v>
      </c>
      <c r="K42" s="26" t="s">
        <v>654</v>
      </c>
      <c r="L42" s="26" t="s">
        <v>374</v>
      </c>
      <c r="M42" s="66">
        <f>IFERROR(VLOOKUP($L42,[1]Consolidated!$C$9:$AC$341,27,0),0)</f>
        <v>26981000</v>
      </c>
      <c r="N42" s="66">
        <f>IFERROR(VLOOKUP($L42,[1]Consolidated!$C$9:$AC$341,5,0),0)</f>
        <v>125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4">
        <f>(VLOOKUP($O$2,Prices!$E$3:$F$17,2,FALSE)*Urban!O42)+(VLOOKUP($P$2,Prices!$E$3:$F$17,2,FALSE)*Urban!P42)+(VLOOKUP($Q$2,Prices!$E$3:$F$17,2,FALSE)*Urban!Q42)+(VLOOKUP($R$2,Prices!$E$3:$F$17,2,FALSE)*Urban!R42)+(VLOOKUP($S$2,Prices!$E$3:$F$17,2,FALSE)*Urban!S42)+(VLOOKUP($T$2,Prices!$E$3:$F$17,2,FALSE)*Urban!T42)+(VLOOKUP($U$2,Prices!$E$3:$F$17,2,FALSE)*Urban!U42)+(VLOOKUP($V$2,Prices!$E$3:$F$17,2,FALSE)*Urban!V42)+(VLOOKUP($W$2,Prices!$E$3:$F$17,2,FALSE)*Urban!W42)+(VLOOKUP($X$2,Prices!$E$3:$F$17,2,FALSE)*Urban!X42)+(VLOOKUP($Y$2,Prices!$E$3:$F$17,2,FALSE)*Urban!Y42)+(VLOOKUP($Z$2,Prices!$E$3:$F$17,2,FALSE)*Urban!Z42)+(VLOOKUP($AA$2,Prices!$E$3:$F$17,2,FALSE)*Urban!AA42)+(VLOOKUP($AB$2,Prices!$E$3:$F$17,2,FALSE)*Urban!AB42)+M42</f>
        <v>26981000</v>
      </c>
      <c r="AD42" s="69">
        <v>6031000</v>
      </c>
      <c r="AE42" s="18"/>
      <c r="AF42" s="4">
        <f t="shared" si="0"/>
        <v>6031000</v>
      </c>
      <c r="AG42" s="4"/>
      <c r="AH42" s="16">
        <f t="shared" si="1"/>
        <v>6031000</v>
      </c>
      <c r="AI42" s="21">
        <f t="shared" si="2"/>
        <v>0.22352766761795337</v>
      </c>
      <c r="AJ42" s="20">
        <f t="shared" si="3"/>
        <v>0.22352766761795337</v>
      </c>
      <c r="AK42" s="9"/>
    </row>
    <row r="43" spans="1:39" hidden="1">
      <c r="A43" s="3">
        <v>41</v>
      </c>
      <c r="B43" s="12"/>
      <c r="C43" s="13"/>
      <c r="D43" s="13"/>
      <c r="E43" s="13"/>
      <c r="F43" s="13"/>
      <c r="G43" s="13"/>
      <c r="H43" s="28"/>
      <c r="I43" s="24" t="s">
        <v>61</v>
      </c>
      <c r="J43" s="24" t="s">
        <v>1387</v>
      </c>
      <c r="K43" s="26" t="s">
        <v>654</v>
      </c>
      <c r="L43" s="26" t="s">
        <v>375</v>
      </c>
      <c r="M43" s="66">
        <f>IFERROR(VLOOKUP($L43,[1]Consolidated!$C$9:$AC$341,27,0),0)</f>
        <v>15333000</v>
      </c>
      <c r="N43" s="66">
        <f>IFERROR(VLOOKUP($L43,[1]Consolidated!$C$9:$AC$341,5,0),0)</f>
        <v>70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4">
        <f>(VLOOKUP($O$2,Prices!$E$3:$F$17,2,FALSE)*Urban!O43)+(VLOOKUP($P$2,Prices!$E$3:$F$17,2,FALSE)*Urban!P43)+(VLOOKUP($Q$2,Prices!$E$3:$F$17,2,FALSE)*Urban!Q43)+(VLOOKUP($R$2,Prices!$E$3:$F$17,2,FALSE)*Urban!R43)+(VLOOKUP($S$2,Prices!$E$3:$F$17,2,FALSE)*Urban!S43)+(VLOOKUP($T$2,Prices!$E$3:$F$17,2,FALSE)*Urban!T43)+(VLOOKUP($U$2,Prices!$E$3:$F$17,2,FALSE)*Urban!U43)+(VLOOKUP($V$2,Prices!$E$3:$F$17,2,FALSE)*Urban!V43)+(VLOOKUP($W$2,Prices!$E$3:$F$17,2,FALSE)*Urban!W43)+(VLOOKUP($X$2,Prices!$E$3:$F$17,2,FALSE)*Urban!X43)+(VLOOKUP($Y$2,Prices!$E$3:$F$17,2,FALSE)*Urban!Y43)+(VLOOKUP($Z$2,Prices!$E$3:$F$17,2,FALSE)*Urban!Z43)+(VLOOKUP($AA$2,Prices!$E$3:$F$17,2,FALSE)*Urban!AA43)+(VLOOKUP($AB$2,Prices!$E$3:$F$17,2,FALSE)*Urban!AB43)+M43</f>
        <v>15333000</v>
      </c>
      <c r="AD43" s="69">
        <v>3325000</v>
      </c>
      <c r="AE43" s="18"/>
      <c r="AF43" s="4">
        <f t="shared" si="0"/>
        <v>3325000</v>
      </c>
      <c r="AG43" s="4"/>
      <c r="AH43" s="16">
        <f t="shared" si="1"/>
        <v>3325000</v>
      </c>
      <c r="AI43" s="21">
        <f t="shared" si="2"/>
        <v>0.21685254027261464</v>
      </c>
      <c r="AJ43" s="20">
        <f t="shared" si="3"/>
        <v>0.21685254027261464</v>
      </c>
      <c r="AK43" s="9"/>
    </row>
    <row r="44" spans="1:39" hidden="1">
      <c r="A44" s="3">
        <v>42</v>
      </c>
      <c r="B44" s="12"/>
      <c r="C44" s="13"/>
      <c r="D44" s="13"/>
      <c r="E44" s="13"/>
      <c r="F44" s="13"/>
      <c r="G44" s="13"/>
      <c r="H44" s="28"/>
      <c r="I44" s="24" t="s">
        <v>62</v>
      </c>
      <c r="J44" s="24" t="s">
        <v>1387</v>
      </c>
      <c r="K44" s="26" t="s">
        <v>654</v>
      </c>
      <c r="L44" s="26" t="s">
        <v>376</v>
      </c>
      <c r="M44" s="66">
        <f>IFERROR(VLOOKUP($L44,[1]Consolidated!$C$9:$AC$341,27,0),0)</f>
        <v>17141000</v>
      </c>
      <c r="N44" s="66">
        <f>IFERROR(VLOOKUP($L44,[1]Consolidated!$C$9:$AC$341,5,0),0)</f>
        <v>80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4">
        <f>(VLOOKUP($O$2,Prices!$E$3:$F$17,2,FALSE)*Urban!O44)+(VLOOKUP($P$2,Prices!$E$3:$F$17,2,FALSE)*Urban!P44)+(VLOOKUP($Q$2,Prices!$E$3:$F$17,2,FALSE)*Urban!Q44)+(VLOOKUP($R$2,Prices!$E$3:$F$17,2,FALSE)*Urban!R44)+(VLOOKUP($S$2,Prices!$E$3:$F$17,2,FALSE)*Urban!S44)+(VLOOKUP($T$2,Prices!$E$3:$F$17,2,FALSE)*Urban!T44)+(VLOOKUP($U$2,Prices!$E$3:$F$17,2,FALSE)*Urban!U44)+(VLOOKUP($V$2,Prices!$E$3:$F$17,2,FALSE)*Urban!V44)+(VLOOKUP($W$2,Prices!$E$3:$F$17,2,FALSE)*Urban!W44)+(VLOOKUP($X$2,Prices!$E$3:$F$17,2,FALSE)*Urban!X44)+(VLOOKUP($Y$2,Prices!$E$3:$F$17,2,FALSE)*Urban!Y44)+(VLOOKUP($Z$2,Prices!$E$3:$F$17,2,FALSE)*Urban!Z44)+(VLOOKUP($AA$2,Prices!$E$3:$F$17,2,FALSE)*Urban!AA44)+(VLOOKUP($AB$2,Prices!$E$3:$F$17,2,FALSE)*Urban!AB44)+M44</f>
        <v>17141000</v>
      </c>
      <c r="AD44" s="69">
        <v>3222000</v>
      </c>
      <c r="AE44" s="18"/>
      <c r="AF44" s="4">
        <f t="shared" si="0"/>
        <v>3222000</v>
      </c>
      <c r="AG44" s="4"/>
      <c r="AH44" s="16">
        <f t="shared" si="1"/>
        <v>3222000</v>
      </c>
      <c r="AI44" s="21">
        <f t="shared" si="2"/>
        <v>0.18797036345604107</v>
      </c>
      <c r="AJ44" s="20">
        <f t="shared" si="3"/>
        <v>0.18797036345604107</v>
      </c>
      <c r="AK44" s="9"/>
    </row>
    <row r="45" spans="1:39" hidden="1">
      <c r="A45" s="3">
        <v>43</v>
      </c>
      <c r="B45" s="12"/>
      <c r="C45" s="13"/>
      <c r="D45" s="13"/>
      <c r="E45" s="13"/>
      <c r="F45" s="13"/>
      <c r="G45" s="13"/>
      <c r="H45" s="28"/>
      <c r="I45" s="24" t="s">
        <v>135</v>
      </c>
      <c r="J45" s="24" t="s">
        <v>1387</v>
      </c>
      <c r="K45" s="26" t="s">
        <v>659</v>
      </c>
      <c r="L45" s="26" t="s">
        <v>449</v>
      </c>
      <c r="M45" s="66">
        <f>IFERROR(VLOOKUP($L45,[1]Consolidated!$C$9:$AC$341,27,0),0)</f>
        <v>16804000</v>
      </c>
      <c r="N45" s="66">
        <f>IFERROR(VLOOKUP($L45,[1]Consolidated!$C$9:$AC$341,5,0),0)</f>
        <v>80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4">
        <f>(VLOOKUP($O$2,Prices!$E$3:$F$17,2,FALSE)*Urban!O45)+(VLOOKUP($P$2,Prices!$E$3:$F$17,2,FALSE)*Urban!P45)+(VLOOKUP($Q$2,Prices!$E$3:$F$17,2,FALSE)*Urban!Q45)+(VLOOKUP($R$2,Prices!$E$3:$F$17,2,FALSE)*Urban!R45)+(VLOOKUP($S$2,Prices!$E$3:$F$17,2,FALSE)*Urban!S45)+(VLOOKUP($T$2,Prices!$E$3:$F$17,2,FALSE)*Urban!T45)+(VLOOKUP($U$2,Prices!$E$3:$F$17,2,FALSE)*Urban!U45)+(VLOOKUP($V$2,Prices!$E$3:$F$17,2,FALSE)*Urban!V45)+(VLOOKUP($W$2,Prices!$E$3:$F$17,2,FALSE)*Urban!W45)+(VLOOKUP($X$2,Prices!$E$3:$F$17,2,FALSE)*Urban!X45)+(VLOOKUP($Y$2,Prices!$E$3:$F$17,2,FALSE)*Urban!Y45)+(VLOOKUP($Z$2,Prices!$E$3:$F$17,2,FALSE)*Urban!Z45)+(VLOOKUP($AA$2,Prices!$E$3:$F$17,2,FALSE)*Urban!AA45)+(VLOOKUP($AB$2,Prices!$E$3:$F$17,2,FALSE)*Urban!AB45)+M45</f>
        <v>16804000</v>
      </c>
      <c r="AD45" s="13">
        <v>0</v>
      </c>
      <c r="AE45" s="18"/>
      <c r="AF45" s="4">
        <f t="shared" si="0"/>
        <v>0</v>
      </c>
      <c r="AG45" s="4"/>
      <c r="AH45" s="16">
        <f t="shared" si="1"/>
        <v>0</v>
      </c>
      <c r="AI45" s="21">
        <f t="shared" si="2"/>
        <v>0</v>
      </c>
      <c r="AJ45" s="20">
        <f t="shared" si="3"/>
        <v>0</v>
      </c>
      <c r="AK45" s="9"/>
    </row>
    <row r="46" spans="1:39" hidden="1">
      <c r="A46" s="3">
        <v>44</v>
      </c>
      <c r="B46" s="12"/>
      <c r="C46" s="13"/>
      <c r="D46" s="13"/>
      <c r="E46" s="13"/>
      <c r="F46" s="13"/>
      <c r="G46" s="13"/>
      <c r="H46" s="28"/>
      <c r="I46" s="24" t="s">
        <v>136</v>
      </c>
      <c r="J46" s="24" t="s">
        <v>1387</v>
      </c>
      <c r="K46" s="26" t="s">
        <v>659</v>
      </c>
      <c r="L46" s="26" t="s">
        <v>450</v>
      </c>
      <c r="M46" s="66">
        <f>IFERROR(VLOOKUP($L46,[1]Consolidated!$C$9:$AC$341,27,0),0)</f>
        <v>17847000</v>
      </c>
      <c r="N46" s="66">
        <f>IFERROR(VLOOKUP($L46,[1]Consolidated!$C$9:$AC$341,5,0),0)</f>
        <v>80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4">
        <f>(VLOOKUP($O$2,Prices!$E$3:$F$17,2,FALSE)*Urban!O46)+(VLOOKUP($P$2,Prices!$E$3:$F$17,2,FALSE)*Urban!P46)+(VLOOKUP($Q$2,Prices!$E$3:$F$17,2,FALSE)*Urban!Q46)+(VLOOKUP($R$2,Prices!$E$3:$F$17,2,FALSE)*Urban!R46)+(VLOOKUP($S$2,Prices!$E$3:$F$17,2,FALSE)*Urban!S46)+(VLOOKUP($T$2,Prices!$E$3:$F$17,2,FALSE)*Urban!T46)+(VLOOKUP($U$2,Prices!$E$3:$F$17,2,FALSE)*Urban!U46)+(VLOOKUP($V$2,Prices!$E$3:$F$17,2,FALSE)*Urban!V46)+(VLOOKUP($W$2,Prices!$E$3:$F$17,2,FALSE)*Urban!W46)+(VLOOKUP($X$2,Prices!$E$3:$F$17,2,FALSE)*Urban!X46)+(VLOOKUP($Y$2,Prices!$E$3:$F$17,2,FALSE)*Urban!Y46)+(VLOOKUP($Z$2,Prices!$E$3:$F$17,2,FALSE)*Urban!Z46)+(VLOOKUP($AA$2,Prices!$E$3:$F$17,2,FALSE)*Urban!AA46)+(VLOOKUP($AB$2,Prices!$E$3:$F$17,2,FALSE)*Urban!AB46)+M46</f>
        <v>17847000</v>
      </c>
      <c r="AD46" s="69">
        <v>4888000</v>
      </c>
      <c r="AE46" s="18"/>
      <c r="AF46" s="4">
        <f t="shared" si="0"/>
        <v>4888000</v>
      </c>
      <c r="AG46" s="4"/>
      <c r="AH46" s="16">
        <f t="shared" si="1"/>
        <v>4888000</v>
      </c>
      <c r="AI46" s="21">
        <f t="shared" si="2"/>
        <v>0.27388356586541157</v>
      </c>
      <c r="AJ46" s="20">
        <f t="shared" si="3"/>
        <v>0.27388356586541157</v>
      </c>
      <c r="AK46" s="9"/>
    </row>
    <row r="47" spans="1:39" hidden="1">
      <c r="A47" s="3">
        <v>45</v>
      </c>
      <c r="B47" s="12"/>
      <c r="C47" s="13"/>
      <c r="D47" s="13"/>
      <c r="E47" s="13"/>
      <c r="F47" s="13"/>
      <c r="G47" s="13"/>
      <c r="H47" s="28"/>
      <c r="I47" s="24" t="s">
        <v>137</v>
      </c>
      <c r="J47" s="24" t="s">
        <v>1387</v>
      </c>
      <c r="K47" s="26" t="s">
        <v>659</v>
      </c>
      <c r="L47" s="26" t="s">
        <v>451</v>
      </c>
      <c r="M47" s="66">
        <f>IFERROR(VLOOKUP($L47,[1]Consolidated!$C$9:$AC$341,27,0),0)</f>
        <v>16141000</v>
      </c>
      <c r="N47" s="66">
        <f>IFERROR(VLOOKUP($L47,[1]Consolidated!$C$9:$AC$341,5,0),0)</f>
        <v>75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4">
        <f>(VLOOKUP($O$2,Prices!$E$3:$F$17,2,FALSE)*Urban!O47)+(VLOOKUP($P$2,Prices!$E$3:$F$17,2,FALSE)*Urban!P47)+(VLOOKUP($Q$2,Prices!$E$3:$F$17,2,FALSE)*Urban!Q47)+(VLOOKUP($R$2,Prices!$E$3:$F$17,2,FALSE)*Urban!R47)+(VLOOKUP($S$2,Prices!$E$3:$F$17,2,FALSE)*Urban!S47)+(VLOOKUP($T$2,Prices!$E$3:$F$17,2,FALSE)*Urban!T47)+(VLOOKUP($U$2,Prices!$E$3:$F$17,2,FALSE)*Urban!U47)+(VLOOKUP($V$2,Prices!$E$3:$F$17,2,FALSE)*Urban!V47)+(VLOOKUP($W$2,Prices!$E$3:$F$17,2,FALSE)*Urban!W47)+(VLOOKUP($X$2,Prices!$E$3:$F$17,2,FALSE)*Urban!X47)+(VLOOKUP($Y$2,Prices!$E$3:$F$17,2,FALSE)*Urban!Y47)+(VLOOKUP($Z$2,Prices!$E$3:$F$17,2,FALSE)*Urban!Z47)+(VLOOKUP($AA$2,Prices!$E$3:$F$17,2,FALSE)*Urban!AA47)+(VLOOKUP($AB$2,Prices!$E$3:$F$17,2,FALSE)*Urban!AB47)+M47</f>
        <v>16141000</v>
      </c>
      <c r="AD47" s="69">
        <v>3213000</v>
      </c>
      <c r="AE47" s="18"/>
      <c r="AF47" s="4">
        <f t="shared" si="0"/>
        <v>3213000</v>
      </c>
      <c r="AG47" s="4"/>
      <c r="AH47" s="16">
        <f t="shared" si="1"/>
        <v>3213000</v>
      </c>
      <c r="AI47" s="21">
        <f t="shared" si="2"/>
        <v>0.19905829874233319</v>
      </c>
      <c r="AJ47" s="20">
        <f t="shared" si="3"/>
        <v>0.19905829874233319</v>
      </c>
      <c r="AK47" s="9"/>
    </row>
    <row r="48" spans="1:39" hidden="1">
      <c r="A48" s="3">
        <v>46</v>
      </c>
      <c r="B48" s="12"/>
      <c r="C48" s="13"/>
      <c r="D48" s="13"/>
      <c r="E48" s="13"/>
      <c r="F48" s="13"/>
      <c r="G48" s="13"/>
      <c r="H48" s="28"/>
      <c r="I48" s="24" t="s">
        <v>1372</v>
      </c>
      <c r="J48" s="24" t="s">
        <v>1387</v>
      </c>
      <c r="K48" s="26" t="s">
        <v>654</v>
      </c>
      <c r="L48" s="26" t="s">
        <v>1371</v>
      </c>
      <c r="M48" s="66">
        <f>IFERROR(VLOOKUP($L48,[1]Consolidated!$C$9:$AC$341,27,0),0)</f>
        <v>0</v>
      </c>
      <c r="N48" s="66">
        <f>IFERROR(VLOOKUP($L48,[1]Consolidated!$C$9:$AC$341,5,0),0)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4">
        <f>(VLOOKUP($O$2,Prices!$E$3:$F$17,2,FALSE)*Urban!O48)+(VLOOKUP($P$2,Prices!$E$3:$F$17,2,FALSE)*Urban!P48)+(VLOOKUP($Q$2,Prices!$E$3:$F$17,2,FALSE)*Urban!Q48)+(VLOOKUP($R$2,Prices!$E$3:$F$17,2,FALSE)*Urban!R48)+(VLOOKUP($S$2,Prices!$E$3:$F$17,2,FALSE)*Urban!S48)+(VLOOKUP($T$2,Prices!$E$3:$F$17,2,FALSE)*Urban!T48)+(VLOOKUP($U$2,Prices!$E$3:$F$17,2,FALSE)*Urban!U48)+(VLOOKUP($V$2,Prices!$E$3:$F$17,2,FALSE)*Urban!V48)+(VLOOKUP($W$2,Prices!$E$3:$F$17,2,FALSE)*Urban!W48)+(VLOOKUP($X$2,Prices!$E$3:$F$17,2,FALSE)*Urban!X48)+(VLOOKUP($Y$2,Prices!$E$3:$F$17,2,FALSE)*Urban!Y48)+(VLOOKUP($Z$2,Prices!$E$3:$F$17,2,FALSE)*Urban!Z48)+(VLOOKUP($AA$2,Prices!$E$3:$F$17,2,FALSE)*Urban!AA48)+(VLOOKUP($AB$2,Prices!$E$3:$F$17,2,FALSE)*Urban!AB48)+M48</f>
        <v>0</v>
      </c>
      <c r="AD48" s="13">
        <v>0</v>
      </c>
      <c r="AE48" s="18"/>
      <c r="AF48" s="4">
        <f t="shared" si="0"/>
        <v>0</v>
      </c>
      <c r="AG48" s="4"/>
      <c r="AH48" s="16">
        <f t="shared" si="1"/>
        <v>0</v>
      </c>
      <c r="AI48" s="21" t="e">
        <f t="shared" si="2"/>
        <v>#DIV/0!</v>
      </c>
      <c r="AJ48" s="20" t="e">
        <f t="shared" si="3"/>
        <v>#DIV/0!</v>
      </c>
      <c r="AK48" s="9"/>
    </row>
    <row r="49" spans="1:37" hidden="1">
      <c r="A49" s="3">
        <v>47</v>
      </c>
      <c r="B49" s="12"/>
      <c r="C49" s="13"/>
      <c r="D49" s="13"/>
      <c r="E49" s="13"/>
      <c r="F49" s="13"/>
      <c r="G49" s="13"/>
      <c r="H49" s="28"/>
      <c r="I49" s="24" t="s">
        <v>1374</v>
      </c>
      <c r="J49" s="24" t="s">
        <v>1387</v>
      </c>
      <c r="K49" s="26" t="s">
        <v>654</v>
      </c>
      <c r="L49" s="26" t="s">
        <v>1373</v>
      </c>
      <c r="M49" s="66">
        <f>IFERROR(VLOOKUP($L49,[1]Consolidated!$C$9:$AC$341,27,0),0)</f>
        <v>0</v>
      </c>
      <c r="N49" s="66">
        <f>IFERROR(VLOOKUP($L49,[1]Consolidated!$C$9:$AC$341,5,0),0)</f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4">
        <f>(VLOOKUP($O$2,Prices!$E$3:$F$17,2,FALSE)*Urban!O49)+(VLOOKUP($P$2,Prices!$E$3:$F$17,2,FALSE)*Urban!P49)+(VLOOKUP($Q$2,Prices!$E$3:$F$17,2,FALSE)*Urban!Q49)+(VLOOKUP($R$2,Prices!$E$3:$F$17,2,FALSE)*Urban!R49)+(VLOOKUP($S$2,Prices!$E$3:$F$17,2,FALSE)*Urban!S49)+(VLOOKUP($T$2,Prices!$E$3:$F$17,2,FALSE)*Urban!T49)+(VLOOKUP($U$2,Prices!$E$3:$F$17,2,FALSE)*Urban!U49)+(VLOOKUP($V$2,Prices!$E$3:$F$17,2,FALSE)*Urban!V49)+(VLOOKUP($W$2,Prices!$E$3:$F$17,2,FALSE)*Urban!W49)+(VLOOKUP($X$2,Prices!$E$3:$F$17,2,FALSE)*Urban!X49)+(VLOOKUP($Y$2,Prices!$E$3:$F$17,2,FALSE)*Urban!Y49)+(VLOOKUP($Z$2,Prices!$E$3:$F$17,2,FALSE)*Urban!Z49)+(VLOOKUP($AA$2,Prices!$E$3:$F$17,2,FALSE)*Urban!AA49)+(VLOOKUP($AB$2,Prices!$E$3:$F$17,2,FALSE)*Urban!AB49)+M49</f>
        <v>0</v>
      </c>
      <c r="AD49" s="13">
        <v>0</v>
      </c>
      <c r="AE49" s="18"/>
      <c r="AF49" s="4">
        <f t="shared" si="0"/>
        <v>0</v>
      </c>
      <c r="AG49" s="4"/>
      <c r="AH49" s="16">
        <f t="shared" si="1"/>
        <v>0</v>
      </c>
      <c r="AI49" s="21" t="e">
        <f t="shared" si="2"/>
        <v>#DIV/0!</v>
      </c>
      <c r="AJ49" s="20" t="e">
        <f t="shared" si="3"/>
        <v>#DIV/0!</v>
      </c>
      <c r="AK49" s="9"/>
    </row>
    <row r="50" spans="1:37" hidden="1">
      <c r="A50" s="3">
        <v>48</v>
      </c>
      <c r="B50" s="12"/>
      <c r="C50" s="13"/>
      <c r="D50" s="13"/>
      <c r="E50" s="13"/>
      <c r="F50" s="13"/>
      <c r="G50" s="13"/>
      <c r="H50" s="28"/>
      <c r="I50" s="24" t="s">
        <v>63</v>
      </c>
      <c r="J50" s="24" t="s">
        <v>1387</v>
      </c>
      <c r="K50" s="26" t="s">
        <v>655</v>
      </c>
      <c r="L50" s="26" t="s">
        <v>377</v>
      </c>
      <c r="M50" s="66">
        <f>IFERROR(VLOOKUP($L50,[1]Consolidated!$C$9:$AC$341,27,0),0)</f>
        <v>17048000</v>
      </c>
      <c r="N50" s="66">
        <f>IFERROR(VLOOKUP($L50,[1]Consolidated!$C$9:$AC$341,5,0),0)</f>
        <v>85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4">
        <f>(VLOOKUP($O$2,Prices!$E$3:$F$17,2,FALSE)*Urban!O50)+(VLOOKUP($P$2,Prices!$E$3:$F$17,2,FALSE)*Urban!P50)+(VLOOKUP($Q$2,Prices!$E$3:$F$17,2,FALSE)*Urban!Q50)+(VLOOKUP($R$2,Prices!$E$3:$F$17,2,FALSE)*Urban!R50)+(VLOOKUP($S$2,Prices!$E$3:$F$17,2,FALSE)*Urban!S50)+(VLOOKUP($T$2,Prices!$E$3:$F$17,2,FALSE)*Urban!T50)+(VLOOKUP($U$2,Prices!$E$3:$F$17,2,FALSE)*Urban!U50)+(VLOOKUP($V$2,Prices!$E$3:$F$17,2,FALSE)*Urban!V50)+(VLOOKUP($W$2,Prices!$E$3:$F$17,2,FALSE)*Urban!W50)+(VLOOKUP($X$2,Prices!$E$3:$F$17,2,FALSE)*Urban!X50)+(VLOOKUP($Y$2,Prices!$E$3:$F$17,2,FALSE)*Urban!Y50)+(VLOOKUP($Z$2,Prices!$E$3:$F$17,2,FALSE)*Urban!Z50)+(VLOOKUP($AA$2,Prices!$E$3:$F$17,2,FALSE)*Urban!AA50)+(VLOOKUP($AB$2,Prices!$E$3:$F$17,2,FALSE)*Urban!AB50)+M50</f>
        <v>17048000</v>
      </c>
      <c r="AD50" s="13">
        <v>0</v>
      </c>
      <c r="AE50" s="18"/>
      <c r="AF50" s="4">
        <f t="shared" si="0"/>
        <v>0</v>
      </c>
      <c r="AG50" s="4"/>
      <c r="AH50" s="16">
        <f t="shared" si="1"/>
        <v>0</v>
      </c>
      <c r="AI50" s="21">
        <f t="shared" si="2"/>
        <v>0</v>
      </c>
      <c r="AJ50" s="20">
        <f t="shared" si="3"/>
        <v>0</v>
      </c>
      <c r="AK50" s="19"/>
    </row>
    <row r="51" spans="1:37" hidden="1">
      <c r="A51" s="3">
        <v>49</v>
      </c>
      <c r="B51" s="12"/>
      <c r="C51" s="13"/>
      <c r="D51" s="13"/>
      <c r="E51" s="13"/>
      <c r="F51" s="13"/>
      <c r="G51" s="13"/>
      <c r="H51" s="28"/>
      <c r="I51" s="24" t="s">
        <v>64</v>
      </c>
      <c r="J51" s="24" t="s">
        <v>1387</v>
      </c>
      <c r="K51" s="26" t="s">
        <v>655</v>
      </c>
      <c r="L51" s="26" t="s">
        <v>378</v>
      </c>
      <c r="M51" s="66">
        <f>IFERROR(VLOOKUP($L51,[1]Consolidated!$C$9:$AC$341,27,0),0)</f>
        <v>18017000</v>
      </c>
      <c r="N51" s="66">
        <f>IFERROR(VLOOKUP($L51,[1]Consolidated!$C$9:$AC$341,5,0),0)</f>
        <v>90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4">
        <f>(VLOOKUP($O$2,Prices!$E$3:$F$17,2,FALSE)*Urban!O51)+(VLOOKUP($P$2,Prices!$E$3:$F$17,2,FALSE)*Urban!P51)+(VLOOKUP($Q$2,Prices!$E$3:$F$17,2,FALSE)*Urban!Q51)+(VLOOKUP($R$2,Prices!$E$3:$F$17,2,FALSE)*Urban!R51)+(VLOOKUP($S$2,Prices!$E$3:$F$17,2,FALSE)*Urban!S51)+(VLOOKUP($T$2,Prices!$E$3:$F$17,2,FALSE)*Urban!T51)+(VLOOKUP($U$2,Prices!$E$3:$F$17,2,FALSE)*Urban!U51)+(VLOOKUP($V$2,Prices!$E$3:$F$17,2,FALSE)*Urban!V51)+(VLOOKUP($W$2,Prices!$E$3:$F$17,2,FALSE)*Urban!W51)+(VLOOKUP($X$2,Prices!$E$3:$F$17,2,FALSE)*Urban!X51)+(VLOOKUP($Y$2,Prices!$E$3:$F$17,2,FALSE)*Urban!Y51)+(VLOOKUP($Z$2,Prices!$E$3:$F$17,2,FALSE)*Urban!Z51)+(VLOOKUP($AA$2,Prices!$E$3:$F$17,2,FALSE)*Urban!AA51)+(VLOOKUP($AB$2,Prices!$E$3:$F$17,2,FALSE)*Urban!AB51)+M51</f>
        <v>18017000</v>
      </c>
      <c r="AD51" s="69">
        <v>4176000</v>
      </c>
      <c r="AE51" s="18"/>
      <c r="AF51" s="4">
        <f t="shared" si="0"/>
        <v>4176000</v>
      </c>
      <c r="AG51" s="4"/>
      <c r="AH51" s="16">
        <f t="shared" si="1"/>
        <v>4176000</v>
      </c>
      <c r="AI51" s="21">
        <f t="shared" si="2"/>
        <v>0.23178109563190319</v>
      </c>
      <c r="AJ51" s="20">
        <f t="shared" si="3"/>
        <v>0.23178109563190319</v>
      </c>
      <c r="AK51" s="9"/>
    </row>
    <row r="52" spans="1:37" hidden="1">
      <c r="A52" s="3">
        <v>50</v>
      </c>
      <c r="B52" s="12"/>
      <c r="C52" s="13"/>
      <c r="D52" s="13"/>
      <c r="E52" s="13"/>
      <c r="F52" s="13"/>
      <c r="G52" s="13"/>
      <c r="H52" s="28"/>
      <c r="I52" s="24" t="s">
        <v>65</v>
      </c>
      <c r="J52" s="24" t="s">
        <v>1387</v>
      </c>
      <c r="K52" s="26" t="s">
        <v>655</v>
      </c>
      <c r="L52" s="26" t="s">
        <v>379</v>
      </c>
      <c r="M52" s="66">
        <f>IFERROR(VLOOKUP($L52,[1]Consolidated!$C$9:$AC$341,27,0),0)</f>
        <v>0</v>
      </c>
      <c r="N52" s="66">
        <f>IFERROR(VLOOKUP($L52,[1]Consolidated!$C$9:$AC$341,5,0),0)</f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4">
        <f>(VLOOKUP($O$2,Prices!$E$3:$F$17,2,FALSE)*Urban!O52)+(VLOOKUP($P$2,Prices!$E$3:$F$17,2,FALSE)*Urban!P52)+(VLOOKUP($Q$2,Prices!$E$3:$F$17,2,FALSE)*Urban!Q52)+(VLOOKUP($R$2,Prices!$E$3:$F$17,2,FALSE)*Urban!R52)+(VLOOKUP($S$2,Prices!$E$3:$F$17,2,FALSE)*Urban!S52)+(VLOOKUP($T$2,Prices!$E$3:$F$17,2,FALSE)*Urban!T52)+(VLOOKUP($U$2,Prices!$E$3:$F$17,2,FALSE)*Urban!U52)+(VLOOKUP($V$2,Prices!$E$3:$F$17,2,FALSE)*Urban!V52)+(VLOOKUP($W$2,Prices!$E$3:$F$17,2,FALSE)*Urban!W52)+(VLOOKUP($X$2,Prices!$E$3:$F$17,2,FALSE)*Urban!X52)+(VLOOKUP($Y$2,Prices!$E$3:$F$17,2,FALSE)*Urban!Y52)+(VLOOKUP($Z$2,Prices!$E$3:$F$17,2,FALSE)*Urban!Z52)+(VLOOKUP($AA$2,Prices!$E$3:$F$17,2,FALSE)*Urban!AA52)+(VLOOKUP($AB$2,Prices!$E$3:$F$17,2,FALSE)*Urban!AB52)+M52</f>
        <v>0</v>
      </c>
      <c r="AD52" s="13">
        <v>0</v>
      </c>
      <c r="AE52" s="18"/>
      <c r="AF52" s="4">
        <f t="shared" si="0"/>
        <v>0</v>
      </c>
      <c r="AG52" s="4"/>
      <c r="AH52" s="16">
        <f t="shared" si="1"/>
        <v>0</v>
      </c>
      <c r="AI52" s="21" t="e">
        <f t="shared" si="2"/>
        <v>#DIV/0!</v>
      </c>
      <c r="AJ52" s="20" t="e">
        <f t="shared" si="3"/>
        <v>#DIV/0!</v>
      </c>
      <c r="AK52" s="9"/>
    </row>
    <row r="53" spans="1:37" hidden="1">
      <c r="A53" s="3">
        <v>51</v>
      </c>
      <c r="B53" s="12"/>
      <c r="C53" s="13"/>
      <c r="D53" s="13"/>
      <c r="E53" s="13"/>
      <c r="F53" s="13"/>
      <c r="G53" s="13"/>
      <c r="H53" s="28"/>
      <c r="I53" s="39" t="s">
        <v>66</v>
      </c>
      <c r="J53" s="24" t="s">
        <v>1387</v>
      </c>
      <c r="K53" s="26" t="s">
        <v>655</v>
      </c>
      <c r="L53" s="26" t="s">
        <v>380</v>
      </c>
      <c r="M53" s="41">
        <f>IFERROR(VLOOKUP($L53,'[2]Top WH -National'!$D$9:$AC$124,26,0),0)</f>
        <v>136983500</v>
      </c>
      <c r="N53" s="41">
        <f>IFERROR(VLOOKUP($L53,'[2]Top WH -National'!$D$9:$AC$124,4,0),0)</f>
        <v>638</v>
      </c>
      <c r="O53" s="5">
        <v>150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4">
        <f>(VLOOKUP($O$2,Prices!$E$3:$F$17,2,FALSE)*Urban!O53)+(VLOOKUP($P$2,Prices!$E$3:$F$17,2,FALSE)*Urban!P53)+(VLOOKUP($Q$2,Prices!$E$3:$F$17,2,FALSE)*Urban!Q53)+(VLOOKUP($R$2,Prices!$E$3:$F$17,2,FALSE)*Urban!R53)+(VLOOKUP($S$2,Prices!$E$3:$F$17,2,FALSE)*Urban!S53)+(VLOOKUP($T$2,Prices!$E$3:$F$17,2,FALSE)*Urban!T53)+(VLOOKUP($U$2,Prices!$E$3:$F$17,2,FALSE)*Urban!U53)+(VLOOKUP($V$2,Prices!$E$3:$F$17,2,FALSE)*Urban!V53)+(VLOOKUP($W$2,Prices!$E$3:$F$17,2,FALSE)*Urban!W53)+(VLOOKUP($X$2,Prices!$E$3:$F$17,2,FALSE)*Urban!X53)+(VLOOKUP($Y$2,Prices!$E$3:$F$17,2,FALSE)*Urban!Y53)+(VLOOKUP($Z$2,Prices!$E$3:$F$17,2,FALSE)*Urban!Z53)+(VLOOKUP($AA$2,Prices!$E$3:$F$17,2,FALSE)*Urban!AA53)+(VLOOKUP($AB$2,Prices!$E$3:$F$17,2,FALSE)*Urban!AB53)+M53</f>
        <v>176133500</v>
      </c>
      <c r="AD53" s="69">
        <v>95886180</v>
      </c>
      <c r="AE53" s="18"/>
      <c r="AF53" s="4">
        <f t="shared" si="0"/>
        <v>95886180</v>
      </c>
      <c r="AG53" s="4"/>
      <c r="AH53" s="16">
        <f t="shared" si="1"/>
        <v>95886180</v>
      </c>
      <c r="AI53" s="21">
        <f t="shared" si="2"/>
        <v>0.69998342866111607</v>
      </c>
      <c r="AJ53" s="20">
        <f t="shared" si="3"/>
        <v>0.54439490500103616</v>
      </c>
      <c r="AK53" s="9" t="s">
        <v>1508</v>
      </c>
    </row>
    <row r="54" spans="1:37" hidden="1">
      <c r="A54" s="3">
        <v>52</v>
      </c>
      <c r="B54" s="12"/>
      <c r="C54" s="13"/>
      <c r="D54" s="13"/>
      <c r="E54" s="13"/>
      <c r="F54" s="13"/>
      <c r="G54" s="13"/>
      <c r="H54" s="28"/>
      <c r="I54" s="24" t="s">
        <v>67</v>
      </c>
      <c r="J54" s="24" t="s">
        <v>1387</v>
      </c>
      <c r="K54" s="26" t="s">
        <v>655</v>
      </c>
      <c r="L54" s="26" t="s">
        <v>381</v>
      </c>
      <c r="M54" s="66">
        <f>IFERROR(VLOOKUP($L54,[1]Consolidated!$C$9:$AC$341,27,0),0)</f>
        <v>24402500</v>
      </c>
      <c r="N54" s="66">
        <f>IFERROR(VLOOKUP($L54,[1]Consolidated!$C$9:$AC$341,5,0),0)</f>
        <v>130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4">
        <f>(VLOOKUP($O$2,Prices!$E$3:$F$17,2,FALSE)*Urban!O54)+(VLOOKUP($P$2,Prices!$E$3:$F$17,2,FALSE)*Urban!P54)+(VLOOKUP($Q$2,Prices!$E$3:$F$17,2,FALSE)*Urban!Q54)+(VLOOKUP($R$2,Prices!$E$3:$F$17,2,FALSE)*Urban!R54)+(VLOOKUP($S$2,Prices!$E$3:$F$17,2,FALSE)*Urban!S54)+(VLOOKUP($T$2,Prices!$E$3:$F$17,2,FALSE)*Urban!T54)+(VLOOKUP($U$2,Prices!$E$3:$F$17,2,FALSE)*Urban!U54)+(VLOOKUP($V$2,Prices!$E$3:$F$17,2,FALSE)*Urban!V54)+(VLOOKUP($W$2,Prices!$E$3:$F$17,2,FALSE)*Urban!W54)+(VLOOKUP($X$2,Prices!$E$3:$F$17,2,FALSE)*Urban!X54)+(VLOOKUP($Y$2,Prices!$E$3:$F$17,2,FALSE)*Urban!Y54)+(VLOOKUP($Z$2,Prices!$E$3:$F$17,2,FALSE)*Urban!Z54)+(VLOOKUP($AA$2,Prices!$E$3:$F$17,2,FALSE)*Urban!AA54)+(VLOOKUP($AB$2,Prices!$E$3:$F$17,2,FALSE)*Urban!AB54)+M54</f>
        <v>24402500</v>
      </c>
      <c r="AD54" s="69">
        <v>5655084.1305380026</v>
      </c>
      <c r="AE54" s="18"/>
      <c r="AF54" s="4">
        <f t="shared" si="0"/>
        <v>5655084.1305380026</v>
      </c>
      <c r="AG54" s="4"/>
      <c r="AH54" s="16">
        <f t="shared" si="1"/>
        <v>5655084.1305380026</v>
      </c>
      <c r="AI54" s="21">
        <f t="shared" si="2"/>
        <v>0.23174199899756184</v>
      </c>
      <c r="AJ54" s="20">
        <f t="shared" si="3"/>
        <v>0.23174199899756184</v>
      </c>
      <c r="AK54" s="9" t="s">
        <v>1508</v>
      </c>
    </row>
    <row r="55" spans="1:37" hidden="1">
      <c r="A55" s="3">
        <v>53</v>
      </c>
      <c r="B55" s="12"/>
      <c r="C55" s="13"/>
      <c r="D55" s="13"/>
      <c r="E55" s="13"/>
      <c r="F55" s="13"/>
      <c r="G55" s="13"/>
      <c r="H55" s="28"/>
      <c r="I55" s="24" t="s">
        <v>68</v>
      </c>
      <c r="J55" s="24" t="s">
        <v>1387</v>
      </c>
      <c r="K55" s="26" t="s">
        <v>655</v>
      </c>
      <c r="L55" s="26" t="s">
        <v>382</v>
      </c>
      <c r="M55" s="66">
        <f>IFERROR(VLOOKUP($L55,[1]Consolidated!$C$9:$AC$341,27,0),0)</f>
        <v>0</v>
      </c>
      <c r="N55" s="66">
        <f>IFERROR(VLOOKUP($L55,[1]Consolidated!$C$9:$AC$341,5,0),0)</f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4">
        <f>(VLOOKUP($O$2,Prices!$E$3:$F$17,2,FALSE)*Urban!O55)+(VLOOKUP($P$2,Prices!$E$3:$F$17,2,FALSE)*Urban!P55)+(VLOOKUP($Q$2,Prices!$E$3:$F$17,2,FALSE)*Urban!Q55)+(VLOOKUP($R$2,Prices!$E$3:$F$17,2,FALSE)*Urban!R55)+(VLOOKUP($S$2,Prices!$E$3:$F$17,2,FALSE)*Urban!S55)+(VLOOKUP($T$2,Prices!$E$3:$F$17,2,FALSE)*Urban!T55)+(VLOOKUP($U$2,Prices!$E$3:$F$17,2,FALSE)*Urban!U55)+(VLOOKUP($V$2,Prices!$E$3:$F$17,2,FALSE)*Urban!V55)+(VLOOKUP($W$2,Prices!$E$3:$F$17,2,FALSE)*Urban!W55)+(VLOOKUP($X$2,Prices!$E$3:$F$17,2,FALSE)*Urban!X55)+(VLOOKUP($Y$2,Prices!$E$3:$F$17,2,FALSE)*Urban!Y55)+(VLOOKUP($Z$2,Prices!$E$3:$F$17,2,FALSE)*Urban!Z55)+(VLOOKUP($AA$2,Prices!$E$3:$F$17,2,FALSE)*Urban!AA55)+(VLOOKUP($AB$2,Prices!$E$3:$F$17,2,FALSE)*Urban!AB55)+M55</f>
        <v>0</v>
      </c>
      <c r="AD55" s="13">
        <v>0</v>
      </c>
      <c r="AE55" s="18"/>
      <c r="AF55" s="4">
        <f t="shared" si="0"/>
        <v>0</v>
      </c>
      <c r="AG55" s="4"/>
      <c r="AH55" s="16">
        <f t="shared" si="1"/>
        <v>0</v>
      </c>
      <c r="AI55" s="21" t="e">
        <f t="shared" si="2"/>
        <v>#DIV/0!</v>
      </c>
      <c r="AJ55" s="20" t="e">
        <f t="shared" si="3"/>
        <v>#DIV/0!</v>
      </c>
      <c r="AK55" s="9" t="s">
        <v>1508</v>
      </c>
    </row>
    <row r="56" spans="1:37" hidden="1">
      <c r="A56" s="3">
        <v>54</v>
      </c>
      <c r="B56" s="12"/>
      <c r="C56" s="13"/>
      <c r="D56" s="13"/>
      <c r="E56" s="13"/>
      <c r="F56" s="13"/>
      <c r="G56" s="13"/>
      <c r="H56" s="28"/>
      <c r="I56" s="24" t="s">
        <v>69</v>
      </c>
      <c r="J56" s="24" t="s">
        <v>1387</v>
      </c>
      <c r="K56" s="26" t="s">
        <v>655</v>
      </c>
      <c r="L56" s="26" t="s">
        <v>383</v>
      </c>
      <c r="M56" s="66">
        <f>IFERROR(VLOOKUP($L56,[1]Consolidated!$C$9:$AC$341,27,0),0)</f>
        <v>13986000</v>
      </c>
      <c r="N56" s="66">
        <f>IFERROR(VLOOKUP($L56,[1]Consolidated!$C$9:$AC$341,5,0),0)</f>
        <v>70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4">
        <f>(VLOOKUP($O$2,Prices!$E$3:$F$17,2,FALSE)*Urban!O56)+(VLOOKUP($P$2,Prices!$E$3:$F$17,2,FALSE)*Urban!P56)+(VLOOKUP($Q$2,Prices!$E$3:$F$17,2,FALSE)*Urban!Q56)+(VLOOKUP($R$2,Prices!$E$3:$F$17,2,FALSE)*Urban!R56)+(VLOOKUP($S$2,Prices!$E$3:$F$17,2,FALSE)*Urban!S56)+(VLOOKUP($T$2,Prices!$E$3:$F$17,2,FALSE)*Urban!T56)+(VLOOKUP($U$2,Prices!$E$3:$F$17,2,FALSE)*Urban!U56)+(VLOOKUP($V$2,Prices!$E$3:$F$17,2,FALSE)*Urban!V56)+(VLOOKUP($W$2,Prices!$E$3:$F$17,2,FALSE)*Urban!W56)+(VLOOKUP($X$2,Prices!$E$3:$F$17,2,FALSE)*Urban!X56)+(VLOOKUP($Y$2,Prices!$E$3:$F$17,2,FALSE)*Urban!Y56)+(VLOOKUP($Z$2,Prices!$E$3:$F$17,2,FALSE)*Urban!Z56)+(VLOOKUP($AA$2,Prices!$E$3:$F$17,2,FALSE)*Urban!AA56)+(VLOOKUP($AB$2,Prices!$E$3:$F$17,2,FALSE)*Urban!AB56)+M56</f>
        <v>13986000</v>
      </c>
      <c r="AD56" s="69">
        <v>3241143.5979799</v>
      </c>
      <c r="AE56" s="18"/>
      <c r="AF56" s="4">
        <f t="shared" si="0"/>
        <v>3241143.5979799</v>
      </c>
      <c r="AG56" s="4"/>
      <c r="AH56" s="16">
        <f t="shared" si="1"/>
        <v>3241143.5979799</v>
      </c>
      <c r="AI56" s="21">
        <f t="shared" si="2"/>
        <v>0.23174199899756184</v>
      </c>
      <c r="AJ56" s="20">
        <f t="shared" si="3"/>
        <v>0.23174199899756184</v>
      </c>
      <c r="AK56" s="9" t="s">
        <v>1508</v>
      </c>
    </row>
    <row r="57" spans="1:37" hidden="1">
      <c r="A57" s="3">
        <v>55</v>
      </c>
      <c r="B57" s="12"/>
      <c r="C57" s="13"/>
      <c r="D57" s="13"/>
      <c r="E57" s="13"/>
      <c r="F57" s="13"/>
      <c r="G57" s="13"/>
      <c r="H57" s="28"/>
      <c r="I57" s="24" t="s">
        <v>70</v>
      </c>
      <c r="J57" s="24" t="s">
        <v>1387</v>
      </c>
      <c r="K57" s="26" t="s">
        <v>655</v>
      </c>
      <c r="L57" s="26" t="s">
        <v>384</v>
      </c>
      <c r="M57" s="66">
        <f>IFERROR(VLOOKUP($L57,[1]Consolidated!$C$9:$AC$341,27,0),0)</f>
        <v>17348000</v>
      </c>
      <c r="N57" s="66">
        <f>IFERROR(VLOOKUP($L57,[1]Consolidated!$C$9:$AC$341,5,0),0)</f>
        <v>85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4">
        <f>(VLOOKUP($O$2,Prices!$E$3:$F$17,2,FALSE)*Urban!O57)+(VLOOKUP($P$2,Prices!$E$3:$F$17,2,FALSE)*Urban!P57)+(VLOOKUP($Q$2,Prices!$E$3:$F$17,2,FALSE)*Urban!Q57)+(VLOOKUP($R$2,Prices!$E$3:$F$17,2,FALSE)*Urban!R57)+(VLOOKUP($S$2,Prices!$E$3:$F$17,2,FALSE)*Urban!S57)+(VLOOKUP($T$2,Prices!$E$3:$F$17,2,FALSE)*Urban!T57)+(VLOOKUP($U$2,Prices!$E$3:$F$17,2,FALSE)*Urban!U57)+(VLOOKUP($V$2,Prices!$E$3:$F$17,2,FALSE)*Urban!V57)+(VLOOKUP($W$2,Prices!$E$3:$F$17,2,FALSE)*Urban!W57)+(VLOOKUP($X$2,Prices!$E$3:$F$17,2,FALSE)*Urban!X57)+(VLOOKUP($Y$2,Prices!$E$3:$F$17,2,FALSE)*Urban!Y57)+(VLOOKUP($Z$2,Prices!$E$3:$F$17,2,FALSE)*Urban!Z57)+(VLOOKUP($AA$2,Prices!$E$3:$F$17,2,FALSE)*Urban!AA57)+(VLOOKUP($AB$2,Prices!$E$3:$F$17,2,FALSE)*Urban!AB57)+M57</f>
        <v>17348000</v>
      </c>
      <c r="AD57" s="69">
        <v>4020260.1986097023</v>
      </c>
      <c r="AE57" s="18"/>
      <c r="AF57" s="4">
        <f t="shared" si="0"/>
        <v>4020260.1986097023</v>
      </c>
      <c r="AG57" s="4"/>
      <c r="AH57" s="16">
        <f t="shared" si="1"/>
        <v>4020260.1986097023</v>
      </c>
      <c r="AI57" s="21">
        <f t="shared" si="2"/>
        <v>0.23174199899756182</v>
      </c>
      <c r="AJ57" s="20">
        <f t="shared" si="3"/>
        <v>0.23174199899756182</v>
      </c>
      <c r="AK57" s="9"/>
    </row>
    <row r="58" spans="1:37" hidden="1">
      <c r="A58" s="3">
        <v>56</v>
      </c>
      <c r="B58" s="12"/>
      <c r="C58" s="13"/>
      <c r="D58" s="13"/>
      <c r="E58" s="13"/>
      <c r="F58" s="13"/>
      <c r="G58" s="13"/>
      <c r="H58" s="28"/>
      <c r="I58" s="24" t="s">
        <v>71</v>
      </c>
      <c r="J58" s="24" t="s">
        <v>1387</v>
      </c>
      <c r="K58" s="26" t="s">
        <v>655</v>
      </c>
      <c r="L58" s="26" t="s">
        <v>385</v>
      </c>
      <c r="M58" s="66">
        <f>IFERROR(VLOOKUP($L58,[1]Consolidated!$C$9:$AC$341,27,0),0)</f>
        <v>30683000</v>
      </c>
      <c r="N58" s="66">
        <f>IFERROR(VLOOKUP($L58,[1]Consolidated!$C$9:$AC$341,5,0),0)</f>
        <v>150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4">
        <f>(VLOOKUP($O$2,Prices!$E$3:$F$17,2,FALSE)*Urban!O58)+(VLOOKUP($P$2,Prices!$E$3:$F$17,2,FALSE)*Urban!P58)+(VLOOKUP($Q$2,Prices!$E$3:$F$17,2,FALSE)*Urban!Q58)+(VLOOKUP($R$2,Prices!$E$3:$F$17,2,FALSE)*Urban!R58)+(VLOOKUP($S$2,Prices!$E$3:$F$17,2,FALSE)*Urban!S58)+(VLOOKUP($T$2,Prices!$E$3:$F$17,2,FALSE)*Urban!T58)+(VLOOKUP($U$2,Prices!$E$3:$F$17,2,FALSE)*Urban!U58)+(VLOOKUP($V$2,Prices!$E$3:$F$17,2,FALSE)*Urban!V58)+(VLOOKUP($W$2,Prices!$E$3:$F$17,2,FALSE)*Urban!W58)+(VLOOKUP($X$2,Prices!$E$3:$F$17,2,FALSE)*Urban!X58)+(VLOOKUP($Y$2,Prices!$E$3:$F$17,2,FALSE)*Urban!Y58)+(VLOOKUP($Z$2,Prices!$E$3:$F$17,2,FALSE)*Urban!Z58)+(VLOOKUP($AA$2,Prices!$E$3:$F$17,2,FALSE)*Urban!AA58)+(VLOOKUP($AB$2,Prices!$E$3:$F$17,2,FALSE)*Urban!AB58)+M58</f>
        <v>30683000</v>
      </c>
      <c r="AD58" s="69">
        <v>7110539.7552421894</v>
      </c>
      <c r="AE58" s="18"/>
      <c r="AF58" s="4">
        <f t="shared" si="0"/>
        <v>7110539.7552421894</v>
      </c>
      <c r="AG58" s="4"/>
      <c r="AH58" s="16">
        <f t="shared" si="1"/>
        <v>7110539.7552421894</v>
      </c>
      <c r="AI58" s="21">
        <f t="shared" si="2"/>
        <v>0.23174199899756182</v>
      </c>
      <c r="AJ58" s="20">
        <f t="shared" si="3"/>
        <v>0.23174199899756182</v>
      </c>
      <c r="AK58" s="9"/>
    </row>
    <row r="59" spans="1:37" hidden="1">
      <c r="A59" s="3">
        <v>57</v>
      </c>
      <c r="B59" s="12"/>
      <c r="C59" s="13"/>
      <c r="D59" s="13"/>
      <c r="E59" s="13"/>
      <c r="F59" s="13"/>
      <c r="G59" s="13"/>
      <c r="H59" s="28"/>
      <c r="I59" s="24" t="s">
        <v>1376</v>
      </c>
      <c r="J59" s="24" t="s">
        <v>1387</v>
      </c>
      <c r="K59" s="26" t="s">
        <v>655</v>
      </c>
      <c r="L59" s="26" t="s">
        <v>1375</v>
      </c>
      <c r="M59" s="66">
        <f>IFERROR(VLOOKUP($L59,[1]Consolidated!$C$9:$AC$341,27,0),0)</f>
        <v>23402500</v>
      </c>
      <c r="N59" s="66">
        <f>IFERROR(VLOOKUP($L59,[1]Consolidated!$C$9:$AC$341,5,0),0)</f>
        <v>120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4">
        <f>(VLOOKUP($O$2,Prices!$E$3:$F$17,2,FALSE)*Urban!O59)+(VLOOKUP($P$2,Prices!$E$3:$F$17,2,FALSE)*Urban!P59)+(VLOOKUP($Q$2,Prices!$E$3:$F$17,2,FALSE)*Urban!Q59)+(VLOOKUP($R$2,Prices!$E$3:$F$17,2,FALSE)*Urban!R59)+(VLOOKUP($S$2,Prices!$E$3:$F$17,2,FALSE)*Urban!S59)+(VLOOKUP($T$2,Prices!$E$3:$F$17,2,FALSE)*Urban!T59)+(VLOOKUP($U$2,Prices!$E$3:$F$17,2,FALSE)*Urban!U59)+(VLOOKUP($V$2,Prices!$E$3:$F$17,2,FALSE)*Urban!V59)+(VLOOKUP($W$2,Prices!$E$3:$F$17,2,FALSE)*Urban!W59)+(VLOOKUP($X$2,Prices!$E$3:$F$17,2,FALSE)*Urban!X59)+(VLOOKUP($Y$2,Prices!$E$3:$F$17,2,FALSE)*Urban!Y59)+(VLOOKUP($Z$2,Prices!$E$3:$F$17,2,FALSE)*Urban!Z59)+(VLOOKUP($AA$2,Prices!$E$3:$F$17,2,FALSE)*Urban!AA59)+(VLOOKUP($AB$2,Prices!$E$3:$F$17,2,FALSE)*Urban!AB59)+M59</f>
        <v>23402500</v>
      </c>
      <c r="AD59" s="69">
        <v>5423342.131540441</v>
      </c>
      <c r="AE59" s="18"/>
      <c r="AF59" s="4">
        <f t="shared" si="0"/>
        <v>5423342.131540441</v>
      </c>
      <c r="AG59" s="4"/>
      <c r="AH59" s="16">
        <f t="shared" si="1"/>
        <v>5423342.131540441</v>
      </c>
      <c r="AI59" s="21">
        <f t="shared" si="2"/>
        <v>0.23174199899756184</v>
      </c>
      <c r="AJ59" s="20">
        <f t="shared" si="3"/>
        <v>0.23174199899756184</v>
      </c>
      <c r="AK59" s="19"/>
    </row>
    <row r="60" spans="1:37">
      <c r="A60" s="3">
        <v>58</v>
      </c>
      <c r="B60" s="12"/>
      <c r="C60" s="13"/>
      <c r="D60" s="13"/>
      <c r="E60" s="13"/>
      <c r="F60" s="13"/>
      <c r="G60" s="13"/>
      <c r="H60" s="28"/>
      <c r="I60" s="24" t="s">
        <v>72</v>
      </c>
      <c r="J60" s="24" t="s">
        <v>1387</v>
      </c>
      <c r="K60" s="26" t="s">
        <v>655</v>
      </c>
      <c r="L60" s="26" t="s">
        <v>386</v>
      </c>
      <c r="M60" s="66">
        <f>IFERROR(VLOOKUP($L60,[1]Consolidated!$C$9:$AC$341,27,0),0)</f>
        <v>25152500</v>
      </c>
      <c r="N60" s="66">
        <f>IFERROR(VLOOKUP($L60,[1]Consolidated!$C$9:$AC$341,5,0),0)</f>
        <v>130</v>
      </c>
      <c r="O60" s="5">
        <v>15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4">
        <f>(VLOOKUP($O$2,Prices!$E$3:$F$17,2,FALSE)*Urban!O60)+(VLOOKUP($P$2,Prices!$E$3:$F$17,2,FALSE)*Urban!P60)+(VLOOKUP($Q$2,Prices!$E$3:$F$17,2,FALSE)*Urban!Q60)+(VLOOKUP($R$2,Prices!$E$3:$F$17,2,FALSE)*Urban!R60)+(VLOOKUP($S$2,Prices!$E$3:$F$17,2,FALSE)*Urban!S60)+(VLOOKUP($T$2,Prices!$E$3:$F$17,2,FALSE)*Urban!T60)+(VLOOKUP($U$2,Prices!$E$3:$F$17,2,FALSE)*Urban!U60)+(VLOOKUP($V$2,Prices!$E$3:$F$17,2,FALSE)*Urban!V60)+(VLOOKUP($W$2,Prices!$E$3:$F$17,2,FALSE)*Urban!W60)+(VLOOKUP($X$2,Prices!$E$3:$F$17,2,FALSE)*Urban!X60)+(VLOOKUP($Y$2,Prices!$E$3:$F$17,2,FALSE)*Urban!Y60)+(VLOOKUP($Z$2,Prices!$E$3:$F$17,2,FALSE)*Urban!Z60)+(VLOOKUP($AA$2,Prices!$E$3:$F$17,2,FALSE)*Urban!AA60)+(VLOOKUP($AB$2,Prices!$E$3:$F$17,2,FALSE)*Urban!AB60)+M60</f>
        <v>29067500</v>
      </c>
      <c r="AD60" s="69">
        <v>15091499.629786175</v>
      </c>
      <c r="AE60" s="18"/>
      <c r="AF60" s="4">
        <f t="shared" si="0"/>
        <v>15091499.629786175</v>
      </c>
      <c r="AG60" s="4">
        <v>5255750.3702138253</v>
      </c>
      <c r="AH60" s="16">
        <f t="shared" si="1"/>
        <v>20347250</v>
      </c>
      <c r="AI60" s="21">
        <f t="shared" si="2"/>
        <v>0.80895537222940062</v>
      </c>
      <c r="AJ60" s="20">
        <f t="shared" si="3"/>
        <v>0.7</v>
      </c>
      <c r="AK60" s="9" t="s">
        <v>1508</v>
      </c>
    </row>
    <row r="61" spans="1:37" hidden="1">
      <c r="A61" s="3">
        <v>59</v>
      </c>
      <c r="B61" s="12"/>
      <c r="C61" s="13"/>
      <c r="D61" s="13"/>
      <c r="E61" s="13"/>
      <c r="F61" s="13"/>
      <c r="G61" s="13"/>
      <c r="H61" s="28"/>
      <c r="I61" s="24" t="s">
        <v>73</v>
      </c>
      <c r="J61" s="24" t="s">
        <v>1387</v>
      </c>
      <c r="K61" s="26" t="s">
        <v>655</v>
      </c>
      <c r="L61" s="26" t="s">
        <v>387</v>
      </c>
      <c r="M61" s="66">
        <f>IFERROR(VLOOKUP($L61,[1]Consolidated!$C$9:$AC$341,27,0),0)</f>
        <v>19790000</v>
      </c>
      <c r="N61" s="66">
        <f>IFERROR(VLOOKUP($L61,[1]Consolidated!$C$9:$AC$341,5,0),0)</f>
        <v>100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4">
        <f>(VLOOKUP($O$2,Prices!$E$3:$F$17,2,FALSE)*Urban!O61)+(VLOOKUP($P$2,Prices!$E$3:$F$17,2,FALSE)*Urban!P61)+(VLOOKUP($Q$2,Prices!$E$3:$F$17,2,FALSE)*Urban!Q61)+(VLOOKUP($R$2,Prices!$E$3:$F$17,2,FALSE)*Urban!R61)+(VLOOKUP($S$2,Prices!$E$3:$F$17,2,FALSE)*Urban!S61)+(VLOOKUP($T$2,Prices!$E$3:$F$17,2,FALSE)*Urban!T61)+(VLOOKUP($U$2,Prices!$E$3:$F$17,2,FALSE)*Urban!U61)+(VLOOKUP($V$2,Prices!$E$3:$F$17,2,FALSE)*Urban!V61)+(VLOOKUP($W$2,Prices!$E$3:$F$17,2,FALSE)*Urban!W61)+(VLOOKUP($X$2,Prices!$E$3:$F$17,2,FALSE)*Urban!X61)+(VLOOKUP($Y$2,Prices!$E$3:$F$17,2,FALSE)*Urban!Y61)+(VLOOKUP($Z$2,Prices!$E$3:$F$17,2,FALSE)*Urban!Z61)+(VLOOKUP($AA$2,Prices!$E$3:$F$17,2,FALSE)*Urban!AA61)+(VLOOKUP($AB$2,Prices!$E$3:$F$17,2,FALSE)*Urban!AB61)+M61</f>
        <v>19790000</v>
      </c>
      <c r="AD61" s="69">
        <v>4586174.1601617485</v>
      </c>
      <c r="AE61" s="18"/>
      <c r="AF61" s="4">
        <f t="shared" si="0"/>
        <v>4586174.1601617485</v>
      </c>
      <c r="AG61" s="4"/>
      <c r="AH61" s="16">
        <f t="shared" si="1"/>
        <v>4586174.1601617485</v>
      </c>
      <c r="AI61" s="21">
        <f t="shared" si="2"/>
        <v>0.23174199899756182</v>
      </c>
      <c r="AJ61" s="20">
        <f t="shared" si="3"/>
        <v>0.23174199899756182</v>
      </c>
      <c r="AK61" s="9"/>
    </row>
    <row r="62" spans="1:37" hidden="1">
      <c r="A62" s="3">
        <v>60</v>
      </c>
      <c r="B62" s="12"/>
      <c r="C62" s="13"/>
      <c r="D62" s="13"/>
      <c r="E62" s="13"/>
      <c r="F62" s="13"/>
      <c r="G62" s="13"/>
      <c r="H62" s="28"/>
      <c r="I62" s="24" t="s">
        <v>74</v>
      </c>
      <c r="J62" s="24" t="s">
        <v>1387</v>
      </c>
      <c r="K62" s="26" t="s">
        <v>655</v>
      </c>
      <c r="L62" s="26" t="s">
        <v>388</v>
      </c>
      <c r="M62" s="66">
        <f>IFERROR(VLOOKUP($L62,[1]Consolidated!$C$9:$AC$341,27,0),0)</f>
        <v>19790000</v>
      </c>
      <c r="N62" s="66">
        <f>IFERROR(VLOOKUP($L62,[1]Consolidated!$C$9:$AC$341,5,0),0)</f>
        <v>100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4">
        <f>(VLOOKUP($O$2,Prices!$E$3:$F$17,2,FALSE)*Urban!O62)+(VLOOKUP($P$2,Prices!$E$3:$F$17,2,FALSE)*Urban!P62)+(VLOOKUP($Q$2,Prices!$E$3:$F$17,2,FALSE)*Urban!Q62)+(VLOOKUP($R$2,Prices!$E$3:$F$17,2,FALSE)*Urban!R62)+(VLOOKUP($S$2,Prices!$E$3:$F$17,2,FALSE)*Urban!S62)+(VLOOKUP($T$2,Prices!$E$3:$F$17,2,FALSE)*Urban!T62)+(VLOOKUP($U$2,Prices!$E$3:$F$17,2,FALSE)*Urban!U62)+(VLOOKUP($V$2,Prices!$E$3:$F$17,2,FALSE)*Urban!V62)+(VLOOKUP($W$2,Prices!$E$3:$F$17,2,FALSE)*Urban!W62)+(VLOOKUP($X$2,Prices!$E$3:$F$17,2,FALSE)*Urban!X62)+(VLOOKUP($Y$2,Prices!$E$3:$F$17,2,FALSE)*Urban!Y62)+(VLOOKUP($Z$2,Prices!$E$3:$F$17,2,FALSE)*Urban!Z62)+(VLOOKUP($AA$2,Prices!$E$3:$F$17,2,FALSE)*Urban!AA62)+(VLOOKUP($AB$2,Prices!$E$3:$F$17,2,FALSE)*Urban!AB62)+M62</f>
        <v>19790000</v>
      </c>
      <c r="AD62" s="69">
        <v>4586174.1601617485</v>
      </c>
      <c r="AE62" s="18"/>
      <c r="AF62" s="4">
        <f t="shared" si="0"/>
        <v>4586174.1601617485</v>
      </c>
      <c r="AG62" s="4"/>
      <c r="AH62" s="16">
        <f t="shared" si="1"/>
        <v>4586174.1601617485</v>
      </c>
      <c r="AI62" s="21">
        <f t="shared" si="2"/>
        <v>0.23174199899756182</v>
      </c>
      <c r="AJ62" s="20">
        <f t="shared" si="3"/>
        <v>0.23174199899756182</v>
      </c>
      <c r="AK62" s="9"/>
    </row>
    <row r="63" spans="1:37" hidden="1">
      <c r="A63" s="3">
        <v>61</v>
      </c>
      <c r="B63" s="12"/>
      <c r="C63" s="13"/>
      <c r="D63" s="13"/>
      <c r="E63" s="13"/>
      <c r="F63" s="13"/>
      <c r="G63" s="13"/>
      <c r="H63" s="28"/>
      <c r="I63" s="24" t="s">
        <v>75</v>
      </c>
      <c r="J63" s="24" t="s">
        <v>1387</v>
      </c>
      <c r="K63" s="26" t="s">
        <v>655</v>
      </c>
      <c r="L63" s="26" t="s">
        <v>389</v>
      </c>
      <c r="M63" s="66">
        <f>IFERROR(VLOOKUP($L63,[1]Consolidated!$C$9:$AC$341,27,0),0)</f>
        <v>0</v>
      </c>
      <c r="N63" s="66">
        <f>IFERROR(VLOOKUP($L63,[1]Consolidated!$C$9:$AC$341,5,0),0)</f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4">
        <f>(VLOOKUP($O$2,Prices!$E$3:$F$17,2,FALSE)*Urban!O63)+(VLOOKUP($P$2,Prices!$E$3:$F$17,2,FALSE)*Urban!P63)+(VLOOKUP($Q$2,Prices!$E$3:$F$17,2,FALSE)*Urban!Q63)+(VLOOKUP($R$2,Prices!$E$3:$F$17,2,FALSE)*Urban!R63)+(VLOOKUP($S$2,Prices!$E$3:$F$17,2,FALSE)*Urban!S63)+(VLOOKUP($T$2,Prices!$E$3:$F$17,2,FALSE)*Urban!T63)+(VLOOKUP($U$2,Prices!$E$3:$F$17,2,FALSE)*Urban!U63)+(VLOOKUP($V$2,Prices!$E$3:$F$17,2,FALSE)*Urban!V63)+(VLOOKUP($W$2,Prices!$E$3:$F$17,2,FALSE)*Urban!W63)+(VLOOKUP($X$2,Prices!$E$3:$F$17,2,FALSE)*Urban!X63)+(VLOOKUP($Y$2,Prices!$E$3:$F$17,2,FALSE)*Urban!Y63)+(VLOOKUP($Z$2,Prices!$E$3:$F$17,2,FALSE)*Urban!Z63)+(VLOOKUP($AA$2,Prices!$E$3:$F$17,2,FALSE)*Urban!AA63)+(VLOOKUP($AB$2,Prices!$E$3:$F$17,2,FALSE)*Urban!AB63)+M63</f>
        <v>0</v>
      </c>
      <c r="AD63" s="13">
        <v>0</v>
      </c>
      <c r="AE63" s="18"/>
      <c r="AF63" s="4">
        <f t="shared" si="0"/>
        <v>0</v>
      </c>
      <c r="AG63" s="4"/>
      <c r="AH63" s="16">
        <f t="shared" si="1"/>
        <v>0</v>
      </c>
      <c r="AI63" s="21" t="e">
        <f t="shared" si="2"/>
        <v>#DIV/0!</v>
      </c>
      <c r="AJ63" s="20" t="e">
        <f t="shared" si="3"/>
        <v>#DIV/0!</v>
      </c>
      <c r="AK63" s="9"/>
    </row>
    <row r="64" spans="1:37" hidden="1">
      <c r="A64" s="3">
        <v>62</v>
      </c>
      <c r="B64" s="12"/>
      <c r="C64" s="13"/>
      <c r="D64" s="13"/>
      <c r="E64" s="13"/>
      <c r="F64" s="13"/>
      <c r="G64" s="13"/>
      <c r="H64" s="28"/>
      <c r="I64" s="24" t="s">
        <v>76</v>
      </c>
      <c r="J64" s="24" t="s">
        <v>1387</v>
      </c>
      <c r="K64" s="26" t="s">
        <v>655</v>
      </c>
      <c r="L64" s="26" t="s">
        <v>390</v>
      </c>
      <c r="M64" s="66">
        <f>IFERROR(VLOOKUP($L64,[1]Consolidated!$C$9:$AC$341,27,0),0)</f>
        <v>0</v>
      </c>
      <c r="N64" s="66">
        <f>IFERROR(VLOOKUP($L64,[1]Consolidated!$C$9:$AC$341,5,0),0)</f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4">
        <f>(VLOOKUP($O$2,Prices!$E$3:$F$17,2,FALSE)*Urban!O64)+(VLOOKUP($P$2,Prices!$E$3:$F$17,2,FALSE)*Urban!P64)+(VLOOKUP($Q$2,Prices!$E$3:$F$17,2,FALSE)*Urban!Q64)+(VLOOKUP($R$2,Prices!$E$3:$F$17,2,FALSE)*Urban!R64)+(VLOOKUP($S$2,Prices!$E$3:$F$17,2,FALSE)*Urban!S64)+(VLOOKUP($T$2,Prices!$E$3:$F$17,2,FALSE)*Urban!T64)+(VLOOKUP($U$2,Prices!$E$3:$F$17,2,FALSE)*Urban!U64)+(VLOOKUP($V$2,Prices!$E$3:$F$17,2,FALSE)*Urban!V64)+(VLOOKUP($W$2,Prices!$E$3:$F$17,2,FALSE)*Urban!W64)+(VLOOKUP($X$2,Prices!$E$3:$F$17,2,FALSE)*Urban!X64)+(VLOOKUP($Y$2,Prices!$E$3:$F$17,2,FALSE)*Urban!Y64)+(VLOOKUP($Z$2,Prices!$E$3:$F$17,2,FALSE)*Urban!Z64)+(VLOOKUP($AA$2,Prices!$E$3:$F$17,2,FALSE)*Urban!AA64)+(VLOOKUP($AB$2,Prices!$E$3:$F$17,2,FALSE)*Urban!AB64)+M64</f>
        <v>0</v>
      </c>
      <c r="AD64" s="13">
        <v>0</v>
      </c>
      <c r="AE64" s="18"/>
      <c r="AF64" s="4">
        <f t="shared" si="0"/>
        <v>0</v>
      </c>
      <c r="AG64" s="4"/>
      <c r="AH64" s="16">
        <f t="shared" si="1"/>
        <v>0</v>
      </c>
      <c r="AI64" s="21" t="e">
        <f t="shared" si="2"/>
        <v>#DIV/0!</v>
      </c>
      <c r="AJ64" s="20" t="e">
        <f t="shared" si="3"/>
        <v>#DIV/0!</v>
      </c>
      <c r="AK64" s="9"/>
    </row>
    <row r="65" spans="1:37" hidden="1">
      <c r="A65" s="3">
        <v>63</v>
      </c>
      <c r="B65" s="12"/>
      <c r="C65" s="13"/>
      <c r="D65" s="13"/>
      <c r="E65" s="13"/>
      <c r="F65" s="13"/>
      <c r="G65" s="13"/>
      <c r="H65" s="28"/>
      <c r="I65" s="24" t="s">
        <v>77</v>
      </c>
      <c r="J65" s="24" t="s">
        <v>1387</v>
      </c>
      <c r="K65" s="26" t="s">
        <v>655</v>
      </c>
      <c r="L65" s="26" t="s">
        <v>391</v>
      </c>
      <c r="M65" s="66">
        <f>IFERROR(VLOOKUP($L65,[1]Consolidated!$C$9:$AC$341,27,0),0)</f>
        <v>48400000</v>
      </c>
      <c r="N65" s="66">
        <f>IFERROR(VLOOKUP($L65,[1]Consolidated!$C$9:$AC$341,5,0),0)</f>
        <v>250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4">
        <f>(VLOOKUP($O$2,Prices!$E$3:$F$17,2,FALSE)*Urban!O65)+(VLOOKUP($P$2,Prices!$E$3:$F$17,2,FALSE)*Urban!P65)+(VLOOKUP($Q$2,Prices!$E$3:$F$17,2,FALSE)*Urban!Q65)+(VLOOKUP($R$2,Prices!$E$3:$F$17,2,FALSE)*Urban!R65)+(VLOOKUP($S$2,Prices!$E$3:$F$17,2,FALSE)*Urban!S65)+(VLOOKUP($T$2,Prices!$E$3:$F$17,2,FALSE)*Urban!T65)+(VLOOKUP($U$2,Prices!$E$3:$F$17,2,FALSE)*Urban!U65)+(VLOOKUP($V$2,Prices!$E$3:$F$17,2,FALSE)*Urban!V65)+(VLOOKUP($W$2,Prices!$E$3:$F$17,2,FALSE)*Urban!W65)+(VLOOKUP($X$2,Prices!$E$3:$F$17,2,FALSE)*Urban!X65)+(VLOOKUP($Y$2,Prices!$E$3:$F$17,2,FALSE)*Urban!Y65)+(VLOOKUP($Z$2,Prices!$E$3:$F$17,2,FALSE)*Urban!Z65)+(VLOOKUP($AA$2,Prices!$E$3:$F$17,2,FALSE)*Urban!AA65)+(VLOOKUP($AB$2,Prices!$E$3:$F$17,2,FALSE)*Urban!AB65)+M65</f>
        <v>48400000</v>
      </c>
      <c r="AD65" s="69">
        <v>11216312.751481993</v>
      </c>
      <c r="AE65" s="18"/>
      <c r="AF65" s="4">
        <f t="shared" si="0"/>
        <v>11216312.751481993</v>
      </c>
      <c r="AG65" s="4"/>
      <c r="AH65" s="16">
        <f t="shared" si="1"/>
        <v>11216312.751481993</v>
      </c>
      <c r="AI65" s="21">
        <f t="shared" si="2"/>
        <v>0.23174199899756184</v>
      </c>
      <c r="AJ65" s="20">
        <f t="shared" si="3"/>
        <v>0.23174199899756184</v>
      </c>
      <c r="AK65" s="9"/>
    </row>
    <row r="66" spans="1:37" hidden="1">
      <c r="A66" s="3">
        <v>64</v>
      </c>
      <c r="B66" s="12"/>
      <c r="C66" s="13"/>
      <c r="D66" s="13"/>
      <c r="E66" s="13"/>
      <c r="F66" s="13"/>
      <c r="G66" s="13"/>
      <c r="H66" s="28"/>
      <c r="I66" s="24" t="s">
        <v>78</v>
      </c>
      <c r="J66" s="24" t="s">
        <v>1387</v>
      </c>
      <c r="K66" s="26" t="s">
        <v>655</v>
      </c>
      <c r="L66" s="26" t="s">
        <v>392</v>
      </c>
      <c r="M66" s="66">
        <f>IFERROR(VLOOKUP($L66,[1]Consolidated!$C$9:$AC$341,27,0),0)</f>
        <v>24277500</v>
      </c>
      <c r="N66" s="66">
        <f>IFERROR(VLOOKUP($L66,[1]Consolidated!$C$9:$AC$341,5,0),0)</f>
        <v>125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4">
        <f>(VLOOKUP($O$2,Prices!$E$3:$F$17,2,FALSE)*Urban!O66)+(VLOOKUP($P$2,Prices!$E$3:$F$17,2,FALSE)*Urban!P66)+(VLOOKUP($Q$2,Prices!$E$3:$F$17,2,FALSE)*Urban!Q66)+(VLOOKUP($R$2,Prices!$E$3:$F$17,2,FALSE)*Urban!R66)+(VLOOKUP($S$2,Prices!$E$3:$F$17,2,FALSE)*Urban!S66)+(VLOOKUP($T$2,Prices!$E$3:$F$17,2,FALSE)*Urban!T66)+(VLOOKUP($U$2,Prices!$E$3:$F$17,2,FALSE)*Urban!U66)+(VLOOKUP($V$2,Prices!$E$3:$F$17,2,FALSE)*Urban!V66)+(VLOOKUP($W$2,Prices!$E$3:$F$17,2,FALSE)*Urban!W66)+(VLOOKUP($X$2,Prices!$E$3:$F$17,2,FALSE)*Urban!X66)+(VLOOKUP($Y$2,Prices!$E$3:$F$17,2,FALSE)*Urban!Y66)+(VLOOKUP($Z$2,Prices!$E$3:$F$17,2,FALSE)*Urban!Z66)+(VLOOKUP($AA$2,Prices!$E$3:$F$17,2,FALSE)*Urban!AA66)+(VLOOKUP($AB$2,Prices!$E$3:$F$17,2,FALSE)*Urban!AB66)+M66</f>
        <v>24277500</v>
      </c>
      <c r="AD66" s="69">
        <v>5626116.3806633074</v>
      </c>
      <c r="AE66" s="18"/>
      <c r="AF66" s="4">
        <f t="shared" si="0"/>
        <v>5626116.3806633074</v>
      </c>
      <c r="AG66" s="4"/>
      <c r="AH66" s="16">
        <f t="shared" si="1"/>
        <v>5626116.3806633074</v>
      </c>
      <c r="AI66" s="21">
        <f t="shared" si="2"/>
        <v>0.23174199899756184</v>
      </c>
      <c r="AJ66" s="20">
        <f t="shared" si="3"/>
        <v>0.23174199899756184</v>
      </c>
      <c r="AK66" s="9"/>
    </row>
    <row r="67" spans="1:37" hidden="1">
      <c r="A67" s="3">
        <v>65</v>
      </c>
      <c r="B67" s="12"/>
      <c r="C67" s="13"/>
      <c r="D67" s="13"/>
      <c r="E67" s="13"/>
      <c r="F67" s="13"/>
      <c r="G67" s="13"/>
      <c r="H67" s="28"/>
      <c r="I67" s="39" t="s">
        <v>79</v>
      </c>
      <c r="J67" s="24" t="s">
        <v>1387</v>
      </c>
      <c r="K67" s="26" t="s">
        <v>655</v>
      </c>
      <c r="L67" s="26" t="s">
        <v>393</v>
      </c>
      <c r="M67" s="41">
        <f>IFERROR(VLOOKUP($L67,'[2]Top WH -National'!$D$9:$AC$124,26,0),0)</f>
        <v>61328500</v>
      </c>
      <c r="N67" s="41">
        <f>IFERROR(VLOOKUP($L67,'[2]Top WH -National'!$D$9:$AC$124,4,0),0)</f>
        <v>314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4">
        <f>(VLOOKUP($O$2,Prices!$E$3:$F$17,2,FALSE)*Urban!O67)+(VLOOKUP($P$2,Prices!$E$3:$F$17,2,FALSE)*Urban!P67)+(VLOOKUP($Q$2,Prices!$E$3:$F$17,2,FALSE)*Urban!Q67)+(VLOOKUP($R$2,Prices!$E$3:$F$17,2,FALSE)*Urban!R67)+(VLOOKUP($S$2,Prices!$E$3:$F$17,2,FALSE)*Urban!S67)+(VLOOKUP($T$2,Prices!$E$3:$F$17,2,FALSE)*Urban!T67)+(VLOOKUP($U$2,Prices!$E$3:$F$17,2,FALSE)*Urban!U67)+(VLOOKUP($V$2,Prices!$E$3:$F$17,2,FALSE)*Urban!V67)+(VLOOKUP($W$2,Prices!$E$3:$F$17,2,FALSE)*Urban!W67)+(VLOOKUP($X$2,Prices!$E$3:$F$17,2,FALSE)*Urban!X67)+(VLOOKUP($Y$2,Prices!$E$3:$F$17,2,FALSE)*Urban!Y67)+(VLOOKUP($Z$2,Prices!$E$3:$F$17,2,FALSE)*Urban!Z67)+(VLOOKUP($AA$2,Prices!$E$3:$F$17,2,FALSE)*Urban!AA67)+(VLOOKUP($AB$2,Prices!$E$3:$F$17,2,FALSE)*Urban!AB67)+M67</f>
        <v>61328500</v>
      </c>
      <c r="AD67" s="69">
        <v>42929280</v>
      </c>
      <c r="AE67" s="18"/>
      <c r="AF67" s="4">
        <f t="shared" ref="AF67:AF130" si="4">AD67-AE67</f>
        <v>42929280</v>
      </c>
      <c r="AG67" s="4"/>
      <c r="AH67" s="16">
        <f t="shared" ref="AH67:AH130" si="5">AD67+AG67</f>
        <v>42929280</v>
      </c>
      <c r="AI67" s="21">
        <f t="shared" ref="AI67:AI130" si="6">AH67/M67</f>
        <v>0.69998907522603682</v>
      </c>
      <c r="AJ67" s="20">
        <f t="shared" ref="AJ67:AJ130" si="7">AH67/AC67</f>
        <v>0.69998907522603682</v>
      </c>
      <c r="AK67" s="9"/>
    </row>
    <row r="68" spans="1:37" hidden="1">
      <c r="A68" s="3">
        <v>66</v>
      </c>
      <c r="B68" s="12"/>
      <c r="C68" s="13"/>
      <c r="D68" s="13"/>
      <c r="E68" s="13"/>
      <c r="F68" s="13"/>
      <c r="G68" s="13"/>
      <c r="H68" s="28"/>
      <c r="I68" s="24" t="s">
        <v>80</v>
      </c>
      <c r="J68" s="24" t="s">
        <v>1387</v>
      </c>
      <c r="K68" s="26" t="s">
        <v>655</v>
      </c>
      <c r="L68" s="26" t="s">
        <v>394</v>
      </c>
      <c r="M68" s="66">
        <f>IFERROR(VLOOKUP($L68,[1]Consolidated!$C$9:$AC$341,27,0),0)</f>
        <v>15122500</v>
      </c>
      <c r="N68" s="66">
        <f>IFERROR(VLOOKUP($L68,[1]Consolidated!$C$9:$AC$341,5,0),0)</f>
        <v>80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4">
        <f>(VLOOKUP($O$2,Prices!$E$3:$F$17,2,FALSE)*Urban!O68)+(VLOOKUP($P$2,Prices!$E$3:$F$17,2,FALSE)*Urban!P68)+(VLOOKUP($Q$2,Prices!$E$3:$F$17,2,FALSE)*Urban!Q68)+(VLOOKUP($R$2,Prices!$E$3:$F$17,2,FALSE)*Urban!R68)+(VLOOKUP($S$2,Prices!$E$3:$F$17,2,FALSE)*Urban!S68)+(VLOOKUP($T$2,Prices!$E$3:$F$17,2,FALSE)*Urban!T68)+(VLOOKUP($U$2,Prices!$E$3:$F$17,2,FALSE)*Urban!U68)+(VLOOKUP($V$2,Prices!$E$3:$F$17,2,FALSE)*Urban!V68)+(VLOOKUP($W$2,Prices!$E$3:$F$17,2,FALSE)*Urban!W68)+(VLOOKUP($X$2,Prices!$E$3:$F$17,2,FALSE)*Urban!X68)+(VLOOKUP($Y$2,Prices!$E$3:$F$17,2,FALSE)*Urban!Y68)+(VLOOKUP($Z$2,Prices!$E$3:$F$17,2,FALSE)*Urban!Z68)+(VLOOKUP($AA$2,Prices!$E$3:$F$17,2,FALSE)*Urban!AA68)+(VLOOKUP($AB$2,Prices!$E$3:$F$17,2,FALSE)*Urban!AB68)+M68</f>
        <v>15122500</v>
      </c>
      <c r="AD68" s="69">
        <v>3504518.3798406287</v>
      </c>
      <c r="AE68" s="18"/>
      <c r="AF68" s="4">
        <f t="shared" si="4"/>
        <v>3504518.3798406287</v>
      </c>
      <c r="AG68" s="4"/>
      <c r="AH68" s="16">
        <f t="shared" si="5"/>
        <v>3504518.3798406287</v>
      </c>
      <c r="AI68" s="21">
        <f t="shared" si="6"/>
        <v>0.23174199899756182</v>
      </c>
      <c r="AJ68" s="20">
        <f t="shared" si="7"/>
        <v>0.23174199899756182</v>
      </c>
      <c r="AK68" s="9"/>
    </row>
    <row r="69" spans="1:37" hidden="1">
      <c r="A69" s="3">
        <v>67</v>
      </c>
      <c r="B69" s="12"/>
      <c r="C69" s="13"/>
      <c r="D69" s="13"/>
      <c r="E69" s="13"/>
      <c r="F69" s="13"/>
      <c r="G69" s="13"/>
      <c r="H69" s="28"/>
      <c r="I69" s="39" t="s">
        <v>81</v>
      </c>
      <c r="J69" s="24" t="s">
        <v>1387</v>
      </c>
      <c r="K69" s="26" t="s">
        <v>655</v>
      </c>
      <c r="L69" s="26" t="s">
        <v>395</v>
      </c>
      <c r="M69" s="41">
        <f>IFERROR(VLOOKUP($L69,'[2]Top WH -National'!$D$9:$AC$124,26,0),0)</f>
        <v>174169500</v>
      </c>
      <c r="N69" s="41">
        <f>IFERROR(VLOOKUP($L69,'[2]Top WH -National'!$D$9:$AC$124,4,0),0)</f>
        <v>820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4">
        <f>(VLOOKUP($O$2,Prices!$E$3:$F$17,2,FALSE)*Urban!O69)+(VLOOKUP($P$2,Prices!$E$3:$F$17,2,FALSE)*Urban!P69)+(VLOOKUP($Q$2,Prices!$E$3:$F$17,2,FALSE)*Urban!Q69)+(VLOOKUP($R$2,Prices!$E$3:$F$17,2,FALSE)*Urban!R69)+(VLOOKUP($S$2,Prices!$E$3:$F$17,2,FALSE)*Urban!S69)+(VLOOKUP($T$2,Prices!$E$3:$F$17,2,FALSE)*Urban!T69)+(VLOOKUP($U$2,Prices!$E$3:$F$17,2,FALSE)*Urban!U69)+(VLOOKUP($V$2,Prices!$E$3:$F$17,2,FALSE)*Urban!V69)+(VLOOKUP($W$2,Prices!$E$3:$F$17,2,FALSE)*Urban!W69)+(VLOOKUP($X$2,Prices!$E$3:$F$17,2,FALSE)*Urban!X69)+(VLOOKUP($Y$2,Prices!$E$3:$F$17,2,FALSE)*Urban!Y69)+(VLOOKUP($Z$2,Prices!$E$3:$F$17,2,FALSE)*Urban!Z69)+(VLOOKUP($AA$2,Prices!$E$3:$F$17,2,FALSE)*Urban!AA69)+(VLOOKUP($AB$2,Prices!$E$3:$F$17,2,FALSE)*Urban!AB69)+M69</f>
        <v>174169500</v>
      </c>
      <c r="AD69" s="69">
        <v>94941360</v>
      </c>
      <c r="AE69" s="18"/>
      <c r="AF69" s="4">
        <f t="shared" si="4"/>
        <v>94941360</v>
      </c>
      <c r="AG69" s="4"/>
      <c r="AH69" s="16">
        <f t="shared" si="5"/>
        <v>94941360</v>
      </c>
      <c r="AI69" s="21">
        <f t="shared" si="6"/>
        <v>0.54510898865760082</v>
      </c>
      <c r="AJ69" s="20">
        <f t="shared" si="7"/>
        <v>0.54510898865760082</v>
      </c>
      <c r="AK69" s="9"/>
    </row>
    <row r="70" spans="1:37" hidden="1">
      <c r="A70" s="3">
        <v>68</v>
      </c>
      <c r="B70" s="12"/>
      <c r="C70" s="13"/>
      <c r="D70" s="13"/>
      <c r="E70" s="13"/>
      <c r="F70" s="13"/>
      <c r="G70" s="13"/>
      <c r="H70" s="28"/>
      <c r="I70" s="24" t="s">
        <v>82</v>
      </c>
      <c r="J70" s="24" t="s">
        <v>1387</v>
      </c>
      <c r="K70" s="26" t="s">
        <v>655</v>
      </c>
      <c r="L70" s="26" t="s">
        <v>396</v>
      </c>
      <c r="M70" s="66">
        <f>IFERROR(VLOOKUP($L70,[1]Consolidated!$C$9:$AC$341,27,0),0)</f>
        <v>13617500</v>
      </c>
      <c r="N70" s="66">
        <f>IFERROR(VLOOKUP($L70,[1]Consolidated!$C$9:$AC$341,5,0),0)</f>
        <v>70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4">
        <f>(VLOOKUP($O$2,Prices!$E$3:$F$17,2,FALSE)*Urban!O70)+(VLOOKUP($P$2,Prices!$E$3:$F$17,2,FALSE)*Urban!P70)+(VLOOKUP($Q$2,Prices!$E$3:$F$17,2,FALSE)*Urban!Q70)+(VLOOKUP($R$2,Prices!$E$3:$F$17,2,FALSE)*Urban!R70)+(VLOOKUP($S$2,Prices!$E$3:$F$17,2,FALSE)*Urban!S70)+(VLOOKUP($T$2,Prices!$E$3:$F$17,2,FALSE)*Urban!T70)+(VLOOKUP($U$2,Prices!$E$3:$F$17,2,FALSE)*Urban!U70)+(VLOOKUP($V$2,Prices!$E$3:$F$17,2,FALSE)*Urban!V70)+(VLOOKUP($W$2,Prices!$E$3:$F$17,2,FALSE)*Urban!W70)+(VLOOKUP($X$2,Prices!$E$3:$F$17,2,FALSE)*Urban!X70)+(VLOOKUP($Y$2,Prices!$E$3:$F$17,2,FALSE)*Urban!Y70)+(VLOOKUP($Z$2,Prices!$E$3:$F$17,2,FALSE)*Urban!Z70)+(VLOOKUP($AA$2,Prices!$E$3:$F$17,2,FALSE)*Urban!AA70)+(VLOOKUP($AB$2,Prices!$E$3:$F$17,2,FALSE)*Urban!AB70)+M70</f>
        <v>13617500</v>
      </c>
      <c r="AD70" s="13">
        <v>0</v>
      </c>
      <c r="AE70" s="18"/>
      <c r="AF70" s="4">
        <f t="shared" si="4"/>
        <v>0</v>
      </c>
      <c r="AG70" s="4"/>
      <c r="AH70" s="16">
        <f t="shared" si="5"/>
        <v>0</v>
      </c>
      <c r="AI70" s="21">
        <f t="shared" si="6"/>
        <v>0</v>
      </c>
      <c r="AJ70" s="20">
        <f t="shared" si="7"/>
        <v>0</v>
      </c>
      <c r="AK70" s="9"/>
    </row>
    <row r="71" spans="1:37">
      <c r="A71" s="3">
        <v>69</v>
      </c>
      <c r="B71" s="12"/>
      <c r="C71" s="13"/>
      <c r="D71" s="13"/>
      <c r="E71" s="13"/>
      <c r="F71" s="13"/>
      <c r="G71" s="13"/>
      <c r="H71" s="28"/>
      <c r="I71" s="24" t="s">
        <v>83</v>
      </c>
      <c r="J71" s="24" t="s">
        <v>1387</v>
      </c>
      <c r="K71" s="26" t="s">
        <v>655</v>
      </c>
      <c r="L71" s="26" t="s">
        <v>397</v>
      </c>
      <c r="M71" s="66">
        <f>IFERROR(VLOOKUP($L71,[1]Consolidated!$C$9:$AC$341,27,0),0)</f>
        <v>0</v>
      </c>
      <c r="N71" s="66">
        <v>70</v>
      </c>
      <c r="O71" s="5">
        <v>15</v>
      </c>
      <c r="P71" s="71">
        <v>2</v>
      </c>
      <c r="Q71" s="71">
        <v>2</v>
      </c>
      <c r="R71" s="71"/>
      <c r="S71" s="71">
        <v>25</v>
      </c>
      <c r="T71" s="71"/>
      <c r="U71" s="71"/>
      <c r="V71" s="71">
        <v>5</v>
      </c>
      <c r="W71" s="71"/>
      <c r="X71" s="71"/>
      <c r="Y71" s="71">
        <v>27</v>
      </c>
      <c r="Z71" s="71">
        <v>2</v>
      </c>
      <c r="AA71" s="71"/>
      <c r="AB71" s="71">
        <v>2</v>
      </c>
      <c r="AC71" s="4">
        <f>(VLOOKUP($O$2,Prices!$E$3:$F$17,2,FALSE)*Urban!O71)+(VLOOKUP($P$2,Prices!$E$3:$F$17,2,FALSE)*Urban!P71)+(VLOOKUP($Q$2,Prices!$E$3:$F$17,2,FALSE)*Urban!Q71)+(VLOOKUP($R$2,Prices!$E$3:$F$17,2,FALSE)*Urban!R71)+(VLOOKUP($S$2,Prices!$E$3:$F$17,2,FALSE)*Urban!S71)+(VLOOKUP($T$2,Prices!$E$3:$F$17,2,FALSE)*Urban!T71)+(VLOOKUP($U$2,Prices!$E$3:$F$17,2,FALSE)*Urban!U71)+(VLOOKUP($V$2,Prices!$E$3:$F$17,2,FALSE)*Urban!V71)+(VLOOKUP($W$2,Prices!$E$3:$F$17,2,FALSE)*Urban!W71)+(VLOOKUP($X$2,Prices!$E$3:$F$17,2,FALSE)*Urban!X71)+(VLOOKUP($Y$2,Prices!$E$3:$F$17,2,FALSE)*Urban!Y71)+(VLOOKUP($Z$2,Prices!$E$3:$F$17,2,FALSE)*Urban!Z71)+(VLOOKUP($AA$2,Prices!$E$3:$F$17,2,FALSE)*Urban!AA71)+(VLOOKUP($AB$2,Prices!$E$3:$F$17,2,FALSE)*Urban!AB71)+M71</f>
        <v>16596000</v>
      </c>
      <c r="AD71" s="13">
        <v>0</v>
      </c>
      <c r="AE71" s="18"/>
      <c r="AF71" s="4">
        <f t="shared" si="4"/>
        <v>0</v>
      </c>
      <c r="AG71" s="4">
        <v>11290300</v>
      </c>
      <c r="AH71" s="16">
        <f t="shared" si="5"/>
        <v>11290300</v>
      </c>
      <c r="AI71" s="21" t="e">
        <f t="shared" si="6"/>
        <v>#DIV/0!</v>
      </c>
      <c r="AJ71" s="20">
        <f t="shared" si="7"/>
        <v>0.68030248252590986</v>
      </c>
      <c r="AK71" s="19" t="s">
        <v>1507</v>
      </c>
    </row>
    <row r="72" spans="1:37" hidden="1">
      <c r="A72" s="3">
        <v>70</v>
      </c>
      <c r="B72" s="12"/>
      <c r="C72" s="13"/>
      <c r="D72" s="13"/>
      <c r="E72" s="13"/>
      <c r="F72" s="13"/>
      <c r="G72" s="13"/>
      <c r="H72" s="28"/>
      <c r="I72" s="24" t="s">
        <v>84</v>
      </c>
      <c r="J72" s="24" t="s">
        <v>1387</v>
      </c>
      <c r="K72" s="26" t="s">
        <v>655</v>
      </c>
      <c r="L72" s="26" t="s">
        <v>398</v>
      </c>
      <c r="M72" s="66">
        <f>IFERROR(VLOOKUP($L72,[1]Consolidated!$C$9:$AC$341,27,0),0)</f>
        <v>34595000</v>
      </c>
      <c r="N72" s="66">
        <f>IFERROR(VLOOKUP($L72,[1]Consolidated!$C$9:$AC$341,5,0),0)</f>
        <v>180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4">
        <f>(VLOOKUP($O$2,Prices!$E$3:$F$17,2,FALSE)*Urban!O72)+(VLOOKUP($P$2,Prices!$E$3:$F$17,2,FALSE)*Urban!P72)+(VLOOKUP($Q$2,Prices!$E$3:$F$17,2,FALSE)*Urban!Q72)+(VLOOKUP($R$2,Prices!$E$3:$F$17,2,FALSE)*Urban!R72)+(VLOOKUP($S$2,Prices!$E$3:$F$17,2,FALSE)*Urban!S72)+(VLOOKUP($T$2,Prices!$E$3:$F$17,2,FALSE)*Urban!T72)+(VLOOKUP($U$2,Prices!$E$3:$F$17,2,FALSE)*Urban!U72)+(VLOOKUP($V$2,Prices!$E$3:$F$17,2,FALSE)*Urban!V72)+(VLOOKUP($W$2,Prices!$E$3:$F$17,2,FALSE)*Urban!W72)+(VLOOKUP($X$2,Prices!$E$3:$F$17,2,FALSE)*Urban!X72)+(VLOOKUP($Y$2,Prices!$E$3:$F$17,2,FALSE)*Urban!Y72)+(VLOOKUP($Z$2,Prices!$E$3:$F$17,2,FALSE)*Urban!Z72)+(VLOOKUP($AA$2,Prices!$E$3:$F$17,2,FALSE)*Urban!AA72)+(VLOOKUP($AB$2,Prices!$E$3:$F$17,2,FALSE)*Urban!AB72)+M72</f>
        <v>34595000</v>
      </c>
      <c r="AD72" s="69">
        <v>8017114.4553206516</v>
      </c>
      <c r="AE72" s="18"/>
      <c r="AF72" s="4">
        <f t="shared" si="4"/>
        <v>8017114.4553206516</v>
      </c>
      <c r="AG72" s="4"/>
      <c r="AH72" s="16">
        <f t="shared" si="5"/>
        <v>8017114.4553206516</v>
      </c>
      <c r="AI72" s="21">
        <f t="shared" si="6"/>
        <v>0.23174199899756184</v>
      </c>
      <c r="AJ72" s="20">
        <f t="shared" si="7"/>
        <v>0.23174199899756184</v>
      </c>
      <c r="AK72" s="9"/>
    </row>
    <row r="73" spans="1:37" hidden="1">
      <c r="A73" s="3">
        <v>71</v>
      </c>
      <c r="B73" s="12"/>
      <c r="C73" s="13"/>
      <c r="D73" s="13"/>
      <c r="E73" s="13"/>
      <c r="F73" s="13"/>
      <c r="G73" s="13"/>
      <c r="H73" s="28"/>
      <c r="I73" s="39" t="s">
        <v>85</v>
      </c>
      <c r="J73" s="24" t="s">
        <v>1387</v>
      </c>
      <c r="K73" s="26" t="s">
        <v>655</v>
      </c>
      <c r="L73" s="26" t="s">
        <v>399</v>
      </c>
      <c r="M73" s="41">
        <f>IFERROR(VLOOKUP($L73,'[2]Top WH -National'!$D$9:$AC$124,26,0),0)</f>
        <v>177919500</v>
      </c>
      <c r="N73" s="41">
        <f>IFERROR(VLOOKUP($L73,'[2]Top WH -National'!$D$9:$AC$124,4,0),0)</f>
        <v>820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4">
        <f>(VLOOKUP($O$2,Prices!$E$3:$F$17,2,FALSE)*Urban!O73)+(VLOOKUP($P$2,Prices!$E$3:$F$17,2,FALSE)*Urban!P73)+(VLOOKUP($Q$2,Prices!$E$3:$F$17,2,FALSE)*Urban!Q73)+(VLOOKUP($R$2,Prices!$E$3:$F$17,2,FALSE)*Urban!R73)+(VLOOKUP($S$2,Prices!$E$3:$F$17,2,FALSE)*Urban!S73)+(VLOOKUP($T$2,Prices!$E$3:$F$17,2,FALSE)*Urban!T73)+(VLOOKUP($U$2,Prices!$E$3:$F$17,2,FALSE)*Urban!U73)+(VLOOKUP($V$2,Prices!$E$3:$F$17,2,FALSE)*Urban!V73)+(VLOOKUP($W$2,Prices!$E$3:$F$17,2,FALSE)*Urban!W73)+(VLOOKUP($X$2,Prices!$E$3:$F$17,2,FALSE)*Urban!X73)+(VLOOKUP($Y$2,Prices!$E$3:$F$17,2,FALSE)*Urban!Y73)+(VLOOKUP($Z$2,Prices!$E$3:$F$17,2,FALSE)*Urban!Z73)+(VLOOKUP($AA$2,Prices!$E$3:$F$17,2,FALSE)*Urban!AA73)+(VLOOKUP($AB$2,Prices!$E$3:$F$17,2,FALSE)*Urban!AB73)+M73</f>
        <v>177919500</v>
      </c>
      <c r="AD73" s="69">
        <v>95886180</v>
      </c>
      <c r="AE73" s="18"/>
      <c r="AF73" s="4">
        <f t="shared" si="4"/>
        <v>95886180</v>
      </c>
      <c r="AG73" s="4"/>
      <c r="AH73" s="16">
        <f t="shared" si="5"/>
        <v>95886180</v>
      </c>
      <c r="AI73" s="21">
        <f t="shared" si="6"/>
        <v>0.53893013413369528</v>
      </c>
      <c r="AJ73" s="20">
        <f t="shared" si="7"/>
        <v>0.53893013413369528</v>
      </c>
      <c r="AK73" s="9"/>
    </row>
    <row r="74" spans="1:37" hidden="1">
      <c r="A74" s="3">
        <v>72</v>
      </c>
      <c r="B74" s="12"/>
      <c r="C74" s="13"/>
      <c r="D74" s="13"/>
      <c r="E74" s="13"/>
      <c r="F74" s="13"/>
      <c r="G74" s="13"/>
      <c r="H74" s="28"/>
      <c r="I74" s="24" t="s">
        <v>86</v>
      </c>
      <c r="J74" s="24" t="s">
        <v>1387</v>
      </c>
      <c r="K74" s="26" t="s">
        <v>655</v>
      </c>
      <c r="L74" s="26" t="s">
        <v>400</v>
      </c>
      <c r="M74" s="66">
        <f>IFERROR(VLOOKUP($L74,[1]Consolidated!$C$9:$AC$341,27,0),0)</f>
        <v>13617500</v>
      </c>
      <c r="N74" s="66">
        <f>IFERROR(VLOOKUP($L74,[1]Consolidated!$C$9:$AC$341,5,0),0)</f>
        <v>70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4">
        <f>(VLOOKUP($O$2,Prices!$E$3:$F$17,2,FALSE)*Urban!O74)+(VLOOKUP($P$2,Prices!$E$3:$F$17,2,FALSE)*Urban!P74)+(VLOOKUP($Q$2,Prices!$E$3:$F$17,2,FALSE)*Urban!Q74)+(VLOOKUP($R$2,Prices!$E$3:$F$17,2,FALSE)*Urban!R74)+(VLOOKUP($S$2,Prices!$E$3:$F$17,2,FALSE)*Urban!S74)+(VLOOKUP($T$2,Prices!$E$3:$F$17,2,FALSE)*Urban!T74)+(VLOOKUP($U$2,Prices!$E$3:$F$17,2,FALSE)*Urban!U74)+(VLOOKUP($V$2,Prices!$E$3:$F$17,2,FALSE)*Urban!V74)+(VLOOKUP($W$2,Prices!$E$3:$F$17,2,FALSE)*Urban!W74)+(VLOOKUP($X$2,Prices!$E$3:$F$17,2,FALSE)*Urban!X74)+(VLOOKUP($Y$2,Prices!$E$3:$F$17,2,FALSE)*Urban!Y74)+(VLOOKUP($Z$2,Prices!$E$3:$F$17,2,FALSE)*Urban!Z74)+(VLOOKUP($AA$2,Prices!$E$3:$F$17,2,FALSE)*Urban!AA74)+(VLOOKUP($AB$2,Prices!$E$3:$F$17,2,FALSE)*Urban!AB74)+M74</f>
        <v>13617500</v>
      </c>
      <c r="AD74" s="69">
        <v>3155746.6713492982</v>
      </c>
      <c r="AE74" s="18"/>
      <c r="AF74" s="4">
        <f t="shared" si="4"/>
        <v>3155746.6713492982</v>
      </c>
      <c r="AG74" s="4"/>
      <c r="AH74" s="16">
        <f t="shared" si="5"/>
        <v>3155746.6713492982</v>
      </c>
      <c r="AI74" s="21">
        <f t="shared" si="6"/>
        <v>0.23174199899756182</v>
      </c>
      <c r="AJ74" s="20">
        <f t="shared" si="7"/>
        <v>0.23174199899756182</v>
      </c>
      <c r="AK74" s="9"/>
    </row>
    <row r="75" spans="1:37" hidden="1">
      <c r="A75" s="3">
        <v>73</v>
      </c>
      <c r="B75" s="12"/>
      <c r="C75" s="13"/>
      <c r="D75" s="13"/>
      <c r="E75" s="13"/>
      <c r="F75" s="13"/>
      <c r="G75" s="13"/>
      <c r="H75" s="28"/>
      <c r="I75" s="24" t="s">
        <v>87</v>
      </c>
      <c r="J75" s="24" t="s">
        <v>1387</v>
      </c>
      <c r="K75" s="26" t="s">
        <v>655</v>
      </c>
      <c r="L75" s="26" t="s">
        <v>401</v>
      </c>
      <c r="M75" s="66">
        <f>IFERROR(VLOOKUP($L75,[1]Consolidated!$C$9:$AC$341,27,0),0)</f>
        <v>26550500</v>
      </c>
      <c r="N75" s="66">
        <f>IFERROR(VLOOKUP($L75,[1]Consolidated!$C$9:$AC$341,5,0),0)</f>
        <v>140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4">
        <f>(VLOOKUP($O$2,Prices!$E$3:$F$17,2,FALSE)*Urban!O75)+(VLOOKUP($P$2,Prices!$E$3:$F$17,2,FALSE)*Urban!P75)+(VLOOKUP($Q$2,Prices!$E$3:$F$17,2,FALSE)*Urban!Q75)+(VLOOKUP($R$2,Prices!$E$3:$F$17,2,FALSE)*Urban!R75)+(VLOOKUP($S$2,Prices!$E$3:$F$17,2,FALSE)*Urban!S75)+(VLOOKUP($T$2,Prices!$E$3:$F$17,2,FALSE)*Urban!T75)+(VLOOKUP($U$2,Prices!$E$3:$F$17,2,FALSE)*Urban!U75)+(VLOOKUP($V$2,Prices!$E$3:$F$17,2,FALSE)*Urban!V75)+(VLOOKUP($W$2,Prices!$E$3:$F$17,2,FALSE)*Urban!W75)+(VLOOKUP($X$2,Prices!$E$3:$F$17,2,FALSE)*Urban!X75)+(VLOOKUP($Y$2,Prices!$E$3:$F$17,2,FALSE)*Urban!Y75)+(VLOOKUP($Z$2,Prices!$E$3:$F$17,2,FALSE)*Urban!Z75)+(VLOOKUP($AA$2,Prices!$E$3:$F$17,2,FALSE)*Urban!AA75)+(VLOOKUP($AB$2,Prices!$E$3:$F$17,2,FALSE)*Urban!AB75)+M75</f>
        <v>26550500</v>
      </c>
      <c r="AD75" s="69">
        <v>6152865.9443847658</v>
      </c>
      <c r="AE75" s="18"/>
      <c r="AF75" s="4">
        <f t="shared" si="4"/>
        <v>6152865.9443847658</v>
      </c>
      <c r="AG75" s="4"/>
      <c r="AH75" s="16">
        <f t="shared" si="5"/>
        <v>6152865.9443847658</v>
      </c>
      <c r="AI75" s="21">
        <f t="shared" si="6"/>
        <v>0.23174199899756184</v>
      </c>
      <c r="AJ75" s="20">
        <f t="shared" si="7"/>
        <v>0.23174199899756184</v>
      </c>
      <c r="AK75" s="9"/>
    </row>
    <row r="76" spans="1:37">
      <c r="A76" s="3">
        <v>74</v>
      </c>
      <c r="B76" s="12"/>
      <c r="C76" s="13"/>
      <c r="D76" s="13"/>
      <c r="E76" s="13"/>
      <c r="F76" s="13"/>
      <c r="G76" s="13"/>
      <c r="H76" s="28"/>
      <c r="I76" s="24" t="s">
        <v>88</v>
      </c>
      <c r="J76" s="24" t="s">
        <v>1387</v>
      </c>
      <c r="K76" s="26" t="s">
        <v>655</v>
      </c>
      <c r="L76" s="26" t="s">
        <v>402</v>
      </c>
      <c r="M76" s="66">
        <f>IFERROR(VLOOKUP($L76,[1]Consolidated!$C$9:$AC$341,27,0),0)</f>
        <v>0</v>
      </c>
      <c r="N76" s="66">
        <v>70</v>
      </c>
      <c r="O76" s="5">
        <v>15</v>
      </c>
      <c r="P76" s="72">
        <v>2</v>
      </c>
      <c r="Q76" s="72">
        <v>2</v>
      </c>
      <c r="R76" s="72"/>
      <c r="S76" s="72">
        <v>25</v>
      </c>
      <c r="T76" s="72"/>
      <c r="U76" s="72"/>
      <c r="V76" s="72">
        <v>5</v>
      </c>
      <c r="W76" s="72"/>
      <c r="X76" s="72"/>
      <c r="Y76" s="72">
        <v>27</v>
      </c>
      <c r="Z76" s="72">
        <v>2</v>
      </c>
      <c r="AA76" s="72"/>
      <c r="AB76" s="72">
        <v>2</v>
      </c>
      <c r="AC76" s="4">
        <f>(VLOOKUP($O$2,Prices!$E$3:$F$17,2,FALSE)*Urban!O76)+(VLOOKUP($P$2,Prices!$E$3:$F$17,2,FALSE)*Urban!P76)+(VLOOKUP($Q$2,Prices!$E$3:$F$17,2,FALSE)*Urban!Q76)+(VLOOKUP($R$2,Prices!$E$3:$F$17,2,FALSE)*Urban!R76)+(VLOOKUP($S$2,Prices!$E$3:$F$17,2,FALSE)*Urban!S76)+(VLOOKUP($T$2,Prices!$E$3:$F$17,2,FALSE)*Urban!T76)+(VLOOKUP($U$2,Prices!$E$3:$F$17,2,FALSE)*Urban!U76)+(VLOOKUP($V$2,Prices!$E$3:$F$17,2,FALSE)*Urban!V76)+(VLOOKUP($W$2,Prices!$E$3:$F$17,2,FALSE)*Urban!W76)+(VLOOKUP($X$2,Prices!$E$3:$F$17,2,FALSE)*Urban!X76)+(VLOOKUP($Y$2,Prices!$E$3:$F$17,2,FALSE)*Urban!Y76)+(VLOOKUP($Z$2,Prices!$E$3:$F$17,2,FALSE)*Urban!Z76)+(VLOOKUP($AA$2,Prices!$E$3:$F$17,2,FALSE)*Urban!AA76)+(VLOOKUP($AB$2,Prices!$E$3:$F$17,2,FALSE)*Urban!AB76)+M76</f>
        <v>16596000</v>
      </c>
      <c r="AD76" s="13">
        <v>0</v>
      </c>
      <c r="AE76" s="18"/>
      <c r="AF76" s="4">
        <f t="shared" si="4"/>
        <v>0</v>
      </c>
      <c r="AG76" s="4">
        <v>11359250</v>
      </c>
      <c r="AH76" s="16">
        <f t="shared" si="5"/>
        <v>11359250</v>
      </c>
      <c r="AI76" s="21" t="e">
        <f t="shared" si="6"/>
        <v>#DIV/0!</v>
      </c>
      <c r="AJ76" s="20">
        <f t="shared" si="7"/>
        <v>0.6844570980959267</v>
      </c>
      <c r="AK76" s="9" t="s">
        <v>1508</v>
      </c>
    </row>
    <row r="77" spans="1:37" hidden="1">
      <c r="A77" s="3">
        <v>75</v>
      </c>
      <c r="B77" s="12"/>
      <c r="C77" s="13"/>
      <c r="D77" s="13"/>
      <c r="E77" s="13"/>
      <c r="F77" s="13"/>
      <c r="G77" s="13"/>
      <c r="H77" s="28"/>
      <c r="I77" s="24" t="s">
        <v>89</v>
      </c>
      <c r="J77" s="24" t="s">
        <v>1387</v>
      </c>
      <c r="K77" s="26" t="s">
        <v>656</v>
      </c>
      <c r="L77" s="26" t="s">
        <v>403</v>
      </c>
      <c r="M77" s="66">
        <f>IFERROR(VLOOKUP($L77,[1]Consolidated!$C$9:$AC$341,27,0),0)</f>
        <v>32579000</v>
      </c>
      <c r="N77" s="66">
        <f>IFERROR(VLOOKUP($L77,[1]Consolidated!$C$9:$AC$341,5,0),0)</f>
        <v>150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4">
        <f>(VLOOKUP($O$2,Prices!$E$3:$F$17,2,FALSE)*Urban!O77)+(VLOOKUP($P$2,Prices!$E$3:$F$17,2,FALSE)*Urban!P77)+(VLOOKUP($Q$2,Prices!$E$3:$F$17,2,FALSE)*Urban!Q77)+(VLOOKUP($R$2,Prices!$E$3:$F$17,2,FALSE)*Urban!R77)+(VLOOKUP($S$2,Prices!$E$3:$F$17,2,FALSE)*Urban!S77)+(VLOOKUP($T$2,Prices!$E$3:$F$17,2,FALSE)*Urban!T77)+(VLOOKUP($U$2,Prices!$E$3:$F$17,2,FALSE)*Urban!U77)+(VLOOKUP($V$2,Prices!$E$3:$F$17,2,FALSE)*Urban!V77)+(VLOOKUP($W$2,Prices!$E$3:$F$17,2,FALSE)*Urban!W77)+(VLOOKUP($X$2,Prices!$E$3:$F$17,2,FALSE)*Urban!X77)+(VLOOKUP($Y$2,Prices!$E$3:$F$17,2,FALSE)*Urban!Y77)+(VLOOKUP($Z$2,Prices!$E$3:$F$17,2,FALSE)*Urban!Z77)+(VLOOKUP($AA$2,Prices!$E$3:$F$17,2,FALSE)*Urban!AA77)+(VLOOKUP($AB$2,Prices!$E$3:$F$17,2,FALSE)*Urban!AB77)+M77</f>
        <v>32579000</v>
      </c>
      <c r="AD77" s="69">
        <v>2300000</v>
      </c>
      <c r="AE77" s="18"/>
      <c r="AF77" s="4">
        <f t="shared" si="4"/>
        <v>2300000</v>
      </c>
      <c r="AG77" s="4"/>
      <c r="AH77" s="16">
        <f t="shared" si="5"/>
        <v>2300000</v>
      </c>
      <c r="AI77" s="21">
        <f t="shared" si="6"/>
        <v>7.059762423647134E-2</v>
      </c>
      <c r="AJ77" s="20">
        <f t="shared" si="7"/>
        <v>7.059762423647134E-2</v>
      </c>
      <c r="AK77" s="9"/>
    </row>
    <row r="78" spans="1:37" hidden="1">
      <c r="A78" s="3">
        <v>76</v>
      </c>
      <c r="B78" s="12"/>
      <c r="C78" s="13"/>
      <c r="D78" s="13"/>
      <c r="E78" s="13"/>
      <c r="F78" s="13"/>
      <c r="G78" s="13"/>
      <c r="H78" s="28"/>
      <c r="I78" s="24" t="s">
        <v>90</v>
      </c>
      <c r="J78" s="24" t="s">
        <v>1387</v>
      </c>
      <c r="K78" s="26" t="s">
        <v>656</v>
      </c>
      <c r="L78" s="26" t="s">
        <v>404</v>
      </c>
      <c r="M78" s="66">
        <f>IFERROR(VLOOKUP($L78,[1]Consolidated!$C$9:$AC$341,27,0),0)</f>
        <v>20426000</v>
      </c>
      <c r="N78" s="66">
        <f>IFERROR(VLOOKUP($L78,[1]Consolidated!$C$9:$AC$341,5,0),0)</f>
        <v>90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4">
        <f>(VLOOKUP($O$2,Prices!$E$3:$F$17,2,FALSE)*Urban!O78)+(VLOOKUP($P$2,Prices!$E$3:$F$17,2,FALSE)*Urban!P78)+(VLOOKUP($Q$2,Prices!$E$3:$F$17,2,FALSE)*Urban!Q78)+(VLOOKUP($R$2,Prices!$E$3:$F$17,2,FALSE)*Urban!R78)+(VLOOKUP($S$2,Prices!$E$3:$F$17,2,FALSE)*Urban!S78)+(VLOOKUP($T$2,Prices!$E$3:$F$17,2,FALSE)*Urban!T78)+(VLOOKUP($U$2,Prices!$E$3:$F$17,2,FALSE)*Urban!U78)+(VLOOKUP($V$2,Prices!$E$3:$F$17,2,FALSE)*Urban!V78)+(VLOOKUP($W$2,Prices!$E$3:$F$17,2,FALSE)*Urban!W78)+(VLOOKUP($X$2,Prices!$E$3:$F$17,2,FALSE)*Urban!X78)+(VLOOKUP($Y$2,Prices!$E$3:$F$17,2,FALSE)*Urban!Y78)+(VLOOKUP($Z$2,Prices!$E$3:$F$17,2,FALSE)*Urban!Z78)+(VLOOKUP($AA$2,Prices!$E$3:$F$17,2,FALSE)*Urban!AA78)+(VLOOKUP($AB$2,Prices!$E$3:$F$17,2,FALSE)*Urban!AB78)+M78</f>
        <v>20426000</v>
      </c>
      <c r="AD78" s="69">
        <v>4600000</v>
      </c>
      <c r="AE78" s="18"/>
      <c r="AF78" s="4">
        <f t="shared" si="4"/>
        <v>4600000</v>
      </c>
      <c r="AG78" s="4"/>
      <c r="AH78" s="16">
        <f t="shared" si="5"/>
        <v>4600000</v>
      </c>
      <c r="AI78" s="21">
        <f t="shared" si="6"/>
        <v>0.22520317242729854</v>
      </c>
      <c r="AJ78" s="20">
        <f t="shared" si="7"/>
        <v>0.22520317242729854</v>
      </c>
      <c r="AK78" s="9"/>
    </row>
    <row r="79" spans="1:37" hidden="1">
      <c r="A79" s="3">
        <v>77</v>
      </c>
      <c r="B79" s="12"/>
      <c r="C79" s="13"/>
      <c r="D79" s="13"/>
      <c r="E79" s="13"/>
      <c r="F79" s="13"/>
      <c r="G79" s="13"/>
      <c r="H79" s="28"/>
      <c r="I79" s="24" t="s">
        <v>91</v>
      </c>
      <c r="J79" s="24" t="s">
        <v>1387</v>
      </c>
      <c r="K79" s="26" t="s">
        <v>656</v>
      </c>
      <c r="L79" s="26" t="s">
        <v>405</v>
      </c>
      <c r="M79" s="66">
        <f>IFERROR(VLOOKUP($L79,[1]Consolidated!$C$9:$AC$341,27,0),0)</f>
        <v>15532500</v>
      </c>
      <c r="N79" s="66">
        <f>IFERROR(VLOOKUP($L79,[1]Consolidated!$C$9:$AC$341,5,0),0)</f>
        <v>70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4">
        <f>(VLOOKUP($O$2,Prices!$E$3:$F$17,2,FALSE)*Urban!O79)+(VLOOKUP($P$2,Prices!$E$3:$F$17,2,FALSE)*Urban!P79)+(VLOOKUP($Q$2,Prices!$E$3:$F$17,2,FALSE)*Urban!Q79)+(VLOOKUP($R$2,Prices!$E$3:$F$17,2,FALSE)*Urban!R79)+(VLOOKUP($S$2,Prices!$E$3:$F$17,2,FALSE)*Urban!S79)+(VLOOKUP($T$2,Prices!$E$3:$F$17,2,FALSE)*Urban!T79)+(VLOOKUP($U$2,Prices!$E$3:$F$17,2,FALSE)*Urban!U79)+(VLOOKUP($V$2,Prices!$E$3:$F$17,2,FALSE)*Urban!V79)+(VLOOKUP($W$2,Prices!$E$3:$F$17,2,FALSE)*Urban!W79)+(VLOOKUP($X$2,Prices!$E$3:$F$17,2,FALSE)*Urban!X79)+(VLOOKUP($Y$2,Prices!$E$3:$F$17,2,FALSE)*Urban!Y79)+(VLOOKUP($Z$2,Prices!$E$3:$F$17,2,FALSE)*Urban!Z79)+(VLOOKUP($AA$2,Prices!$E$3:$F$17,2,FALSE)*Urban!AA79)+(VLOOKUP($AB$2,Prices!$E$3:$F$17,2,FALSE)*Urban!AB79)+M79</f>
        <v>15532500</v>
      </c>
      <c r="AD79" s="69">
        <v>4600000</v>
      </c>
      <c r="AE79" s="18"/>
      <c r="AF79" s="4">
        <f t="shared" si="4"/>
        <v>4600000</v>
      </c>
      <c r="AG79" s="4"/>
      <c r="AH79" s="16">
        <f t="shared" si="5"/>
        <v>4600000</v>
      </c>
      <c r="AI79" s="21">
        <f t="shared" si="6"/>
        <v>0.29615322710445841</v>
      </c>
      <c r="AJ79" s="20">
        <f t="shared" si="7"/>
        <v>0.29615322710445841</v>
      </c>
      <c r="AK79" s="9"/>
    </row>
    <row r="80" spans="1:37" hidden="1">
      <c r="A80" s="3">
        <v>78</v>
      </c>
      <c r="B80" s="12"/>
      <c r="C80" s="13"/>
      <c r="D80" s="13"/>
      <c r="E80" s="13"/>
      <c r="F80" s="13"/>
      <c r="G80" s="13"/>
      <c r="H80" s="28"/>
      <c r="I80" s="24" t="s">
        <v>92</v>
      </c>
      <c r="J80" s="24" t="s">
        <v>1387</v>
      </c>
      <c r="K80" s="26" t="s">
        <v>656</v>
      </c>
      <c r="L80" s="26" t="s">
        <v>406</v>
      </c>
      <c r="M80" s="66">
        <f>IFERROR(VLOOKUP($L80,[1]Consolidated!$C$9:$AC$341,27,0),0)</f>
        <v>26717500</v>
      </c>
      <c r="N80" s="66">
        <f>IFERROR(VLOOKUP($L80,[1]Consolidated!$C$9:$AC$341,5,0),0)</f>
        <v>120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4">
        <f>(VLOOKUP($O$2,Prices!$E$3:$F$17,2,FALSE)*Urban!O80)+(VLOOKUP($P$2,Prices!$E$3:$F$17,2,FALSE)*Urban!P80)+(VLOOKUP($Q$2,Prices!$E$3:$F$17,2,FALSE)*Urban!Q80)+(VLOOKUP($R$2,Prices!$E$3:$F$17,2,FALSE)*Urban!R80)+(VLOOKUP($S$2,Prices!$E$3:$F$17,2,FALSE)*Urban!S80)+(VLOOKUP($T$2,Prices!$E$3:$F$17,2,FALSE)*Urban!T80)+(VLOOKUP($U$2,Prices!$E$3:$F$17,2,FALSE)*Urban!U80)+(VLOOKUP($V$2,Prices!$E$3:$F$17,2,FALSE)*Urban!V80)+(VLOOKUP($W$2,Prices!$E$3:$F$17,2,FALSE)*Urban!W80)+(VLOOKUP($X$2,Prices!$E$3:$F$17,2,FALSE)*Urban!X80)+(VLOOKUP($Y$2,Prices!$E$3:$F$17,2,FALSE)*Urban!Y80)+(VLOOKUP($Z$2,Prices!$E$3:$F$17,2,FALSE)*Urban!Z80)+(VLOOKUP($AA$2,Prices!$E$3:$F$17,2,FALSE)*Urban!AA80)+(VLOOKUP($AB$2,Prices!$E$3:$F$17,2,FALSE)*Urban!AB80)+M80</f>
        <v>26717500</v>
      </c>
      <c r="AD80" s="69">
        <v>4600000</v>
      </c>
      <c r="AE80" s="18"/>
      <c r="AF80" s="4">
        <f t="shared" si="4"/>
        <v>4600000</v>
      </c>
      <c r="AG80" s="4"/>
      <c r="AH80" s="16">
        <f t="shared" si="5"/>
        <v>4600000</v>
      </c>
      <c r="AI80" s="21">
        <f t="shared" si="6"/>
        <v>0.17217179751099468</v>
      </c>
      <c r="AJ80" s="20">
        <f t="shared" si="7"/>
        <v>0.17217179751099468</v>
      </c>
      <c r="AK80" s="19"/>
    </row>
    <row r="81" spans="1:37" hidden="1">
      <c r="A81" s="3">
        <v>79</v>
      </c>
      <c r="B81" s="12"/>
      <c r="C81" s="13"/>
      <c r="D81" s="13"/>
      <c r="E81" s="13"/>
      <c r="F81" s="13"/>
      <c r="G81" s="13"/>
      <c r="H81" s="28"/>
      <c r="I81" s="24" t="s">
        <v>1378</v>
      </c>
      <c r="J81" s="24" t="s">
        <v>1387</v>
      </c>
      <c r="K81" s="26" t="s">
        <v>656</v>
      </c>
      <c r="L81" s="26" t="s">
        <v>1377</v>
      </c>
      <c r="M81" s="66">
        <f>IFERROR(VLOOKUP($L81,[1]Consolidated!$C$9:$AC$341,27,0),0)</f>
        <v>0</v>
      </c>
      <c r="N81" s="66">
        <f>IFERROR(VLOOKUP($L81,[1]Consolidated!$C$9:$AC$341,5,0),0)</f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4">
        <f>(VLOOKUP($O$2,Prices!$E$3:$F$17,2,FALSE)*Urban!O81)+(VLOOKUP($P$2,Prices!$E$3:$F$17,2,FALSE)*Urban!P81)+(VLOOKUP($Q$2,Prices!$E$3:$F$17,2,FALSE)*Urban!Q81)+(VLOOKUP($R$2,Prices!$E$3:$F$17,2,FALSE)*Urban!R81)+(VLOOKUP($S$2,Prices!$E$3:$F$17,2,FALSE)*Urban!S81)+(VLOOKUP($T$2,Prices!$E$3:$F$17,2,FALSE)*Urban!T81)+(VLOOKUP($U$2,Prices!$E$3:$F$17,2,FALSE)*Urban!U81)+(VLOOKUP($V$2,Prices!$E$3:$F$17,2,FALSE)*Urban!V81)+(VLOOKUP($W$2,Prices!$E$3:$F$17,2,FALSE)*Urban!W81)+(VLOOKUP($X$2,Prices!$E$3:$F$17,2,FALSE)*Urban!X81)+(VLOOKUP($Y$2,Prices!$E$3:$F$17,2,FALSE)*Urban!Y81)+(VLOOKUP($Z$2,Prices!$E$3:$F$17,2,FALSE)*Urban!Z81)+(VLOOKUP($AA$2,Prices!$E$3:$F$17,2,FALSE)*Urban!AA81)+(VLOOKUP($AB$2,Prices!$E$3:$F$17,2,FALSE)*Urban!AB81)+M81</f>
        <v>0</v>
      </c>
      <c r="AD81" s="13">
        <v>0</v>
      </c>
      <c r="AE81" s="18"/>
      <c r="AF81" s="4">
        <f t="shared" si="4"/>
        <v>0</v>
      </c>
      <c r="AG81" s="4"/>
      <c r="AH81" s="16">
        <f t="shared" si="5"/>
        <v>0</v>
      </c>
      <c r="AI81" s="21" t="e">
        <f t="shared" si="6"/>
        <v>#DIV/0!</v>
      </c>
      <c r="AJ81" s="20" t="e">
        <f t="shared" si="7"/>
        <v>#DIV/0!</v>
      </c>
      <c r="AK81" s="9"/>
    </row>
    <row r="82" spans="1:37" hidden="1">
      <c r="A82" s="3">
        <v>80</v>
      </c>
      <c r="B82" s="12"/>
      <c r="C82" s="13"/>
      <c r="D82" s="13"/>
      <c r="E82" s="13"/>
      <c r="F82" s="13"/>
      <c r="G82" s="13"/>
      <c r="H82" s="28"/>
      <c r="I82" s="24" t="s">
        <v>93</v>
      </c>
      <c r="J82" s="24" t="s">
        <v>1387</v>
      </c>
      <c r="K82" s="26" t="s">
        <v>656</v>
      </c>
      <c r="L82" s="26" t="s">
        <v>407</v>
      </c>
      <c r="M82" s="66">
        <f>IFERROR(VLOOKUP($L82,[1]Consolidated!$C$9:$AC$341,27,0),0)</f>
        <v>18080000</v>
      </c>
      <c r="N82" s="66">
        <f>IFERROR(VLOOKUP($L82,[1]Consolidated!$C$9:$AC$341,5,0),0)</f>
        <v>80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4">
        <f>(VLOOKUP($O$2,Prices!$E$3:$F$17,2,FALSE)*Urban!O82)+(VLOOKUP($P$2,Prices!$E$3:$F$17,2,FALSE)*Urban!P82)+(VLOOKUP($Q$2,Prices!$E$3:$F$17,2,FALSE)*Urban!Q82)+(VLOOKUP($R$2,Prices!$E$3:$F$17,2,FALSE)*Urban!R82)+(VLOOKUP($S$2,Prices!$E$3:$F$17,2,FALSE)*Urban!S82)+(VLOOKUP($T$2,Prices!$E$3:$F$17,2,FALSE)*Urban!T82)+(VLOOKUP($U$2,Prices!$E$3:$F$17,2,FALSE)*Urban!U82)+(VLOOKUP($V$2,Prices!$E$3:$F$17,2,FALSE)*Urban!V82)+(VLOOKUP($W$2,Prices!$E$3:$F$17,2,FALSE)*Urban!W82)+(VLOOKUP($X$2,Prices!$E$3:$F$17,2,FALSE)*Urban!X82)+(VLOOKUP($Y$2,Prices!$E$3:$F$17,2,FALSE)*Urban!Y82)+(VLOOKUP($Z$2,Prices!$E$3:$F$17,2,FALSE)*Urban!Z82)+(VLOOKUP($AA$2,Prices!$E$3:$F$17,2,FALSE)*Urban!AA82)+(VLOOKUP($AB$2,Prices!$E$3:$F$17,2,FALSE)*Urban!AB82)+M82</f>
        <v>18080000</v>
      </c>
      <c r="AD82" s="69">
        <v>4600000</v>
      </c>
      <c r="AE82" s="18"/>
      <c r="AF82" s="4">
        <f t="shared" si="4"/>
        <v>4600000</v>
      </c>
      <c r="AG82" s="4"/>
      <c r="AH82" s="16">
        <f t="shared" si="5"/>
        <v>4600000</v>
      </c>
      <c r="AI82" s="21">
        <f t="shared" si="6"/>
        <v>0.25442477876106195</v>
      </c>
      <c r="AJ82" s="20">
        <f t="shared" si="7"/>
        <v>0.25442477876106195</v>
      </c>
      <c r="AK82" s="9"/>
    </row>
    <row r="83" spans="1:37" hidden="1">
      <c r="A83" s="3">
        <v>81</v>
      </c>
      <c r="B83" s="12"/>
      <c r="C83" s="13"/>
      <c r="D83" s="13"/>
      <c r="E83" s="13"/>
      <c r="F83" s="13"/>
      <c r="G83" s="13"/>
      <c r="H83" s="28"/>
      <c r="I83" s="39" t="s">
        <v>94</v>
      </c>
      <c r="J83" s="24" t="s">
        <v>1387</v>
      </c>
      <c r="K83" s="26" t="s">
        <v>656</v>
      </c>
      <c r="L83" s="26" t="s">
        <v>408</v>
      </c>
      <c r="M83" s="41">
        <f>IFERROR(VLOOKUP($L83,'[2]Top WH -National'!$D$9:$AC$124,26,0),0)</f>
        <v>80613000</v>
      </c>
      <c r="N83" s="41">
        <f>IFERROR(VLOOKUP($L83,'[2]Top WH -National'!$D$9:$AC$124,4,0),0)</f>
        <v>450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4">
        <f>(VLOOKUP($O$2,Prices!$E$3:$F$17,2,FALSE)*Urban!O83)+(VLOOKUP($P$2,Prices!$E$3:$F$17,2,FALSE)*Urban!P83)+(VLOOKUP($Q$2,Prices!$E$3:$F$17,2,FALSE)*Urban!Q83)+(VLOOKUP($R$2,Prices!$E$3:$F$17,2,FALSE)*Urban!R83)+(VLOOKUP($S$2,Prices!$E$3:$F$17,2,FALSE)*Urban!S83)+(VLOOKUP($T$2,Prices!$E$3:$F$17,2,FALSE)*Urban!T83)+(VLOOKUP($U$2,Prices!$E$3:$F$17,2,FALSE)*Urban!U83)+(VLOOKUP($V$2,Prices!$E$3:$F$17,2,FALSE)*Urban!V83)+(VLOOKUP($W$2,Prices!$E$3:$F$17,2,FALSE)*Urban!W83)+(VLOOKUP($X$2,Prices!$E$3:$F$17,2,FALSE)*Urban!X83)+(VLOOKUP($Y$2,Prices!$E$3:$F$17,2,FALSE)*Urban!Y83)+(VLOOKUP($Z$2,Prices!$E$3:$F$17,2,FALSE)*Urban!Z83)+(VLOOKUP($AA$2,Prices!$E$3:$F$17,2,FALSE)*Urban!AA83)+(VLOOKUP($AB$2,Prices!$E$3:$F$17,2,FALSE)*Urban!AB83)+M83</f>
        <v>80613000</v>
      </c>
      <c r="AD83" s="69">
        <v>60400000</v>
      </c>
      <c r="AE83" s="18"/>
      <c r="AF83" s="4">
        <f t="shared" si="4"/>
        <v>60400000</v>
      </c>
      <c r="AG83" s="4"/>
      <c r="AH83" s="16">
        <f t="shared" si="5"/>
        <v>60400000</v>
      </c>
      <c r="AI83" s="21">
        <f t="shared" si="6"/>
        <v>0.74925880441119919</v>
      </c>
      <c r="AJ83" s="20">
        <f t="shared" si="7"/>
        <v>0.74925880441119919</v>
      </c>
      <c r="AK83" s="9"/>
    </row>
    <row r="84" spans="1:37">
      <c r="A84" s="3">
        <v>82</v>
      </c>
      <c r="B84" s="12"/>
      <c r="C84" s="13"/>
      <c r="D84" s="13"/>
      <c r="E84" s="13"/>
      <c r="F84" s="13"/>
      <c r="G84" s="13"/>
      <c r="H84" s="28"/>
      <c r="I84" s="24" t="s">
        <v>95</v>
      </c>
      <c r="J84" s="24" t="s">
        <v>1387</v>
      </c>
      <c r="K84" s="26" t="s">
        <v>656</v>
      </c>
      <c r="L84" s="26" t="s">
        <v>409</v>
      </c>
      <c r="M84" s="66">
        <f>IFERROR(VLOOKUP($L84,[1]Consolidated!$C$9:$AC$341,27,0),0)</f>
        <v>37578000</v>
      </c>
      <c r="N84" s="66">
        <f>IFERROR(VLOOKUP($L84,[1]Consolidated!$C$9:$AC$341,5,0),0)</f>
        <v>171</v>
      </c>
      <c r="O84" s="5">
        <v>10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4">
        <f>(VLOOKUP($O$2,Prices!$E$3:$F$17,2,FALSE)*Urban!O84)+(VLOOKUP($P$2,Prices!$E$3:$F$17,2,FALSE)*Urban!P84)+(VLOOKUP($Q$2,Prices!$E$3:$F$17,2,FALSE)*Urban!Q84)+(VLOOKUP($R$2,Prices!$E$3:$F$17,2,FALSE)*Urban!R84)+(VLOOKUP($S$2,Prices!$E$3:$F$17,2,FALSE)*Urban!S84)+(VLOOKUP($T$2,Prices!$E$3:$F$17,2,FALSE)*Urban!T84)+(VLOOKUP($U$2,Prices!$E$3:$F$17,2,FALSE)*Urban!U84)+(VLOOKUP($V$2,Prices!$E$3:$F$17,2,FALSE)*Urban!V84)+(VLOOKUP($W$2,Prices!$E$3:$F$17,2,FALSE)*Urban!W84)+(VLOOKUP($X$2,Prices!$E$3:$F$17,2,FALSE)*Urban!X84)+(VLOOKUP($Y$2,Prices!$E$3:$F$17,2,FALSE)*Urban!Y84)+(VLOOKUP($Z$2,Prices!$E$3:$F$17,2,FALSE)*Urban!Z84)+(VLOOKUP($AA$2,Prices!$E$3:$F$17,2,FALSE)*Urban!AA84)+(VLOOKUP($AB$2,Prices!$E$3:$F$17,2,FALSE)*Urban!AB84)+M84</f>
        <v>40188000</v>
      </c>
      <c r="AD84" s="69">
        <v>23000000</v>
      </c>
      <c r="AE84" s="18"/>
      <c r="AF84" s="4">
        <f t="shared" si="4"/>
        <v>23000000</v>
      </c>
      <c r="AG84" s="4">
        <v>8680000</v>
      </c>
      <c r="AH84" s="16">
        <f t="shared" si="5"/>
        <v>31680000</v>
      </c>
      <c r="AI84" s="21">
        <f t="shared" si="6"/>
        <v>0.84304646335621902</v>
      </c>
      <c r="AJ84" s="20">
        <f t="shared" si="7"/>
        <v>0.78829501343684683</v>
      </c>
      <c r="AK84" s="9" t="s">
        <v>1508</v>
      </c>
    </row>
    <row r="85" spans="1:37" hidden="1">
      <c r="A85" s="3">
        <v>83</v>
      </c>
      <c r="B85" s="12"/>
      <c r="C85" s="13"/>
      <c r="D85" s="13"/>
      <c r="E85" s="13"/>
      <c r="F85" s="13"/>
      <c r="G85" s="13"/>
      <c r="H85" s="28"/>
      <c r="I85" s="24" t="s">
        <v>96</v>
      </c>
      <c r="J85" s="24" t="s">
        <v>1387</v>
      </c>
      <c r="K85" s="26" t="s">
        <v>656</v>
      </c>
      <c r="L85" s="26" t="s">
        <v>410</v>
      </c>
      <c r="M85" s="66">
        <f>IFERROR(VLOOKUP($L85,[1]Consolidated!$C$9:$AC$341,27,0),0)</f>
        <v>37504500</v>
      </c>
      <c r="N85" s="66">
        <f>IFERROR(VLOOKUP($L85,[1]Consolidated!$C$9:$AC$341,5,0),0)</f>
        <v>180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4">
        <f>(VLOOKUP($O$2,Prices!$E$3:$F$17,2,FALSE)*Urban!O85)+(VLOOKUP($P$2,Prices!$E$3:$F$17,2,FALSE)*Urban!P85)+(VLOOKUP($Q$2,Prices!$E$3:$F$17,2,FALSE)*Urban!Q85)+(VLOOKUP($R$2,Prices!$E$3:$F$17,2,FALSE)*Urban!R85)+(VLOOKUP($S$2,Prices!$E$3:$F$17,2,FALSE)*Urban!S85)+(VLOOKUP($T$2,Prices!$E$3:$F$17,2,FALSE)*Urban!T85)+(VLOOKUP($U$2,Prices!$E$3:$F$17,2,FALSE)*Urban!U85)+(VLOOKUP($V$2,Prices!$E$3:$F$17,2,FALSE)*Urban!V85)+(VLOOKUP($W$2,Prices!$E$3:$F$17,2,FALSE)*Urban!W85)+(VLOOKUP($X$2,Prices!$E$3:$F$17,2,FALSE)*Urban!X85)+(VLOOKUP($Y$2,Prices!$E$3:$F$17,2,FALSE)*Urban!Y85)+(VLOOKUP($Z$2,Prices!$E$3:$F$17,2,FALSE)*Urban!Z85)+(VLOOKUP($AA$2,Prices!$E$3:$F$17,2,FALSE)*Urban!AA85)+(VLOOKUP($AB$2,Prices!$E$3:$F$17,2,FALSE)*Urban!AB85)+M85</f>
        <v>37504500</v>
      </c>
      <c r="AD85" s="69">
        <v>6900000</v>
      </c>
      <c r="AE85" s="18"/>
      <c r="AF85" s="4">
        <f t="shared" si="4"/>
        <v>6900000</v>
      </c>
      <c r="AG85" s="4"/>
      <c r="AH85" s="16">
        <f t="shared" si="5"/>
        <v>6900000</v>
      </c>
      <c r="AI85" s="21">
        <f t="shared" si="6"/>
        <v>0.18397792264928209</v>
      </c>
      <c r="AJ85" s="20">
        <f t="shared" si="7"/>
        <v>0.18397792264928209</v>
      </c>
      <c r="AK85" s="9"/>
    </row>
    <row r="86" spans="1:37" hidden="1">
      <c r="A86" s="3">
        <v>84</v>
      </c>
      <c r="B86" s="12"/>
      <c r="C86" s="13"/>
      <c r="D86" s="13"/>
      <c r="E86" s="13"/>
      <c r="F86" s="13"/>
      <c r="G86" s="13"/>
      <c r="H86" s="28"/>
      <c r="I86" s="24" t="s">
        <v>97</v>
      </c>
      <c r="J86" s="24" t="s">
        <v>1387</v>
      </c>
      <c r="K86" s="26" t="s">
        <v>656</v>
      </c>
      <c r="L86" s="26" t="s">
        <v>411</v>
      </c>
      <c r="M86" s="66">
        <f>IFERROR(VLOOKUP($L86,[1]Consolidated!$C$9:$AC$341,27,0),0)</f>
        <v>15712000</v>
      </c>
      <c r="N86" s="66">
        <f>IFERROR(VLOOKUP($L86,[1]Consolidated!$C$9:$AC$341,5,0),0)</f>
        <v>75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4">
        <f>(VLOOKUP($O$2,Prices!$E$3:$F$17,2,FALSE)*Urban!O86)+(VLOOKUP($P$2,Prices!$E$3:$F$17,2,FALSE)*Urban!P86)+(VLOOKUP($Q$2,Prices!$E$3:$F$17,2,FALSE)*Urban!Q86)+(VLOOKUP($R$2,Prices!$E$3:$F$17,2,FALSE)*Urban!R86)+(VLOOKUP($S$2,Prices!$E$3:$F$17,2,FALSE)*Urban!S86)+(VLOOKUP($T$2,Prices!$E$3:$F$17,2,FALSE)*Urban!T86)+(VLOOKUP($U$2,Prices!$E$3:$F$17,2,FALSE)*Urban!U86)+(VLOOKUP($V$2,Prices!$E$3:$F$17,2,FALSE)*Urban!V86)+(VLOOKUP($W$2,Prices!$E$3:$F$17,2,FALSE)*Urban!W86)+(VLOOKUP($X$2,Prices!$E$3:$F$17,2,FALSE)*Urban!X86)+(VLOOKUP($Y$2,Prices!$E$3:$F$17,2,FALSE)*Urban!Y86)+(VLOOKUP($Z$2,Prices!$E$3:$F$17,2,FALSE)*Urban!Z86)+(VLOOKUP($AA$2,Prices!$E$3:$F$17,2,FALSE)*Urban!AA86)+(VLOOKUP($AB$2,Prices!$E$3:$F$17,2,FALSE)*Urban!AB86)+M86</f>
        <v>15712000</v>
      </c>
      <c r="AD86" s="69">
        <v>4600000</v>
      </c>
      <c r="AE86" s="18"/>
      <c r="AF86" s="4">
        <f t="shared" si="4"/>
        <v>4600000</v>
      </c>
      <c r="AG86" s="4"/>
      <c r="AH86" s="16">
        <f t="shared" si="5"/>
        <v>4600000</v>
      </c>
      <c r="AI86" s="21">
        <f t="shared" si="6"/>
        <v>0.29276985743380857</v>
      </c>
      <c r="AJ86" s="20">
        <f t="shared" si="7"/>
        <v>0.29276985743380857</v>
      </c>
      <c r="AK86" s="9"/>
    </row>
    <row r="87" spans="1:37" hidden="1">
      <c r="A87" s="3">
        <v>85</v>
      </c>
      <c r="B87" s="12"/>
      <c r="C87" s="13"/>
      <c r="D87" s="13"/>
      <c r="E87" s="13"/>
      <c r="F87" s="13"/>
      <c r="G87" s="13"/>
      <c r="H87" s="28"/>
      <c r="I87" s="24" t="s">
        <v>98</v>
      </c>
      <c r="J87" s="24" t="s">
        <v>1387</v>
      </c>
      <c r="K87" s="26" t="s">
        <v>656</v>
      </c>
      <c r="L87" s="26" t="s">
        <v>412</v>
      </c>
      <c r="M87" s="66">
        <f>IFERROR(VLOOKUP($L87,[1]Consolidated!$C$9:$AC$341,27,0),0)</f>
        <v>37468000</v>
      </c>
      <c r="N87" s="66">
        <f>IFERROR(VLOOKUP($L87,[1]Consolidated!$C$9:$AC$341,5,0),0)</f>
        <v>170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4">
        <f>(VLOOKUP($O$2,Prices!$E$3:$F$17,2,FALSE)*Urban!O87)+(VLOOKUP($P$2,Prices!$E$3:$F$17,2,FALSE)*Urban!P87)+(VLOOKUP($Q$2,Prices!$E$3:$F$17,2,FALSE)*Urban!Q87)+(VLOOKUP($R$2,Prices!$E$3:$F$17,2,FALSE)*Urban!R87)+(VLOOKUP($S$2,Prices!$E$3:$F$17,2,FALSE)*Urban!S87)+(VLOOKUP($T$2,Prices!$E$3:$F$17,2,FALSE)*Urban!T87)+(VLOOKUP($U$2,Prices!$E$3:$F$17,2,FALSE)*Urban!U87)+(VLOOKUP($V$2,Prices!$E$3:$F$17,2,FALSE)*Urban!V87)+(VLOOKUP($W$2,Prices!$E$3:$F$17,2,FALSE)*Urban!W87)+(VLOOKUP($X$2,Prices!$E$3:$F$17,2,FALSE)*Urban!X87)+(VLOOKUP($Y$2,Prices!$E$3:$F$17,2,FALSE)*Urban!Y87)+(VLOOKUP($Z$2,Prices!$E$3:$F$17,2,FALSE)*Urban!Z87)+(VLOOKUP($AA$2,Prices!$E$3:$F$17,2,FALSE)*Urban!AA87)+(VLOOKUP($AB$2,Prices!$E$3:$F$17,2,FALSE)*Urban!AB87)+M87</f>
        <v>37468000</v>
      </c>
      <c r="AD87" s="69">
        <v>6900000</v>
      </c>
      <c r="AE87" s="18"/>
      <c r="AF87" s="4">
        <f t="shared" si="4"/>
        <v>6900000</v>
      </c>
      <c r="AG87" s="4"/>
      <c r="AH87" s="16">
        <f t="shared" si="5"/>
        <v>6900000</v>
      </c>
      <c r="AI87" s="21">
        <f t="shared" si="6"/>
        <v>0.18415714743247572</v>
      </c>
      <c r="AJ87" s="20">
        <f t="shared" si="7"/>
        <v>0.18415714743247572</v>
      </c>
      <c r="AK87" s="9"/>
    </row>
    <row r="88" spans="1:37">
      <c r="A88" s="3">
        <v>86</v>
      </c>
      <c r="B88" s="12"/>
      <c r="C88" s="13"/>
      <c r="D88" s="13"/>
      <c r="E88" s="13"/>
      <c r="F88" s="13"/>
      <c r="G88" s="13"/>
      <c r="H88" s="28"/>
      <c r="I88" s="24" t="s">
        <v>99</v>
      </c>
      <c r="J88" s="24" t="s">
        <v>1387</v>
      </c>
      <c r="K88" s="26" t="s">
        <v>656</v>
      </c>
      <c r="L88" s="26" t="s">
        <v>413</v>
      </c>
      <c r="M88" s="66">
        <f>IFERROR(VLOOKUP($L88,[1]Consolidated!$C$9:$AC$341,27,0),0)</f>
        <v>25294500</v>
      </c>
      <c r="N88" s="66">
        <f>IFERROR(VLOOKUP($L88,[1]Consolidated!$C$9:$AC$341,5,0),0)</f>
        <v>120</v>
      </c>
      <c r="O88" s="5">
        <v>10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4">
        <f>(VLOOKUP($O$2,Prices!$E$3:$F$17,2,FALSE)*Urban!O88)+(VLOOKUP($P$2,Prices!$E$3:$F$17,2,FALSE)*Urban!P88)+(VLOOKUP($Q$2,Prices!$E$3:$F$17,2,FALSE)*Urban!Q88)+(VLOOKUP($R$2,Prices!$E$3:$F$17,2,FALSE)*Urban!R88)+(VLOOKUP($S$2,Prices!$E$3:$F$17,2,FALSE)*Urban!S88)+(VLOOKUP($T$2,Prices!$E$3:$F$17,2,FALSE)*Urban!T88)+(VLOOKUP($U$2,Prices!$E$3:$F$17,2,FALSE)*Urban!U88)+(VLOOKUP($V$2,Prices!$E$3:$F$17,2,FALSE)*Urban!V88)+(VLOOKUP($W$2,Prices!$E$3:$F$17,2,FALSE)*Urban!W88)+(VLOOKUP($X$2,Prices!$E$3:$F$17,2,FALSE)*Urban!X88)+(VLOOKUP($Y$2,Prices!$E$3:$F$17,2,FALSE)*Urban!Y88)+(VLOOKUP($Z$2,Prices!$E$3:$F$17,2,FALSE)*Urban!Z88)+(VLOOKUP($AA$2,Prices!$E$3:$F$17,2,FALSE)*Urban!AA88)+(VLOOKUP($AB$2,Prices!$E$3:$F$17,2,FALSE)*Urban!AB88)+M88</f>
        <v>27904500</v>
      </c>
      <c r="AD88" s="69">
        <v>19600000</v>
      </c>
      <c r="AE88" s="18"/>
      <c r="AF88" s="4">
        <f t="shared" si="4"/>
        <v>19600000</v>
      </c>
      <c r="AG88" s="4">
        <v>1880000</v>
      </c>
      <c r="AH88" s="16">
        <f t="shared" si="5"/>
        <v>21480000</v>
      </c>
      <c r="AI88" s="21">
        <f t="shared" si="6"/>
        <v>0.84919646563482176</v>
      </c>
      <c r="AJ88" s="20">
        <f t="shared" si="7"/>
        <v>0.76976831693812831</v>
      </c>
      <c r="AK88" s="9" t="s">
        <v>1508</v>
      </c>
    </row>
    <row r="89" spans="1:37" hidden="1">
      <c r="A89" s="3">
        <v>87</v>
      </c>
      <c r="B89" s="12"/>
      <c r="C89" s="13"/>
      <c r="D89" s="13"/>
      <c r="E89" s="13"/>
      <c r="F89" s="13"/>
      <c r="G89" s="13"/>
      <c r="H89" s="28"/>
      <c r="I89" s="39" t="s">
        <v>100</v>
      </c>
      <c r="J89" s="24" t="s">
        <v>1387</v>
      </c>
      <c r="K89" s="26" t="s">
        <v>656</v>
      </c>
      <c r="L89" s="26" t="s">
        <v>414</v>
      </c>
      <c r="M89" s="41">
        <f>IFERROR(VLOOKUP($L89,'[2]Top WH -National'!$D$9:$AC$124,26,0),0)</f>
        <v>52351500</v>
      </c>
      <c r="N89" s="41">
        <f>IFERROR(VLOOKUP($L89,'[2]Top WH -National'!$D$9:$AC$124,4,0),0)</f>
        <v>299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4">
        <f>(VLOOKUP($O$2,Prices!$E$3:$F$17,2,FALSE)*Urban!O89)+(VLOOKUP($P$2,Prices!$E$3:$F$17,2,FALSE)*Urban!P89)+(VLOOKUP($Q$2,Prices!$E$3:$F$17,2,FALSE)*Urban!Q89)+(VLOOKUP($R$2,Prices!$E$3:$F$17,2,FALSE)*Urban!R89)+(VLOOKUP($S$2,Prices!$E$3:$F$17,2,FALSE)*Urban!S89)+(VLOOKUP($T$2,Prices!$E$3:$F$17,2,FALSE)*Urban!T89)+(VLOOKUP($U$2,Prices!$E$3:$F$17,2,FALSE)*Urban!U89)+(VLOOKUP($V$2,Prices!$E$3:$F$17,2,FALSE)*Urban!V89)+(VLOOKUP($W$2,Prices!$E$3:$F$17,2,FALSE)*Urban!W89)+(VLOOKUP($X$2,Prices!$E$3:$F$17,2,FALSE)*Urban!X89)+(VLOOKUP($Y$2,Prices!$E$3:$F$17,2,FALSE)*Urban!Y89)+(VLOOKUP($Z$2,Prices!$E$3:$F$17,2,FALSE)*Urban!Z89)+(VLOOKUP($AA$2,Prices!$E$3:$F$17,2,FALSE)*Urban!AA89)+(VLOOKUP($AB$2,Prices!$E$3:$F$17,2,FALSE)*Urban!AB89)+M89</f>
        <v>52351500</v>
      </c>
      <c r="AD89" s="69">
        <v>20700000</v>
      </c>
      <c r="AE89" s="18"/>
      <c r="AF89" s="4">
        <f t="shared" si="4"/>
        <v>20700000</v>
      </c>
      <c r="AG89" s="4"/>
      <c r="AH89" s="16">
        <f t="shared" si="5"/>
        <v>20700000</v>
      </c>
      <c r="AI89" s="21">
        <f t="shared" si="6"/>
        <v>0.39540414314776079</v>
      </c>
      <c r="AJ89" s="20">
        <f t="shared" si="7"/>
        <v>0.39540414314776079</v>
      </c>
      <c r="AK89" s="9"/>
    </row>
    <row r="90" spans="1:37" hidden="1">
      <c r="A90" s="3">
        <v>88</v>
      </c>
      <c r="B90" s="12"/>
      <c r="C90" s="13"/>
      <c r="D90" s="13"/>
      <c r="E90" s="13"/>
      <c r="F90" s="13"/>
      <c r="G90" s="13"/>
      <c r="H90" s="28"/>
      <c r="I90" s="24" t="s">
        <v>101</v>
      </c>
      <c r="J90" s="24" t="s">
        <v>1387</v>
      </c>
      <c r="K90" s="26" t="s">
        <v>656</v>
      </c>
      <c r="L90" s="26" t="s">
        <v>415</v>
      </c>
      <c r="M90" s="66">
        <f>IFERROR(VLOOKUP($L90,[1]Consolidated!$C$9:$AC$341,27,0),0)</f>
        <v>15477000</v>
      </c>
      <c r="N90" s="66">
        <f>IFERROR(VLOOKUP($L90,[1]Consolidated!$C$9:$AC$341,5,0),0)</f>
        <v>70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4">
        <f>(VLOOKUP($O$2,Prices!$E$3:$F$17,2,FALSE)*Urban!O90)+(VLOOKUP($P$2,Prices!$E$3:$F$17,2,FALSE)*Urban!P90)+(VLOOKUP($Q$2,Prices!$E$3:$F$17,2,FALSE)*Urban!Q90)+(VLOOKUP($R$2,Prices!$E$3:$F$17,2,FALSE)*Urban!R90)+(VLOOKUP($S$2,Prices!$E$3:$F$17,2,FALSE)*Urban!S90)+(VLOOKUP($T$2,Prices!$E$3:$F$17,2,FALSE)*Urban!T90)+(VLOOKUP($U$2,Prices!$E$3:$F$17,2,FALSE)*Urban!U90)+(VLOOKUP($V$2,Prices!$E$3:$F$17,2,FALSE)*Urban!V90)+(VLOOKUP($W$2,Prices!$E$3:$F$17,2,FALSE)*Urban!W90)+(VLOOKUP($X$2,Prices!$E$3:$F$17,2,FALSE)*Urban!X90)+(VLOOKUP($Y$2,Prices!$E$3:$F$17,2,FALSE)*Urban!Y90)+(VLOOKUP($Z$2,Prices!$E$3:$F$17,2,FALSE)*Urban!Z90)+(VLOOKUP($AA$2,Prices!$E$3:$F$17,2,FALSE)*Urban!AA90)+(VLOOKUP($AB$2,Prices!$E$3:$F$17,2,FALSE)*Urban!AB90)+M90</f>
        <v>15477000</v>
      </c>
      <c r="AD90" s="13">
        <v>0</v>
      </c>
      <c r="AE90" s="18"/>
      <c r="AF90" s="4">
        <f t="shared" si="4"/>
        <v>0</v>
      </c>
      <c r="AG90" s="4"/>
      <c r="AH90" s="16">
        <f t="shared" si="5"/>
        <v>0</v>
      </c>
      <c r="AI90" s="21">
        <f t="shared" si="6"/>
        <v>0</v>
      </c>
      <c r="AJ90" s="20">
        <f t="shared" si="7"/>
        <v>0</v>
      </c>
      <c r="AK90" s="9"/>
    </row>
    <row r="91" spans="1:37" hidden="1">
      <c r="A91" s="3">
        <v>89</v>
      </c>
      <c r="B91" s="12"/>
      <c r="C91" s="13"/>
      <c r="D91" s="13"/>
      <c r="E91" s="13"/>
      <c r="F91" s="13"/>
      <c r="G91" s="13"/>
      <c r="H91" s="28"/>
      <c r="I91" s="24" t="s">
        <v>138</v>
      </c>
      <c r="J91" s="24" t="s">
        <v>1387</v>
      </c>
      <c r="K91" s="26" t="s">
        <v>656</v>
      </c>
      <c r="L91" s="26" t="s">
        <v>452</v>
      </c>
      <c r="M91" s="66">
        <f>IFERROR(VLOOKUP($L91,[1]Consolidated!$C$9:$AC$341,27,0),0)</f>
        <v>17050000</v>
      </c>
      <c r="N91" s="66">
        <f>IFERROR(VLOOKUP($L91,[1]Consolidated!$C$9:$AC$341,5,0),0)</f>
        <v>80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4">
        <f>(VLOOKUP($O$2,Prices!$E$3:$F$17,2,FALSE)*Urban!O91)+(VLOOKUP($P$2,Prices!$E$3:$F$17,2,FALSE)*Urban!P91)+(VLOOKUP($Q$2,Prices!$E$3:$F$17,2,FALSE)*Urban!Q91)+(VLOOKUP($R$2,Prices!$E$3:$F$17,2,FALSE)*Urban!R91)+(VLOOKUP($S$2,Prices!$E$3:$F$17,2,FALSE)*Urban!S91)+(VLOOKUP($T$2,Prices!$E$3:$F$17,2,FALSE)*Urban!T91)+(VLOOKUP($U$2,Prices!$E$3:$F$17,2,FALSE)*Urban!U91)+(VLOOKUP($V$2,Prices!$E$3:$F$17,2,FALSE)*Urban!V91)+(VLOOKUP($W$2,Prices!$E$3:$F$17,2,FALSE)*Urban!W91)+(VLOOKUP($X$2,Prices!$E$3:$F$17,2,FALSE)*Urban!X91)+(VLOOKUP($Y$2,Prices!$E$3:$F$17,2,FALSE)*Urban!Y91)+(VLOOKUP($Z$2,Prices!$E$3:$F$17,2,FALSE)*Urban!Z91)+(VLOOKUP($AA$2,Prices!$E$3:$F$17,2,FALSE)*Urban!AA91)+(VLOOKUP($AB$2,Prices!$E$3:$F$17,2,FALSE)*Urban!AB91)+M91</f>
        <v>17050000</v>
      </c>
      <c r="AD91" s="69">
        <v>3450000</v>
      </c>
      <c r="AE91" s="18"/>
      <c r="AF91" s="4">
        <f t="shared" si="4"/>
        <v>3450000</v>
      </c>
      <c r="AG91" s="4"/>
      <c r="AH91" s="16">
        <f t="shared" si="5"/>
        <v>3450000</v>
      </c>
      <c r="AI91" s="21">
        <f t="shared" si="6"/>
        <v>0.20234604105571846</v>
      </c>
      <c r="AJ91" s="20">
        <f t="shared" si="7"/>
        <v>0.20234604105571846</v>
      </c>
      <c r="AK91" s="9"/>
    </row>
    <row r="92" spans="1:37" hidden="1">
      <c r="A92" s="3">
        <v>90</v>
      </c>
      <c r="B92" s="12"/>
      <c r="C92" s="13"/>
      <c r="D92" s="13"/>
      <c r="E92" s="13"/>
      <c r="F92" s="13"/>
      <c r="G92" s="13"/>
      <c r="H92" s="28"/>
      <c r="I92" s="39" t="s">
        <v>102</v>
      </c>
      <c r="J92" s="24" t="s">
        <v>1387</v>
      </c>
      <c r="K92" s="26" t="s">
        <v>657</v>
      </c>
      <c r="L92" s="26" t="s">
        <v>416</v>
      </c>
      <c r="M92" s="41">
        <f>IFERROR(VLOOKUP($L92,'[2]Top WH -National'!$D$9:$AC$124,26,0),0)</f>
        <v>384078500</v>
      </c>
      <c r="N92" s="41">
        <f>IFERROR(VLOOKUP($L92,'[2]Top WH -National'!$D$9:$AC$124,4,0),0)</f>
        <v>1865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4">
        <f>(VLOOKUP($O$2,Prices!$E$3:$F$17,2,FALSE)*Urban!O92)+(VLOOKUP($P$2,Prices!$E$3:$F$17,2,FALSE)*Urban!P92)+(VLOOKUP($Q$2,Prices!$E$3:$F$17,2,FALSE)*Urban!Q92)+(VLOOKUP($R$2,Prices!$E$3:$F$17,2,FALSE)*Urban!R92)+(VLOOKUP($S$2,Prices!$E$3:$F$17,2,FALSE)*Urban!S92)+(VLOOKUP($T$2,Prices!$E$3:$F$17,2,FALSE)*Urban!T92)+(VLOOKUP($U$2,Prices!$E$3:$F$17,2,FALSE)*Urban!U92)+(VLOOKUP($V$2,Prices!$E$3:$F$17,2,FALSE)*Urban!V92)+(VLOOKUP($W$2,Prices!$E$3:$F$17,2,FALSE)*Urban!W92)+(VLOOKUP($X$2,Prices!$E$3:$F$17,2,FALSE)*Urban!X92)+(VLOOKUP($Y$2,Prices!$E$3:$F$17,2,FALSE)*Urban!Y92)+(VLOOKUP($Z$2,Prices!$E$3:$F$17,2,FALSE)*Urban!Z92)+(VLOOKUP($AA$2,Prices!$E$3:$F$17,2,FALSE)*Urban!AA92)+(VLOOKUP($AB$2,Prices!$E$3:$F$17,2,FALSE)*Urban!AB92)+M92</f>
        <v>384078500</v>
      </c>
      <c r="AD92" s="69">
        <v>192039250</v>
      </c>
      <c r="AE92" s="18"/>
      <c r="AF92" s="4">
        <f t="shared" si="4"/>
        <v>192039250</v>
      </c>
      <c r="AG92" s="4"/>
      <c r="AH92" s="16">
        <f t="shared" si="5"/>
        <v>192039250</v>
      </c>
      <c r="AI92" s="21">
        <f t="shared" si="6"/>
        <v>0.5</v>
      </c>
      <c r="AJ92" s="20">
        <f t="shared" si="7"/>
        <v>0.5</v>
      </c>
      <c r="AK92" s="19"/>
    </row>
    <row r="93" spans="1:37" hidden="1">
      <c r="A93" s="3">
        <v>91</v>
      </c>
      <c r="B93" s="12"/>
      <c r="C93" s="13"/>
      <c r="D93" s="13"/>
      <c r="E93" s="13"/>
      <c r="F93" s="13"/>
      <c r="G93" s="13"/>
      <c r="H93" s="28"/>
      <c r="I93" s="24" t="s">
        <v>103</v>
      </c>
      <c r="J93" s="24" t="s">
        <v>1387</v>
      </c>
      <c r="K93" s="26" t="s">
        <v>657</v>
      </c>
      <c r="L93" s="26" t="s">
        <v>417</v>
      </c>
      <c r="M93" s="66">
        <f>IFERROR(VLOOKUP($L93,[1]Consolidated!$C$9:$AC$341,27,0),0)</f>
        <v>18763500</v>
      </c>
      <c r="N93" s="66">
        <f>IFERROR(VLOOKUP($L93,[1]Consolidated!$C$9:$AC$341,5,0),0)</f>
        <v>90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4">
        <f>(VLOOKUP($O$2,Prices!$E$3:$F$17,2,FALSE)*Urban!O93)+(VLOOKUP($P$2,Prices!$E$3:$F$17,2,FALSE)*Urban!P93)+(VLOOKUP($Q$2,Prices!$E$3:$F$17,2,FALSE)*Urban!Q93)+(VLOOKUP($R$2,Prices!$E$3:$F$17,2,FALSE)*Urban!R93)+(VLOOKUP($S$2,Prices!$E$3:$F$17,2,FALSE)*Urban!S93)+(VLOOKUP($T$2,Prices!$E$3:$F$17,2,FALSE)*Urban!T93)+(VLOOKUP($U$2,Prices!$E$3:$F$17,2,FALSE)*Urban!U93)+(VLOOKUP($V$2,Prices!$E$3:$F$17,2,FALSE)*Urban!V93)+(VLOOKUP($W$2,Prices!$E$3:$F$17,2,FALSE)*Urban!W93)+(VLOOKUP($X$2,Prices!$E$3:$F$17,2,FALSE)*Urban!X93)+(VLOOKUP($Y$2,Prices!$E$3:$F$17,2,FALSE)*Urban!Y93)+(VLOOKUP($Z$2,Prices!$E$3:$F$17,2,FALSE)*Urban!Z93)+(VLOOKUP($AA$2,Prices!$E$3:$F$17,2,FALSE)*Urban!AA93)+(VLOOKUP($AB$2,Prices!$E$3:$F$17,2,FALSE)*Urban!AB93)+M93</f>
        <v>18763500</v>
      </c>
      <c r="AD93" s="69">
        <v>4321050</v>
      </c>
      <c r="AE93" s="18"/>
      <c r="AF93" s="4">
        <f t="shared" si="4"/>
        <v>4321050</v>
      </c>
      <c r="AG93" s="4"/>
      <c r="AH93" s="16">
        <f t="shared" si="5"/>
        <v>4321050</v>
      </c>
      <c r="AI93" s="21">
        <f t="shared" si="6"/>
        <v>0.23029019106243503</v>
      </c>
      <c r="AJ93" s="20">
        <f t="shared" si="7"/>
        <v>0.23029019106243503</v>
      </c>
      <c r="AK93" s="9"/>
    </row>
    <row r="94" spans="1:37" hidden="1">
      <c r="A94" s="3">
        <v>92</v>
      </c>
      <c r="B94" s="12"/>
      <c r="C94" s="13"/>
      <c r="D94" s="13"/>
      <c r="E94" s="13"/>
      <c r="F94" s="13"/>
      <c r="G94" s="13"/>
      <c r="H94" s="28"/>
      <c r="I94" s="24" t="s">
        <v>104</v>
      </c>
      <c r="J94" s="24" t="s">
        <v>1387</v>
      </c>
      <c r="K94" s="26" t="s">
        <v>657</v>
      </c>
      <c r="L94" s="26" t="s">
        <v>418</v>
      </c>
      <c r="M94" s="66">
        <f>IFERROR(VLOOKUP($L94,[1]Consolidated!$C$9:$AC$341,27,0),0)</f>
        <v>14666000</v>
      </c>
      <c r="N94" s="66">
        <f>IFERROR(VLOOKUP($L94,[1]Consolidated!$C$9:$AC$341,5,0),0)</f>
        <v>70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4">
        <f>(VLOOKUP($O$2,Prices!$E$3:$F$17,2,FALSE)*Urban!O94)+(VLOOKUP($P$2,Prices!$E$3:$F$17,2,FALSE)*Urban!P94)+(VLOOKUP($Q$2,Prices!$E$3:$F$17,2,FALSE)*Urban!Q94)+(VLOOKUP($R$2,Prices!$E$3:$F$17,2,FALSE)*Urban!R94)+(VLOOKUP($S$2,Prices!$E$3:$F$17,2,FALSE)*Urban!S94)+(VLOOKUP($T$2,Prices!$E$3:$F$17,2,FALSE)*Urban!T94)+(VLOOKUP($U$2,Prices!$E$3:$F$17,2,FALSE)*Urban!U94)+(VLOOKUP($V$2,Prices!$E$3:$F$17,2,FALSE)*Urban!V94)+(VLOOKUP($W$2,Prices!$E$3:$F$17,2,FALSE)*Urban!W94)+(VLOOKUP($X$2,Prices!$E$3:$F$17,2,FALSE)*Urban!X94)+(VLOOKUP($Y$2,Prices!$E$3:$F$17,2,FALSE)*Urban!Y94)+(VLOOKUP($Z$2,Prices!$E$3:$F$17,2,FALSE)*Urban!Z94)+(VLOOKUP($AA$2,Prices!$E$3:$F$17,2,FALSE)*Urban!AA94)+(VLOOKUP($AB$2,Prices!$E$3:$F$17,2,FALSE)*Urban!AB94)+M94</f>
        <v>14666000</v>
      </c>
      <c r="AD94" s="69">
        <v>4399800</v>
      </c>
      <c r="AE94" s="18"/>
      <c r="AF94" s="4">
        <f t="shared" si="4"/>
        <v>4399800</v>
      </c>
      <c r="AG94" s="4"/>
      <c r="AH94" s="16">
        <f t="shared" si="5"/>
        <v>4399800</v>
      </c>
      <c r="AI94" s="21">
        <f t="shared" si="6"/>
        <v>0.3</v>
      </c>
      <c r="AJ94" s="20">
        <f t="shared" si="7"/>
        <v>0.3</v>
      </c>
      <c r="AK94" s="9"/>
    </row>
    <row r="95" spans="1:37" hidden="1">
      <c r="A95" s="3">
        <v>93</v>
      </c>
      <c r="B95" s="12"/>
      <c r="C95" s="13"/>
      <c r="D95" s="13"/>
      <c r="E95" s="13"/>
      <c r="F95" s="13"/>
      <c r="G95" s="13"/>
      <c r="H95" s="28"/>
      <c r="I95" s="24" t="s">
        <v>105</v>
      </c>
      <c r="J95" s="24" t="s">
        <v>1387</v>
      </c>
      <c r="K95" s="26" t="s">
        <v>657</v>
      </c>
      <c r="L95" s="26" t="s">
        <v>419</v>
      </c>
      <c r="M95" s="66">
        <f>IFERROR(VLOOKUP($L95,[1]Consolidated!$C$9:$AC$341,27,0),0)</f>
        <v>13755000</v>
      </c>
      <c r="N95" s="66">
        <f>IFERROR(VLOOKUP($L95,[1]Consolidated!$C$9:$AC$341,5,0),0)</f>
        <v>70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4">
        <f>(VLOOKUP($O$2,Prices!$E$3:$F$17,2,FALSE)*Urban!O95)+(VLOOKUP($P$2,Prices!$E$3:$F$17,2,FALSE)*Urban!P95)+(VLOOKUP($Q$2,Prices!$E$3:$F$17,2,FALSE)*Urban!Q95)+(VLOOKUP($R$2,Prices!$E$3:$F$17,2,FALSE)*Urban!R95)+(VLOOKUP($S$2,Prices!$E$3:$F$17,2,FALSE)*Urban!S95)+(VLOOKUP($T$2,Prices!$E$3:$F$17,2,FALSE)*Urban!T95)+(VLOOKUP($U$2,Prices!$E$3:$F$17,2,FALSE)*Urban!U95)+(VLOOKUP($V$2,Prices!$E$3:$F$17,2,FALSE)*Urban!V95)+(VLOOKUP($W$2,Prices!$E$3:$F$17,2,FALSE)*Urban!W95)+(VLOOKUP($X$2,Prices!$E$3:$F$17,2,FALSE)*Urban!X95)+(VLOOKUP($Y$2,Prices!$E$3:$F$17,2,FALSE)*Urban!Y95)+(VLOOKUP($Z$2,Prices!$E$3:$F$17,2,FALSE)*Urban!Z95)+(VLOOKUP($AA$2,Prices!$E$3:$F$17,2,FALSE)*Urban!AA95)+(VLOOKUP($AB$2,Prices!$E$3:$F$17,2,FALSE)*Urban!AB95)+M95</f>
        <v>13755000</v>
      </c>
      <c r="AD95" s="69">
        <v>4126500</v>
      </c>
      <c r="AE95" s="18"/>
      <c r="AF95" s="4">
        <f t="shared" si="4"/>
        <v>4126500</v>
      </c>
      <c r="AG95" s="4"/>
      <c r="AH95" s="16">
        <f t="shared" si="5"/>
        <v>4126500</v>
      </c>
      <c r="AI95" s="21">
        <f t="shared" si="6"/>
        <v>0.3</v>
      </c>
      <c r="AJ95" s="20">
        <f t="shared" si="7"/>
        <v>0.3</v>
      </c>
      <c r="AK95" s="9"/>
    </row>
    <row r="96" spans="1:37" hidden="1">
      <c r="A96" s="3">
        <v>94</v>
      </c>
      <c r="B96" s="12"/>
      <c r="C96" s="13"/>
      <c r="D96" s="13"/>
      <c r="E96" s="13"/>
      <c r="F96" s="13"/>
      <c r="G96" s="13"/>
      <c r="H96" s="28"/>
      <c r="I96" s="24" t="s">
        <v>106</v>
      </c>
      <c r="J96" s="24" t="s">
        <v>1387</v>
      </c>
      <c r="K96" s="26" t="s">
        <v>657</v>
      </c>
      <c r="L96" s="26" t="s">
        <v>420</v>
      </c>
      <c r="M96" s="66">
        <f>IFERROR(VLOOKUP($L96,[1]Consolidated!$C$9:$AC$341,27,0),0)</f>
        <v>0</v>
      </c>
      <c r="N96" s="66">
        <f>IFERROR(VLOOKUP($L96,[1]Consolidated!$C$9:$AC$341,5,0),0)</f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4">
        <f>(VLOOKUP($O$2,Prices!$E$3:$F$17,2,FALSE)*Urban!O96)+(VLOOKUP($P$2,Prices!$E$3:$F$17,2,FALSE)*Urban!P96)+(VLOOKUP($Q$2,Prices!$E$3:$F$17,2,FALSE)*Urban!Q96)+(VLOOKUP($R$2,Prices!$E$3:$F$17,2,FALSE)*Urban!R96)+(VLOOKUP($S$2,Prices!$E$3:$F$17,2,FALSE)*Urban!S96)+(VLOOKUP($T$2,Prices!$E$3:$F$17,2,FALSE)*Urban!T96)+(VLOOKUP($U$2,Prices!$E$3:$F$17,2,FALSE)*Urban!U96)+(VLOOKUP($V$2,Prices!$E$3:$F$17,2,FALSE)*Urban!V96)+(VLOOKUP($W$2,Prices!$E$3:$F$17,2,FALSE)*Urban!W96)+(VLOOKUP($X$2,Prices!$E$3:$F$17,2,FALSE)*Urban!X96)+(VLOOKUP($Y$2,Prices!$E$3:$F$17,2,FALSE)*Urban!Y96)+(VLOOKUP($Z$2,Prices!$E$3:$F$17,2,FALSE)*Urban!Z96)+(VLOOKUP($AA$2,Prices!$E$3:$F$17,2,FALSE)*Urban!AA96)+(VLOOKUP($AB$2,Prices!$E$3:$F$17,2,FALSE)*Urban!AB96)+M96</f>
        <v>0</v>
      </c>
      <c r="AD96" s="13">
        <v>0</v>
      </c>
      <c r="AE96" s="18"/>
      <c r="AF96" s="4">
        <f t="shared" si="4"/>
        <v>0</v>
      </c>
      <c r="AG96" s="4"/>
      <c r="AH96" s="16">
        <f t="shared" si="5"/>
        <v>0</v>
      </c>
      <c r="AI96" s="21" t="e">
        <f t="shared" si="6"/>
        <v>#DIV/0!</v>
      </c>
      <c r="AJ96" s="20" t="e">
        <f t="shared" si="7"/>
        <v>#DIV/0!</v>
      </c>
      <c r="AK96" s="9"/>
    </row>
    <row r="97" spans="1:37" hidden="1">
      <c r="A97" s="3">
        <v>95</v>
      </c>
      <c r="B97" s="12"/>
      <c r="C97" s="13"/>
      <c r="D97" s="13"/>
      <c r="E97" s="13"/>
      <c r="F97" s="13"/>
      <c r="G97" s="13"/>
      <c r="H97" s="28"/>
      <c r="I97" s="39" t="s">
        <v>107</v>
      </c>
      <c r="J97" s="24" t="s">
        <v>1387</v>
      </c>
      <c r="K97" s="26" t="s">
        <v>657</v>
      </c>
      <c r="L97" s="26" t="s">
        <v>421</v>
      </c>
      <c r="M97" s="41">
        <f>IFERROR(VLOOKUP($L97,'[2]Top WH -National'!$D$9:$AC$124,26,0),0)</f>
        <v>90305000</v>
      </c>
      <c r="N97" s="41">
        <f>IFERROR(VLOOKUP($L97,'[2]Top WH -National'!$D$9:$AC$124,4,0),0)</f>
        <v>440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4">
        <f>(VLOOKUP($O$2,Prices!$E$3:$F$17,2,FALSE)*Urban!O97)+(VLOOKUP($P$2,Prices!$E$3:$F$17,2,FALSE)*Urban!P97)+(VLOOKUP($Q$2,Prices!$E$3:$F$17,2,FALSE)*Urban!Q97)+(VLOOKUP($R$2,Prices!$E$3:$F$17,2,FALSE)*Urban!R97)+(VLOOKUP($S$2,Prices!$E$3:$F$17,2,FALSE)*Urban!S97)+(VLOOKUP($T$2,Prices!$E$3:$F$17,2,FALSE)*Urban!T97)+(VLOOKUP($U$2,Prices!$E$3:$F$17,2,FALSE)*Urban!U97)+(VLOOKUP($V$2,Prices!$E$3:$F$17,2,FALSE)*Urban!V97)+(VLOOKUP($W$2,Prices!$E$3:$F$17,2,FALSE)*Urban!W97)+(VLOOKUP($X$2,Prices!$E$3:$F$17,2,FALSE)*Urban!X97)+(VLOOKUP($Y$2,Prices!$E$3:$F$17,2,FALSE)*Urban!Y97)+(VLOOKUP($Z$2,Prices!$E$3:$F$17,2,FALSE)*Urban!Z97)+(VLOOKUP($AA$2,Prices!$E$3:$F$17,2,FALSE)*Urban!AA97)+(VLOOKUP($AB$2,Prices!$E$3:$F$17,2,FALSE)*Urban!AB97)+M97</f>
        <v>90305000</v>
      </c>
      <c r="AD97" s="69">
        <v>45152500</v>
      </c>
      <c r="AE97" s="18"/>
      <c r="AF97" s="4">
        <f t="shared" si="4"/>
        <v>45152500</v>
      </c>
      <c r="AG97" s="4"/>
      <c r="AH97" s="16">
        <f t="shared" si="5"/>
        <v>45152500</v>
      </c>
      <c r="AI97" s="21">
        <f t="shared" si="6"/>
        <v>0.5</v>
      </c>
      <c r="AJ97" s="20">
        <f t="shared" si="7"/>
        <v>0.5</v>
      </c>
      <c r="AK97" s="9"/>
    </row>
    <row r="98" spans="1:37" hidden="1">
      <c r="A98" s="3">
        <v>96</v>
      </c>
      <c r="B98" s="12"/>
      <c r="C98" s="13"/>
      <c r="D98" s="13"/>
      <c r="E98" s="13"/>
      <c r="F98" s="13"/>
      <c r="G98" s="13"/>
      <c r="H98" s="28"/>
      <c r="I98" s="24" t="s">
        <v>108</v>
      </c>
      <c r="J98" s="24" t="s">
        <v>1387</v>
      </c>
      <c r="K98" s="26" t="s">
        <v>657</v>
      </c>
      <c r="L98" s="26" t="s">
        <v>422</v>
      </c>
      <c r="M98" s="66">
        <f>IFERROR(VLOOKUP($L98,[1]Consolidated!$C$9:$AC$341,27,0),0)</f>
        <v>41425000</v>
      </c>
      <c r="N98" s="66">
        <f>IFERROR(VLOOKUP($L98,[1]Consolidated!$C$9:$AC$341,5,0),0)</f>
        <v>180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4">
        <f>(VLOOKUP($O$2,Prices!$E$3:$F$17,2,FALSE)*Urban!O98)+(VLOOKUP($P$2,Prices!$E$3:$F$17,2,FALSE)*Urban!P98)+(VLOOKUP($Q$2,Prices!$E$3:$F$17,2,FALSE)*Urban!Q98)+(VLOOKUP($R$2,Prices!$E$3:$F$17,2,FALSE)*Urban!R98)+(VLOOKUP($S$2,Prices!$E$3:$F$17,2,FALSE)*Urban!S98)+(VLOOKUP($T$2,Prices!$E$3:$F$17,2,FALSE)*Urban!T98)+(VLOOKUP($U$2,Prices!$E$3:$F$17,2,FALSE)*Urban!U98)+(VLOOKUP($V$2,Prices!$E$3:$F$17,2,FALSE)*Urban!V98)+(VLOOKUP($W$2,Prices!$E$3:$F$17,2,FALSE)*Urban!W98)+(VLOOKUP($X$2,Prices!$E$3:$F$17,2,FALSE)*Urban!X98)+(VLOOKUP($Y$2,Prices!$E$3:$F$17,2,FALSE)*Urban!Y98)+(VLOOKUP($Z$2,Prices!$E$3:$F$17,2,FALSE)*Urban!Z98)+(VLOOKUP($AA$2,Prices!$E$3:$F$17,2,FALSE)*Urban!AA98)+(VLOOKUP($AB$2,Prices!$E$3:$F$17,2,FALSE)*Urban!AB98)+M98</f>
        <v>41425000</v>
      </c>
      <c r="AD98" s="69">
        <v>11737500</v>
      </c>
      <c r="AE98" s="18"/>
      <c r="AF98" s="4">
        <f t="shared" si="4"/>
        <v>11737500</v>
      </c>
      <c r="AG98" s="4"/>
      <c r="AH98" s="16">
        <f t="shared" si="5"/>
        <v>11737500</v>
      </c>
      <c r="AI98" s="21">
        <f t="shared" si="6"/>
        <v>0.28334339167169581</v>
      </c>
      <c r="AJ98" s="20">
        <f t="shared" si="7"/>
        <v>0.28334339167169581</v>
      </c>
      <c r="AK98" s="9"/>
    </row>
    <row r="99" spans="1:37" hidden="1">
      <c r="A99" s="3">
        <v>97</v>
      </c>
      <c r="B99" s="12"/>
      <c r="C99" s="13"/>
      <c r="D99" s="13"/>
      <c r="E99" s="13"/>
      <c r="F99" s="13"/>
      <c r="G99" s="13"/>
      <c r="H99" s="28"/>
      <c r="I99" s="39" t="s">
        <v>109</v>
      </c>
      <c r="J99" s="24" t="s">
        <v>1387</v>
      </c>
      <c r="K99" s="26" t="s">
        <v>657</v>
      </c>
      <c r="L99" s="26" t="s">
        <v>423</v>
      </c>
      <c r="M99" s="41">
        <f>IFERROR(VLOOKUP($L99,'[2]Top WH -National'!$D$9:$AC$124,26,0),0)</f>
        <v>67788000</v>
      </c>
      <c r="N99" s="41">
        <f>IFERROR(VLOOKUP($L99,'[2]Top WH -National'!$D$9:$AC$124,4,0),0)</f>
        <v>325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4">
        <f>(VLOOKUP($O$2,Prices!$E$3:$F$17,2,FALSE)*Urban!O99)+(VLOOKUP($P$2,Prices!$E$3:$F$17,2,FALSE)*Urban!P99)+(VLOOKUP($Q$2,Prices!$E$3:$F$17,2,FALSE)*Urban!Q99)+(VLOOKUP($R$2,Prices!$E$3:$F$17,2,FALSE)*Urban!R99)+(VLOOKUP($S$2,Prices!$E$3:$F$17,2,FALSE)*Urban!S99)+(VLOOKUP($T$2,Prices!$E$3:$F$17,2,FALSE)*Urban!T99)+(VLOOKUP($U$2,Prices!$E$3:$F$17,2,FALSE)*Urban!U99)+(VLOOKUP($V$2,Prices!$E$3:$F$17,2,FALSE)*Urban!V99)+(VLOOKUP($W$2,Prices!$E$3:$F$17,2,FALSE)*Urban!W99)+(VLOOKUP($X$2,Prices!$E$3:$F$17,2,FALSE)*Urban!X99)+(VLOOKUP($Y$2,Prices!$E$3:$F$17,2,FALSE)*Urban!Y99)+(VLOOKUP($Z$2,Prices!$E$3:$F$17,2,FALSE)*Urban!Z99)+(VLOOKUP($AA$2,Prices!$E$3:$F$17,2,FALSE)*Urban!AA99)+(VLOOKUP($AB$2,Prices!$E$3:$F$17,2,FALSE)*Urban!AB99)+M99</f>
        <v>67788000</v>
      </c>
      <c r="AD99" s="69">
        <v>33894000</v>
      </c>
      <c r="AE99" s="18"/>
      <c r="AF99" s="4">
        <f t="shared" si="4"/>
        <v>33894000</v>
      </c>
      <c r="AG99" s="4"/>
      <c r="AH99" s="16">
        <f t="shared" si="5"/>
        <v>33894000</v>
      </c>
      <c r="AI99" s="21">
        <f t="shared" si="6"/>
        <v>0.5</v>
      </c>
      <c r="AJ99" s="20">
        <f t="shared" si="7"/>
        <v>0.5</v>
      </c>
      <c r="AK99" s="9"/>
    </row>
    <row r="100" spans="1:37" hidden="1">
      <c r="A100" s="3">
        <v>98</v>
      </c>
      <c r="B100" s="12"/>
      <c r="C100" s="13"/>
      <c r="D100" s="13"/>
      <c r="E100" s="13"/>
      <c r="F100" s="13"/>
      <c r="G100" s="13"/>
      <c r="H100" s="28"/>
      <c r="I100" s="24" t="s">
        <v>110</v>
      </c>
      <c r="J100" s="24" t="s">
        <v>1387</v>
      </c>
      <c r="K100" s="26" t="s">
        <v>657</v>
      </c>
      <c r="L100" s="26" t="s">
        <v>424</v>
      </c>
      <c r="M100" s="66">
        <f>IFERROR(VLOOKUP($L100,[1]Consolidated!$C$9:$AC$341,27,0),0)</f>
        <v>17541000</v>
      </c>
      <c r="N100" s="66">
        <f>IFERROR(VLOOKUP($L100,[1]Consolidated!$C$9:$AC$341,5,0),0)</f>
        <v>80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4">
        <f>(VLOOKUP($O$2,Prices!$E$3:$F$17,2,FALSE)*Urban!O100)+(VLOOKUP($P$2,Prices!$E$3:$F$17,2,FALSE)*Urban!P100)+(VLOOKUP($Q$2,Prices!$E$3:$F$17,2,FALSE)*Urban!Q100)+(VLOOKUP($R$2,Prices!$E$3:$F$17,2,FALSE)*Urban!R100)+(VLOOKUP($S$2,Prices!$E$3:$F$17,2,FALSE)*Urban!S100)+(VLOOKUP($T$2,Prices!$E$3:$F$17,2,FALSE)*Urban!T100)+(VLOOKUP($U$2,Prices!$E$3:$F$17,2,FALSE)*Urban!U100)+(VLOOKUP($V$2,Prices!$E$3:$F$17,2,FALSE)*Urban!V100)+(VLOOKUP($W$2,Prices!$E$3:$F$17,2,FALSE)*Urban!W100)+(VLOOKUP($X$2,Prices!$E$3:$F$17,2,FALSE)*Urban!X100)+(VLOOKUP($Y$2,Prices!$E$3:$F$17,2,FALSE)*Urban!Y100)+(VLOOKUP($Z$2,Prices!$E$3:$F$17,2,FALSE)*Urban!Z100)+(VLOOKUP($AA$2,Prices!$E$3:$F$17,2,FALSE)*Urban!AA100)+(VLOOKUP($AB$2,Prices!$E$3:$F$17,2,FALSE)*Urban!AB100)+M100</f>
        <v>17541000</v>
      </c>
      <c r="AD100" s="69">
        <v>4479300</v>
      </c>
      <c r="AE100" s="18"/>
      <c r="AF100" s="4">
        <f t="shared" si="4"/>
        <v>4479300</v>
      </c>
      <c r="AG100" s="4"/>
      <c r="AH100" s="16">
        <f t="shared" si="5"/>
        <v>4479300</v>
      </c>
      <c r="AI100" s="21">
        <f t="shared" si="6"/>
        <v>0.25536172396100565</v>
      </c>
      <c r="AJ100" s="20">
        <f t="shared" si="7"/>
        <v>0.25536172396100565</v>
      </c>
      <c r="AK100" s="9"/>
    </row>
    <row r="101" spans="1:37" hidden="1">
      <c r="A101" s="3">
        <v>99</v>
      </c>
      <c r="B101" s="12"/>
      <c r="C101" s="13"/>
      <c r="D101" s="13"/>
      <c r="E101" s="13"/>
      <c r="F101" s="13"/>
      <c r="G101" s="13"/>
      <c r="H101" s="28"/>
      <c r="I101" s="39" t="s">
        <v>111</v>
      </c>
      <c r="J101" s="24" t="s">
        <v>1387</v>
      </c>
      <c r="K101" s="26" t="s">
        <v>657</v>
      </c>
      <c r="L101" s="26" t="s">
        <v>425</v>
      </c>
      <c r="M101" s="41">
        <f>IFERROR(VLOOKUP($L101,'[2]Top WH -National'!$D$9:$AC$124,26,0),0)</f>
        <v>137193500</v>
      </c>
      <c r="N101" s="41">
        <f>IFERROR(VLOOKUP($L101,'[2]Top WH -National'!$D$9:$AC$124,4,0),0)</f>
        <v>638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4">
        <f>(VLOOKUP($O$2,Prices!$E$3:$F$17,2,FALSE)*Urban!O101)+(VLOOKUP($P$2,Prices!$E$3:$F$17,2,FALSE)*Urban!P101)+(VLOOKUP($Q$2,Prices!$E$3:$F$17,2,FALSE)*Urban!Q101)+(VLOOKUP($R$2,Prices!$E$3:$F$17,2,FALSE)*Urban!R101)+(VLOOKUP($S$2,Prices!$E$3:$F$17,2,FALSE)*Urban!S101)+(VLOOKUP($T$2,Prices!$E$3:$F$17,2,FALSE)*Urban!T101)+(VLOOKUP($U$2,Prices!$E$3:$F$17,2,FALSE)*Urban!U101)+(VLOOKUP($V$2,Prices!$E$3:$F$17,2,FALSE)*Urban!V101)+(VLOOKUP($W$2,Prices!$E$3:$F$17,2,FALSE)*Urban!W101)+(VLOOKUP($X$2,Prices!$E$3:$F$17,2,FALSE)*Urban!X101)+(VLOOKUP($Y$2,Prices!$E$3:$F$17,2,FALSE)*Urban!Y101)+(VLOOKUP($Z$2,Prices!$E$3:$F$17,2,FALSE)*Urban!Z101)+(VLOOKUP($AA$2,Prices!$E$3:$F$17,2,FALSE)*Urban!AA101)+(VLOOKUP($AB$2,Prices!$E$3:$F$17,2,FALSE)*Urban!AB101)+M101</f>
        <v>137193500</v>
      </c>
      <c r="AD101" s="69">
        <v>71796218.390804604</v>
      </c>
      <c r="AE101" s="18"/>
      <c r="AF101" s="4">
        <f t="shared" si="4"/>
        <v>71796218.390804604</v>
      </c>
      <c r="AG101" s="4"/>
      <c r="AH101" s="16">
        <f t="shared" si="5"/>
        <v>71796218.390804604</v>
      </c>
      <c r="AI101" s="21">
        <f t="shared" si="6"/>
        <v>0.52332084530830258</v>
      </c>
      <c r="AJ101" s="20">
        <f t="shared" si="7"/>
        <v>0.52332084530830258</v>
      </c>
      <c r="AK101" s="19"/>
    </row>
    <row r="102" spans="1:37" hidden="1">
      <c r="A102" s="3">
        <v>100</v>
      </c>
      <c r="B102" s="12"/>
      <c r="C102" s="13"/>
      <c r="D102" s="13"/>
      <c r="E102" s="13"/>
      <c r="F102" s="13"/>
      <c r="G102" s="13"/>
      <c r="H102" s="28"/>
      <c r="I102" s="24" t="s">
        <v>112</v>
      </c>
      <c r="J102" s="24" t="s">
        <v>1387</v>
      </c>
      <c r="K102" s="26" t="s">
        <v>657</v>
      </c>
      <c r="L102" s="26" t="s">
        <v>426</v>
      </c>
      <c r="M102" s="66">
        <f>IFERROR(VLOOKUP($L102,[1]Consolidated!$C$9:$AC$341,27,0),0)</f>
        <v>0</v>
      </c>
      <c r="N102" s="66">
        <f>IFERROR(VLOOKUP($L102,[1]Consolidated!$C$9:$AC$341,5,0),0)</f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4">
        <f>(VLOOKUP($O$2,Prices!$E$3:$F$17,2,FALSE)*Urban!O102)+(VLOOKUP($P$2,Prices!$E$3:$F$17,2,FALSE)*Urban!P102)+(VLOOKUP($Q$2,Prices!$E$3:$F$17,2,FALSE)*Urban!Q102)+(VLOOKUP($R$2,Prices!$E$3:$F$17,2,FALSE)*Urban!R102)+(VLOOKUP($S$2,Prices!$E$3:$F$17,2,FALSE)*Urban!S102)+(VLOOKUP($T$2,Prices!$E$3:$F$17,2,FALSE)*Urban!T102)+(VLOOKUP($U$2,Prices!$E$3:$F$17,2,FALSE)*Urban!U102)+(VLOOKUP($V$2,Prices!$E$3:$F$17,2,FALSE)*Urban!V102)+(VLOOKUP($W$2,Prices!$E$3:$F$17,2,FALSE)*Urban!W102)+(VLOOKUP($X$2,Prices!$E$3:$F$17,2,FALSE)*Urban!X102)+(VLOOKUP($Y$2,Prices!$E$3:$F$17,2,FALSE)*Urban!Y102)+(VLOOKUP($Z$2,Prices!$E$3:$F$17,2,FALSE)*Urban!Z102)+(VLOOKUP($AA$2,Prices!$E$3:$F$17,2,FALSE)*Urban!AA102)+(VLOOKUP($AB$2,Prices!$E$3:$F$17,2,FALSE)*Urban!AB102)+M102</f>
        <v>0</v>
      </c>
      <c r="AD102" s="13">
        <v>0</v>
      </c>
      <c r="AE102" s="18"/>
      <c r="AF102" s="4">
        <f t="shared" si="4"/>
        <v>0</v>
      </c>
      <c r="AG102" s="4"/>
      <c r="AH102" s="16">
        <f t="shared" si="5"/>
        <v>0</v>
      </c>
      <c r="AI102" s="21" t="e">
        <f t="shared" si="6"/>
        <v>#DIV/0!</v>
      </c>
      <c r="AJ102" s="20" t="e">
        <f t="shared" si="7"/>
        <v>#DIV/0!</v>
      </c>
      <c r="AK102" s="9"/>
    </row>
    <row r="103" spans="1:37" hidden="1">
      <c r="A103" s="3">
        <v>101</v>
      </c>
      <c r="B103" s="12"/>
      <c r="C103" s="13"/>
      <c r="D103" s="13"/>
      <c r="E103" s="13"/>
      <c r="F103" s="13"/>
      <c r="G103" s="13"/>
      <c r="H103" s="28"/>
      <c r="I103" s="24" t="s">
        <v>113</v>
      </c>
      <c r="J103" s="24" t="s">
        <v>1387</v>
      </c>
      <c r="K103" s="26" t="s">
        <v>657</v>
      </c>
      <c r="L103" s="26" t="s">
        <v>427</v>
      </c>
      <c r="M103" s="66">
        <f>IFERROR(VLOOKUP($L103,[1]Consolidated!$C$9:$AC$341,27,0),0)</f>
        <v>15420000</v>
      </c>
      <c r="N103" s="66">
        <f>IFERROR(VLOOKUP($L103,[1]Consolidated!$C$9:$AC$341,5,0),0)</f>
        <v>70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4">
        <f>(VLOOKUP($O$2,Prices!$E$3:$F$17,2,FALSE)*Urban!O103)+(VLOOKUP($P$2,Prices!$E$3:$F$17,2,FALSE)*Urban!P103)+(VLOOKUP($Q$2,Prices!$E$3:$F$17,2,FALSE)*Urban!Q103)+(VLOOKUP($R$2,Prices!$E$3:$F$17,2,FALSE)*Urban!R103)+(VLOOKUP($S$2,Prices!$E$3:$F$17,2,FALSE)*Urban!S103)+(VLOOKUP($T$2,Prices!$E$3:$F$17,2,FALSE)*Urban!T103)+(VLOOKUP($U$2,Prices!$E$3:$F$17,2,FALSE)*Urban!U103)+(VLOOKUP($V$2,Prices!$E$3:$F$17,2,FALSE)*Urban!V103)+(VLOOKUP($W$2,Prices!$E$3:$F$17,2,FALSE)*Urban!W103)+(VLOOKUP($X$2,Prices!$E$3:$F$17,2,FALSE)*Urban!X103)+(VLOOKUP($Y$2,Prices!$E$3:$F$17,2,FALSE)*Urban!Y103)+(VLOOKUP($Z$2,Prices!$E$3:$F$17,2,FALSE)*Urban!Z103)+(VLOOKUP($AA$2,Prices!$E$3:$F$17,2,FALSE)*Urban!AA103)+(VLOOKUP($AB$2,Prices!$E$3:$F$17,2,FALSE)*Urban!AB103)+M103</f>
        <v>15420000</v>
      </c>
      <c r="AD103" s="69">
        <v>4626000</v>
      </c>
      <c r="AE103" s="18"/>
      <c r="AF103" s="4">
        <f t="shared" si="4"/>
        <v>4626000</v>
      </c>
      <c r="AG103" s="4"/>
      <c r="AH103" s="16">
        <f t="shared" si="5"/>
        <v>4626000</v>
      </c>
      <c r="AI103" s="21">
        <f t="shared" si="6"/>
        <v>0.3</v>
      </c>
      <c r="AJ103" s="20">
        <f t="shared" si="7"/>
        <v>0.3</v>
      </c>
      <c r="AK103" s="9"/>
    </row>
    <row r="104" spans="1:37" hidden="1">
      <c r="A104" s="3">
        <v>102</v>
      </c>
      <c r="B104" s="12"/>
      <c r="C104" s="13"/>
      <c r="D104" s="13"/>
      <c r="E104" s="13"/>
      <c r="F104" s="13"/>
      <c r="G104" s="13"/>
      <c r="H104" s="28"/>
      <c r="I104" s="24" t="s">
        <v>114</v>
      </c>
      <c r="J104" s="24" t="s">
        <v>1387</v>
      </c>
      <c r="K104" s="26" t="s">
        <v>657</v>
      </c>
      <c r="L104" s="26" t="s">
        <v>428</v>
      </c>
      <c r="M104" s="66">
        <f>IFERROR(VLOOKUP($L104,[1]Consolidated!$C$9:$AC$341,27,0),0)</f>
        <v>27775000</v>
      </c>
      <c r="N104" s="66">
        <f>IFERROR(VLOOKUP($L104,[1]Consolidated!$C$9:$AC$341,5,0),0)</f>
        <v>130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4">
        <f>(VLOOKUP($O$2,Prices!$E$3:$F$17,2,FALSE)*Urban!O104)+(VLOOKUP($P$2,Prices!$E$3:$F$17,2,FALSE)*Urban!P104)+(VLOOKUP($Q$2,Prices!$E$3:$F$17,2,FALSE)*Urban!Q104)+(VLOOKUP($R$2,Prices!$E$3:$F$17,2,FALSE)*Urban!R104)+(VLOOKUP($S$2,Prices!$E$3:$F$17,2,FALSE)*Urban!S104)+(VLOOKUP($T$2,Prices!$E$3:$F$17,2,FALSE)*Urban!T104)+(VLOOKUP($U$2,Prices!$E$3:$F$17,2,FALSE)*Urban!U104)+(VLOOKUP($V$2,Prices!$E$3:$F$17,2,FALSE)*Urban!V104)+(VLOOKUP($W$2,Prices!$E$3:$F$17,2,FALSE)*Urban!W104)+(VLOOKUP($X$2,Prices!$E$3:$F$17,2,FALSE)*Urban!X104)+(VLOOKUP($Y$2,Prices!$E$3:$F$17,2,FALSE)*Urban!Y104)+(VLOOKUP($Z$2,Prices!$E$3:$F$17,2,FALSE)*Urban!Z104)+(VLOOKUP($AA$2,Prices!$E$3:$F$17,2,FALSE)*Urban!AA104)+(VLOOKUP($AB$2,Prices!$E$3:$F$17,2,FALSE)*Urban!AB104)+M104</f>
        <v>27775000</v>
      </c>
      <c r="AD104" s="69">
        <v>7941000</v>
      </c>
      <c r="AE104" s="18"/>
      <c r="AF104" s="4">
        <f t="shared" si="4"/>
        <v>7941000</v>
      </c>
      <c r="AG104" s="4"/>
      <c r="AH104" s="16">
        <f t="shared" si="5"/>
        <v>7941000</v>
      </c>
      <c r="AI104" s="21">
        <f t="shared" si="6"/>
        <v>0.28590459045904593</v>
      </c>
      <c r="AJ104" s="20">
        <f t="shared" si="7"/>
        <v>0.28590459045904593</v>
      </c>
      <c r="AK104" s="9"/>
    </row>
    <row r="105" spans="1:37">
      <c r="A105" s="3">
        <v>103</v>
      </c>
      <c r="B105" s="12"/>
      <c r="C105" s="13"/>
      <c r="D105" s="13"/>
      <c r="E105" s="13"/>
      <c r="F105" s="13"/>
      <c r="G105" s="13"/>
      <c r="H105" s="28"/>
      <c r="I105" s="24" t="s">
        <v>115</v>
      </c>
      <c r="J105" s="24" t="s">
        <v>1387</v>
      </c>
      <c r="K105" s="26" t="s">
        <v>657</v>
      </c>
      <c r="L105" s="26" t="s">
        <v>429</v>
      </c>
      <c r="M105" s="66">
        <f>IFERROR(VLOOKUP($L105,[1]Consolidated!$C$9:$AC$341,27,0),0)</f>
        <v>27277000</v>
      </c>
      <c r="N105" s="66">
        <f>IFERROR(VLOOKUP($L105,[1]Consolidated!$C$9:$AC$341,5,0),0)</f>
        <v>130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4">
        <f>(VLOOKUP($O$2,Prices!$E$3:$F$17,2,FALSE)*Urban!O105)+(VLOOKUP($P$2,Prices!$E$3:$F$17,2,FALSE)*Urban!P105)+(VLOOKUP($Q$2,Prices!$E$3:$F$17,2,FALSE)*Urban!Q105)+(VLOOKUP($R$2,Prices!$E$3:$F$17,2,FALSE)*Urban!R105)+(VLOOKUP($S$2,Prices!$E$3:$F$17,2,FALSE)*Urban!S105)+(VLOOKUP($T$2,Prices!$E$3:$F$17,2,FALSE)*Urban!T105)+(VLOOKUP($U$2,Prices!$E$3:$F$17,2,FALSE)*Urban!U105)+(VLOOKUP($V$2,Prices!$E$3:$F$17,2,FALSE)*Urban!V105)+(VLOOKUP($W$2,Prices!$E$3:$F$17,2,FALSE)*Urban!W105)+(VLOOKUP($X$2,Prices!$E$3:$F$17,2,FALSE)*Urban!X105)+(VLOOKUP($Y$2,Prices!$E$3:$F$17,2,FALSE)*Urban!Y105)+(VLOOKUP($Z$2,Prices!$E$3:$F$17,2,FALSE)*Urban!Z105)+(VLOOKUP($AA$2,Prices!$E$3:$F$17,2,FALSE)*Urban!AA105)+(VLOOKUP($AB$2,Prices!$E$3:$F$17,2,FALSE)*Urban!AB105)+M105</f>
        <v>27277000</v>
      </c>
      <c r="AD105" s="69">
        <v>11791600</v>
      </c>
      <c r="AE105" s="18"/>
      <c r="AF105" s="4">
        <f t="shared" si="4"/>
        <v>11791600</v>
      </c>
      <c r="AG105" s="4">
        <v>7000000</v>
      </c>
      <c r="AH105" s="16">
        <f t="shared" si="5"/>
        <v>18791600</v>
      </c>
      <c r="AI105" s="21">
        <f t="shared" si="6"/>
        <v>0.68891740294020598</v>
      </c>
      <c r="AJ105" s="20">
        <f t="shared" si="7"/>
        <v>0.68891740294020598</v>
      </c>
      <c r="AK105" s="9"/>
    </row>
    <row r="106" spans="1:37" hidden="1">
      <c r="A106" s="3">
        <v>104</v>
      </c>
      <c r="B106" s="12"/>
      <c r="C106" s="13"/>
      <c r="D106" s="13"/>
      <c r="E106" s="13"/>
      <c r="F106" s="13"/>
      <c r="G106" s="13"/>
      <c r="H106" s="28"/>
      <c r="I106" s="39" t="s">
        <v>116</v>
      </c>
      <c r="J106" s="24" t="s">
        <v>1387</v>
      </c>
      <c r="K106" s="26" t="s">
        <v>657</v>
      </c>
      <c r="L106" s="26" t="s">
        <v>430</v>
      </c>
      <c r="M106" s="66">
        <f>IFERROR(VLOOKUP($L106,[1]Consolidated!$C$9:$AC$341,27,0),0)</f>
        <v>64577500</v>
      </c>
      <c r="N106" s="66">
        <f>IFERROR(VLOOKUP($L106,[1]Consolidated!$C$9:$AC$341,5,0),0)</f>
        <v>300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4">
        <f>(VLOOKUP($O$2,Prices!$E$3:$F$17,2,FALSE)*Urban!O106)+(VLOOKUP($P$2,Prices!$E$3:$F$17,2,FALSE)*Urban!P106)+(VLOOKUP($Q$2,Prices!$E$3:$F$17,2,FALSE)*Urban!Q106)+(VLOOKUP($R$2,Prices!$E$3:$F$17,2,FALSE)*Urban!R106)+(VLOOKUP($S$2,Prices!$E$3:$F$17,2,FALSE)*Urban!S106)+(VLOOKUP($T$2,Prices!$E$3:$F$17,2,FALSE)*Urban!T106)+(VLOOKUP($U$2,Prices!$E$3:$F$17,2,FALSE)*Urban!U106)+(VLOOKUP($V$2,Prices!$E$3:$F$17,2,FALSE)*Urban!V106)+(VLOOKUP($W$2,Prices!$E$3:$F$17,2,FALSE)*Urban!W106)+(VLOOKUP($X$2,Prices!$E$3:$F$17,2,FALSE)*Urban!X106)+(VLOOKUP($Y$2,Prices!$E$3:$F$17,2,FALSE)*Urban!Y106)+(VLOOKUP($Z$2,Prices!$E$3:$F$17,2,FALSE)*Urban!Z106)+(VLOOKUP($AA$2,Prices!$E$3:$F$17,2,FALSE)*Urban!AA106)+(VLOOKUP($AB$2,Prices!$E$3:$F$17,2,FALSE)*Urban!AB106)+M106</f>
        <v>64577500</v>
      </c>
      <c r="AD106" s="69">
        <v>18683250</v>
      </c>
      <c r="AE106" s="18"/>
      <c r="AF106" s="4">
        <f t="shared" si="4"/>
        <v>18683250</v>
      </c>
      <c r="AG106" s="4"/>
      <c r="AH106" s="16">
        <f t="shared" si="5"/>
        <v>18683250</v>
      </c>
      <c r="AI106" s="21">
        <f t="shared" si="6"/>
        <v>0.28931516395029228</v>
      </c>
      <c r="AJ106" s="20">
        <f t="shared" si="7"/>
        <v>0.28931516395029228</v>
      </c>
      <c r="AK106" s="9"/>
    </row>
    <row r="107" spans="1:37" hidden="1">
      <c r="A107" s="3">
        <v>105</v>
      </c>
      <c r="B107" s="12"/>
      <c r="C107" s="13"/>
      <c r="D107" s="13"/>
      <c r="E107" s="13"/>
      <c r="F107" s="13"/>
      <c r="G107" s="13"/>
      <c r="H107" s="28"/>
      <c r="I107" s="39" t="s">
        <v>117</v>
      </c>
      <c r="J107" s="24" t="s">
        <v>1387</v>
      </c>
      <c r="K107" s="26" t="s">
        <v>657</v>
      </c>
      <c r="L107" s="26" t="s">
        <v>431</v>
      </c>
      <c r="M107" s="41">
        <f>IFERROR(VLOOKUP($L107,'[2]Top WH -National'!$D$9:$AC$124,26,0),0)</f>
        <v>65462000</v>
      </c>
      <c r="N107" s="41">
        <f>IFERROR(VLOOKUP($L107,'[2]Top WH -National'!$D$9:$AC$124,4,0),0)</f>
        <v>300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4">
        <f>(VLOOKUP($O$2,Prices!$E$3:$F$17,2,FALSE)*Urban!O107)+(VLOOKUP($P$2,Prices!$E$3:$F$17,2,FALSE)*Urban!P107)+(VLOOKUP($Q$2,Prices!$E$3:$F$17,2,FALSE)*Urban!Q107)+(VLOOKUP($R$2,Prices!$E$3:$F$17,2,FALSE)*Urban!R107)+(VLOOKUP($S$2,Prices!$E$3:$F$17,2,FALSE)*Urban!S107)+(VLOOKUP($T$2,Prices!$E$3:$F$17,2,FALSE)*Urban!T107)+(VLOOKUP($U$2,Prices!$E$3:$F$17,2,FALSE)*Urban!U107)+(VLOOKUP($V$2,Prices!$E$3:$F$17,2,FALSE)*Urban!V107)+(VLOOKUP($W$2,Prices!$E$3:$F$17,2,FALSE)*Urban!W107)+(VLOOKUP($X$2,Prices!$E$3:$F$17,2,FALSE)*Urban!X107)+(VLOOKUP($Y$2,Prices!$E$3:$F$17,2,FALSE)*Urban!Y107)+(VLOOKUP($Z$2,Prices!$E$3:$F$17,2,FALSE)*Urban!Z107)+(VLOOKUP($AA$2,Prices!$E$3:$F$17,2,FALSE)*Urban!AA107)+(VLOOKUP($AB$2,Prices!$E$3:$F$17,2,FALSE)*Urban!AB107)+M107</f>
        <v>65462000</v>
      </c>
      <c r="AD107" s="69">
        <v>32731000.000000004</v>
      </c>
      <c r="AE107" s="18"/>
      <c r="AF107" s="4">
        <f t="shared" si="4"/>
        <v>32731000.000000004</v>
      </c>
      <c r="AG107" s="4"/>
      <c r="AH107" s="16">
        <f t="shared" si="5"/>
        <v>32731000.000000004</v>
      </c>
      <c r="AI107" s="21">
        <f t="shared" si="6"/>
        <v>0.50000000000000011</v>
      </c>
      <c r="AJ107" s="20">
        <f t="shared" si="7"/>
        <v>0.50000000000000011</v>
      </c>
      <c r="AK107" s="9"/>
    </row>
    <row r="108" spans="1:37" hidden="1">
      <c r="A108" s="3">
        <v>106</v>
      </c>
      <c r="B108" s="12"/>
      <c r="C108" s="13"/>
      <c r="D108" s="13"/>
      <c r="E108" s="13"/>
      <c r="F108" s="13"/>
      <c r="G108" s="13"/>
      <c r="H108" s="28"/>
      <c r="I108" s="25" t="s">
        <v>1380</v>
      </c>
      <c r="J108" s="24" t="s">
        <v>1387</v>
      </c>
      <c r="K108" s="26" t="s">
        <v>657</v>
      </c>
      <c r="L108" s="26" t="s">
        <v>1379</v>
      </c>
      <c r="M108" s="66">
        <f>IFERROR(VLOOKUP($L108,[1]Consolidated!$C$9:$AC$341,27,0),0)</f>
        <v>0</v>
      </c>
      <c r="N108" s="66">
        <f>IFERROR(VLOOKUP($L108,[1]Consolidated!$C$9:$AC$341,5,0),0)</f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4">
        <f>(VLOOKUP($O$2,Prices!$E$3:$F$17,2,FALSE)*Urban!O108)+(VLOOKUP($P$2,Prices!$E$3:$F$17,2,FALSE)*Urban!P108)+(VLOOKUP($Q$2,Prices!$E$3:$F$17,2,FALSE)*Urban!Q108)+(VLOOKUP($R$2,Prices!$E$3:$F$17,2,FALSE)*Urban!R108)+(VLOOKUP($S$2,Prices!$E$3:$F$17,2,FALSE)*Urban!S108)+(VLOOKUP($T$2,Prices!$E$3:$F$17,2,FALSE)*Urban!T108)+(VLOOKUP($U$2,Prices!$E$3:$F$17,2,FALSE)*Urban!U108)+(VLOOKUP($V$2,Prices!$E$3:$F$17,2,FALSE)*Urban!V108)+(VLOOKUP($W$2,Prices!$E$3:$F$17,2,FALSE)*Urban!W108)+(VLOOKUP($X$2,Prices!$E$3:$F$17,2,FALSE)*Urban!X108)+(VLOOKUP($Y$2,Prices!$E$3:$F$17,2,FALSE)*Urban!Y108)+(VLOOKUP($Z$2,Prices!$E$3:$F$17,2,FALSE)*Urban!Z108)+(VLOOKUP($AA$2,Prices!$E$3:$F$17,2,FALSE)*Urban!AA108)+(VLOOKUP($AB$2,Prices!$E$3:$F$17,2,FALSE)*Urban!AB108)+M108</f>
        <v>0</v>
      </c>
      <c r="AD108" s="13">
        <v>0</v>
      </c>
      <c r="AE108" s="18"/>
      <c r="AF108" s="4">
        <f t="shared" si="4"/>
        <v>0</v>
      </c>
      <c r="AG108" s="4"/>
      <c r="AH108" s="16">
        <f t="shared" si="5"/>
        <v>0</v>
      </c>
      <c r="AI108" s="21" t="e">
        <f t="shared" si="6"/>
        <v>#DIV/0!</v>
      </c>
      <c r="AJ108" s="20" t="e">
        <f t="shared" si="7"/>
        <v>#DIV/0!</v>
      </c>
      <c r="AK108" s="9"/>
    </row>
    <row r="109" spans="1:37" hidden="1">
      <c r="A109" s="3">
        <v>107</v>
      </c>
      <c r="B109" s="12"/>
      <c r="C109" s="13"/>
      <c r="D109" s="13"/>
      <c r="E109" s="13"/>
      <c r="F109" s="13"/>
      <c r="G109" s="13"/>
      <c r="H109" s="28"/>
      <c r="I109" s="24" t="s">
        <v>1382</v>
      </c>
      <c r="J109" s="24" t="s">
        <v>1387</v>
      </c>
      <c r="K109" s="26" t="s">
        <v>657</v>
      </c>
      <c r="L109" s="26" t="s">
        <v>1381</v>
      </c>
      <c r="M109" s="66">
        <f>IFERROR(VLOOKUP($L109,[1]Consolidated!$C$9:$AC$341,27,0),0)</f>
        <v>0</v>
      </c>
      <c r="N109" s="66">
        <f>IFERROR(VLOOKUP($L109,[1]Consolidated!$C$9:$AC$341,5,0),0)</f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4">
        <f>(VLOOKUP($O$2,Prices!$E$3:$F$17,2,FALSE)*Urban!O109)+(VLOOKUP($P$2,Prices!$E$3:$F$17,2,FALSE)*Urban!P109)+(VLOOKUP($Q$2,Prices!$E$3:$F$17,2,FALSE)*Urban!Q109)+(VLOOKUP($R$2,Prices!$E$3:$F$17,2,FALSE)*Urban!R109)+(VLOOKUP($S$2,Prices!$E$3:$F$17,2,FALSE)*Urban!S109)+(VLOOKUP($T$2,Prices!$E$3:$F$17,2,FALSE)*Urban!T109)+(VLOOKUP($U$2,Prices!$E$3:$F$17,2,FALSE)*Urban!U109)+(VLOOKUP($V$2,Prices!$E$3:$F$17,2,FALSE)*Urban!V109)+(VLOOKUP($W$2,Prices!$E$3:$F$17,2,FALSE)*Urban!W109)+(VLOOKUP($X$2,Prices!$E$3:$F$17,2,FALSE)*Urban!X109)+(VLOOKUP($Y$2,Prices!$E$3:$F$17,2,FALSE)*Urban!Y109)+(VLOOKUP($Z$2,Prices!$E$3:$F$17,2,FALSE)*Urban!Z109)+(VLOOKUP($AA$2,Prices!$E$3:$F$17,2,FALSE)*Urban!AA109)+(VLOOKUP($AB$2,Prices!$E$3:$F$17,2,FALSE)*Urban!AB109)+M109</f>
        <v>0</v>
      </c>
      <c r="AD109" s="13">
        <v>0</v>
      </c>
      <c r="AE109" s="18"/>
      <c r="AF109" s="4">
        <f t="shared" si="4"/>
        <v>0</v>
      </c>
      <c r="AG109" s="4"/>
      <c r="AH109" s="16">
        <f t="shared" si="5"/>
        <v>0</v>
      </c>
      <c r="AI109" s="21" t="e">
        <f t="shared" si="6"/>
        <v>#DIV/0!</v>
      </c>
      <c r="AJ109" s="20" t="e">
        <f t="shared" si="7"/>
        <v>#DIV/0!</v>
      </c>
      <c r="AK109" s="9"/>
    </row>
    <row r="110" spans="1:37" hidden="1">
      <c r="A110" s="3">
        <v>108</v>
      </c>
      <c r="B110" s="12"/>
      <c r="C110" s="13"/>
      <c r="D110" s="13"/>
      <c r="E110" s="13"/>
      <c r="F110" s="13"/>
      <c r="G110" s="13"/>
      <c r="H110" s="28"/>
      <c r="I110" s="24" t="s">
        <v>1384</v>
      </c>
      <c r="J110" s="24" t="s">
        <v>1387</v>
      </c>
      <c r="K110" s="26" t="s">
        <v>657</v>
      </c>
      <c r="L110" s="26" t="s">
        <v>1383</v>
      </c>
      <c r="M110" s="66">
        <f>IFERROR(VLOOKUP($L110,[1]Consolidated!$C$9:$AC$341,27,0),0)</f>
        <v>0</v>
      </c>
      <c r="N110" s="66">
        <f>IFERROR(VLOOKUP($L110,[1]Consolidated!$C$9:$AC$341,5,0),0)</f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4">
        <f>(VLOOKUP($O$2,Prices!$E$3:$F$17,2,FALSE)*Urban!O110)+(VLOOKUP($P$2,Prices!$E$3:$F$17,2,FALSE)*Urban!P110)+(VLOOKUP($Q$2,Prices!$E$3:$F$17,2,FALSE)*Urban!Q110)+(VLOOKUP($R$2,Prices!$E$3:$F$17,2,FALSE)*Urban!R110)+(VLOOKUP($S$2,Prices!$E$3:$F$17,2,FALSE)*Urban!S110)+(VLOOKUP($T$2,Prices!$E$3:$F$17,2,FALSE)*Urban!T110)+(VLOOKUP($U$2,Prices!$E$3:$F$17,2,FALSE)*Urban!U110)+(VLOOKUP($V$2,Prices!$E$3:$F$17,2,FALSE)*Urban!V110)+(VLOOKUP($W$2,Prices!$E$3:$F$17,2,FALSE)*Urban!W110)+(VLOOKUP($X$2,Prices!$E$3:$F$17,2,FALSE)*Urban!X110)+(VLOOKUP($Y$2,Prices!$E$3:$F$17,2,FALSE)*Urban!Y110)+(VLOOKUP($Z$2,Prices!$E$3:$F$17,2,FALSE)*Urban!Z110)+(VLOOKUP($AA$2,Prices!$E$3:$F$17,2,FALSE)*Urban!AA110)+(VLOOKUP($AB$2,Prices!$E$3:$F$17,2,FALSE)*Urban!AB110)+M110</f>
        <v>0</v>
      </c>
      <c r="AD110" s="13">
        <v>0</v>
      </c>
      <c r="AE110" s="18"/>
      <c r="AF110" s="4">
        <f t="shared" si="4"/>
        <v>0</v>
      </c>
      <c r="AG110" s="4"/>
      <c r="AH110" s="16">
        <f t="shared" si="5"/>
        <v>0</v>
      </c>
      <c r="AI110" s="21" t="e">
        <f t="shared" si="6"/>
        <v>#DIV/0!</v>
      </c>
      <c r="AJ110" s="20" t="e">
        <f t="shared" si="7"/>
        <v>#DIV/0!</v>
      </c>
      <c r="AK110" s="9"/>
    </row>
    <row r="111" spans="1:37" hidden="1">
      <c r="A111" s="3">
        <v>109</v>
      </c>
      <c r="B111" s="12"/>
      <c r="C111" s="13"/>
      <c r="D111" s="13"/>
      <c r="E111" s="13"/>
      <c r="F111" s="13"/>
      <c r="G111" s="13"/>
      <c r="H111" s="28"/>
      <c r="I111" s="24" t="s">
        <v>118</v>
      </c>
      <c r="J111" s="24" t="s">
        <v>1387</v>
      </c>
      <c r="K111" s="26" t="s">
        <v>658</v>
      </c>
      <c r="L111" s="26" t="s">
        <v>432</v>
      </c>
      <c r="M111" s="66">
        <f>IFERROR(VLOOKUP($L111,[1]Consolidated!$C$9:$AC$341,27,0),0)</f>
        <v>29318000</v>
      </c>
      <c r="N111" s="66">
        <f>IFERROR(VLOOKUP($L111,[1]Consolidated!$C$9:$AC$341,5,0),0)</f>
        <v>130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4">
        <f>(VLOOKUP($O$2,Prices!$E$3:$F$17,2,FALSE)*Urban!O111)+(VLOOKUP($P$2,Prices!$E$3:$F$17,2,FALSE)*Urban!P111)+(VLOOKUP($Q$2,Prices!$E$3:$F$17,2,FALSE)*Urban!Q111)+(VLOOKUP($R$2,Prices!$E$3:$F$17,2,FALSE)*Urban!R111)+(VLOOKUP($S$2,Prices!$E$3:$F$17,2,FALSE)*Urban!S111)+(VLOOKUP($T$2,Prices!$E$3:$F$17,2,FALSE)*Urban!T111)+(VLOOKUP($U$2,Prices!$E$3:$F$17,2,FALSE)*Urban!U111)+(VLOOKUP($V$2,Prices!$E$3:$F$17,2,FALSE)*Urban!V111)+(VLOOKUP($W$2,Prices!$E$3:$F$17,2,FALSE)*Urban!W111)+(VLOOKUP($X$2,Prices!$E$3:$F$17,2,FALSE)*Urban!X111)+(VLOOKUP($Y$2,Prices!$E$3:$F$17,2,FALSE)*Urban!Y111)+(VLOOKUP($Z$2,Prices!$E$3:$F$17,2,FALSE)*Urban!Z111)+(VLOOKUP($AA$2,Prices!$E$3:$F$17,2,FALSE)*Urban!AA111)+(VLOOKUP($AB$2,Prices!$E$3:$F$17,2,FALSE)*Urban!AB111)+M111</f>
        <v>29318000</v>
      </c>
      <c r="AD111" s="13">
        <v>0</v>
      </c>
      <c r="AE111" s="18"/>
      <c r="AF111" s="4">
        <f t="shared" si="4"/>
        <v>0</v>
      </c>
      <c r="AG111" s="4"/>
      <c r="AH111" s="16">
        <f t="shared" si="5"/>
        <v>0</v>
      </c>
      <c r="AI111" s="21">
        <f t="shared" si="6"/>
        <v>0</v>
      </c>
      <c r="AJ111" s="20">
        <f t="shared" si="7"/>
        <v>0</v>
      </c>
      <c r="AK111" s="9"/>
    </row>
    <row r="112" spans="1:37" hidden="1">
      <c r="A112" s="3">
        <v>110</v>
      </c>
      <c r="B112" s="12"/>
      <c r="C112" s="13"/>
      <c r="D112" s="13"/>
      <c r="E112" s="13"/>
      <c r="F112" s="13"/>
      <c r="G112" s="13"/>
      <c r="H112" s="28"/>
      <c r="I112" s="24" t="s">
        <v>119</v>
      </c>
      <c r="J112" s="24" t="s">
        <v>1387</v>
      </c>
      <c r="K112" s="26" t="s">
        <v>658</v>
      </c>
      <c r="L112" s="26" t="s">
        <v>433</v>
      </c>
      <c r="M112" s="66">
        <f>IFERROR(VLOOKUP($L112,[1]Consolidated!$C$9:$AC$341,27,0),0)</f>
        <v>29759000</v>
      </c>
      <c r="N112" s="66">
        <f>IFERROR(VLOOKUP($L112,[1]Consolidated!$C$9:$AC$341,5,0),0)</f>
        <v>130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4">
        <f>(VLOOKUP($O$2,Prices!$E$3:$F$17,2,FALSE)*Urban!O112)+(VLOOKUP($P$2,Prices!$E$3:$F$17,2,FALSE)*Urban!P112)+(VLOOKUP($Q$2,Prices!$E$3:$F$17,2,FALSE)*Urban!Q112)+(VLOOKUP($R$2,Prices!$E$3:$F$17,2,FALSE)*Urban!R112)+(VLOOKUP($S$2,Prices!$E$3:$F$17,2,FALSE)*Urban!S112)+(VLOOKUP($T$2,Prices!$E$3:$F$17,2,FALSE)*Urban!T112)+(VLOOKUP($U$2,Prices!$E$3:$F$17,2,FALSE)*Urban!U112)+(VLOOKUP($V$2,Prices!$E$3:$F$17,2,FALSE)*Urban!V112)+(VLOOKUP($W$2,Prices!$E$3:$F$17,2,FALSE)*Urban!W112)+(VLOOKUP($X$2,Prices!$E$3:$F$17,2,FALSE)*Urban!X112)+(VLOOKUP($Y$2,Prices!$E$3:$F$17,2,FALSE)*Urban!Y112)+(VLOOKUP($Z$2,Prices!$E$3:$F$17,2,FALSE)*Urban!Z112)+(VLOOKUP($AA$2,Prices!$E$3:$F$17,2,FALSE)*Urban!AA112)+(VLOOKUP($AB$2,Prices!$E$3:$F$17,2,FALSE)*Urban!AB112)+M112</f>
        <v>29759000</v>
      </c>
      <c r="AD112" s="69">
        <v>10198650</v>
      </c>
      <c r="AE112" s="18"/>
      <c r="AF112" s="4">
        <f t="shared" si="4"/>
        <v>10198650</v>
      </c>
      <c r="AG112" s="4"/>
      <c r="AH112" s="16">
        <f t="shared" si="5"/>
        <v>10198650</v>
      </c>
      <c r="AI112" s="21">
        <f t="shared" si="6"/>
        <v>0.34270808830941901</v>
      </c>
      <c r="AJ112" s="20">
        <f t="shared" si="7"/>
        <v>0.34270808830941901</v>
      </c>
      <c r="AK112" s="9"/>
    </row>
    <row r="113" spans="1:39">
      <c r="A113" s="3">
        <v>111</v>
      </c>
      <c r="B113" s="12"/>
      <c r="C113" s="13"/>
      <c r="D113" s="13"/>
      <c r="E113" s="13"/>
      <c r="F113" s="13"/>
      <c r="G113" s="13"/>
      <c r="H113" s="28"/>
      <c r="I113" s="24" t="s">
        <v>120</v>
      </c>
      <c r="J113" s="24" t="s">
        <v>1387</v>
      </c>
      <c r="K113" s="26" t="s">
        <v>658</v>
      </c>
      <c r="L113" s="26" t="s">
        <v>434</v>
      </c>
      <c r="M113" s="66">
        <f>IFERROR(VLOOKUP($L113,[1]Consolidated!$C$9:$AC$341,27,0),0)</f>
        <v>34228000</v>
      </c>
      <c r="N113" s="66">
        <f>IFERROR(VLOOKUP($L113,[1]Consolidated!$C$9:$AC$341,5,0),0)</f>
        <v>150</v>
      </c>
      <c r="O113" s="5">
        <v>15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4">
        <f>(VLOOKUP($O$2,Prices!$E$3:$F$17,2,FALSE)*Urban!O113)+(VLOOKUP($P$2,Prices!$E$3:$F$17,2,FALSE)*Urban!P113)+(VLOOKUP($Q$2,Prices!$E$3:$F$17,2,FALSE)*Urban!Q113)+(VLOOKUP($R$2,Prices!$E$3:$F$17,2,FALSE)*Urban!R113)+(VLOOKUP($S$2,Prices!$E$3:$F$17,2,FALSE)*Urban!S113)+(VLOOKUP($T$2,Prices!$E$3:$F$17,2,FALSE)*Urban!T113)+(VLOOKUP($U$2,Prices!$E$3:$F$17,2,FALSE)*Urban!U113)+(VLOOKUP($V$2,Prices!$E$3:$F$17,2,FALSE)*Urban!V113)+(VLOOKUP($W$2,Prices!$E$3:$F$17,2,FALSE)*Urban!W113)+(VLOOKUP($X$2,Prices!$E$3:$F$17,2,FALSE)*Urban!X113)+(VLOOKUP($Y$2,Prices!$E$3:$F$17,2,FALSE)*Urban!Y113)+(VLOOKUP($Z$2,Prices!$E$3:$F$17,2,FALSE)*Urban!Z113)+(VLOOKUP($AA$2,Prices!$E$3:$F$17,2,FALSE)*Urban!AA113)+(VLOOKUP($AB$2,Prices!$E$3:$F$17,2,FALSE)*Urban!AB113)+M113</f>
        <v>38143000</v>
      </c>
      <c r="AD113" s="69">
        <v>11979800</v>
      </c>
      <c r="AE113" s="18"/>
      <c r="AF113" s="4">
        <f t="shared" si="4"/>
        <v>11979800</v>
      </c>
      <c r="AG113" s="4">
        <v>17430200</v>
      </c>
      <c r="AH113" s="16">
        <f t="shared" si="5"/>
        <v>29410000</v>
      </c>
      <c r="AI113" s="21">
        <f t="shared" si="6"/>
        <v>0.85923805071870984</v>
      </c>
      <c r="AJ113" s="20">
        <f t="shared" si="7"/>
        <v>0.77104580132658684</v>
      </c>
      <c r="AK113" s="9" t="s">
        <v>1508</v>
      </c>
    </row>
    <row r="114" spans="1:39" hidden="1">
      <c r="A114" s="3">
        <v>112</v>
      </c>
      <c r="B114" s="12"/>
      <c r="C114" s="13"/>
      <c r="D114" s="13"/>
      <c r="E114" s="13"/>
      <c r="F114" s="13"/>
      <c r="G114" s="13"/>
      <c r="H114" s="28"/>
      <c r="I114" s="39" t="s">
        <v>121</v>
      </c>
      <c r="J114" s="24" t="s">
        <v>1387</v>
      </c>
      <c r="K114" s="26" t="s">
        <v>658</v>
      </c>
      <c r="L114" s="26" t="s">
        <v>435</v>
      </c>
      <c r="M114" s="41">
        <f>IFERROR(VLOOKUP($L114,'[2]Top WH -National'!$D$9:$AC$124,26,0),0)</f>
        <v>166100000</v>
      </c>
      <c r="N114" s="41">
        <f>IFERROR(VLOOKUP($L114,'[2]Top WH -National'!$D$9:$AC$124,4,0),0)</f>
        <v>688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4">
        <f>(VLOOKUP($O$2,Prices!$E$3:$F$17,2,FALSE)*Urban!O114)+(VLOOKUP($P$2,Prices!$E$3:$F$17,2,FALSE)*Urban!P114)+(VLOOKUP($Q$2,Prices!$E$3:$F$17,2,FALSE)*Urban!Q114)+(VLOOKUP($R$2,Prices!$E$3:$F$17,2,FALSE)*Urban!R114)+(VLOOKUP($S$2,Prices!$E$3:$F$17,2,FALSE)*Urban!S114)+(VLOOKUP($T$2,Prices!$E$3:$F$17,2,FALSE)*Urban!T114)+(VLOOKUP($U$2,Prices!$E$3:$F$17,2,FALSE)*Urban!U114)+(VLOOKUP($V$2,Prices!$E$3:$F$17,2,FALSE)*Urban!V114)+(VLOOKUP($W$2,Prices!$E$3:$F$17,2,FALSE)*Urban!W114)+(VLOOKUP($X$2,Prices!$E$3:$F$17,2,FALSE)*Urban!X114)+(VLOOKUP($Y$2,Prices!$E$3:$F$17,2,FALSE)*Urban!Y114)+(VLOOKUP($Z$2,Prices!$E$3:$F$17,2,FALSE)*Urban!Z114)+(VLOOKUP($AA$2,Prices!$E$3:$F$17,2,FALSE)*Urban!AA114)+(VLOOKUP($AB$2,Prices!$E$3:$F$17,2,FALSE)*Urban!AB114)+M114</f>
        <v>166100000</v>
      </c>
      <c r="AD114" s="69">
        <v>115101000</v>
      </c>
      <c r="AE114" s="18"/>
      <c r="AF114" s="4">
        <f t="shared" si="4"/>
        <v>115101000</v>
      </c>
      <c r="AG114" s="4"/>
      <c r="AH114" s="16">
        <f t="shared" si="5"/>
        <v>115101000</v>
      </c>
      <c r="AI114" s="21">
        <f t="shared" si="6"/>
        <v>0.69296207104154128</v>
      </c>
      <c r="AJ114" s="20">
        <f t="shared" si="7"/>
        <v>0.69296207104154128</v>
      </c>
      <c r="AK114" s="9"/>
    </row>
    <row r="115" spans="1:39" hidden="1">
      <c r="A115" s="3">
        <v>113</v>
      </c>
      <c r="B115" s="12"/>
      <c r="C115" s="13"/>
      <c r="D115" s="13"/>
      <c r="E115" s="13"/>
      <c r="F115" s="13"/>
      <c r="G115" s="13"/>
      <c r="H115" s="28"/>
      <c r="I115" s="24" t="s">
        <v>122</v>
      </c>
      <c r="J115" s="24" t="s">
        <v>1387</v>
      </c>
      <c r="K115" s="26" t="s">
        <v>658</v>
      </c>
      <c r="L115" s="26" t="s">
        <v>436</v>
      </c>
      <c r="M115" s="66">
        <f>IFERROR(VLOOKUP($L115,[1]Consolidated!$C$9:$AC$341,27,0),0)</f>
        <v>42573000</v>
      </c>
      <c r="N115" s="66">
        <f>IFERROR(VLOOKUP($L115,[1]Consolidated!$C$9:$AC$341,5,0),0)</f>
        <v>180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4">
        <f>(VLOOKUP($O$2,Prices!$E$3:$F$17,2,FALSE)*Urban!O115)+(VLOOKUP($P$2,Prices!$E$3:$F$17,2,FALSE)*Urban!P115)+(VLOOKUP($Q$2,Prices!$E$3:$F$17,2,FALSE)*Urban!Q115)+(VLOOKUP($R$2,Prices!$E$3:$F$17,2,FALSE)*Urban!R115)+(VLOOKUP($S$2,Prices!$E$3:$F$17,2,FALSE)*Urban!S115)+(VLOOKUP($T$2,Prices!$E$3:$F$17,2,FALSE)*Urban!T115)+(VLOOKUP($U$2,Prices!$E$3:$F$17,2,FALSE)*Urban!U115)+(VLOOKUP($V$2,Prices!$E$3:$F$17,2,FALSE)*Urban!V115)+(VLOOKUP($W$2,Prices!$E$3:$F$17,2,FALSE)*Urban!W115)+(VLOOKUP($X$2,Prices!$E$3:$F$17,2,FALSE)*Urban!X115)+(VLOOKUP($Y$2,Prices!$E$3:$F$17,2,FALSE)*Urban!Y115)+(VLOOKUP($Z$2,Prices!$E$3:$F$17,2,FALSE)*Urban!Z115)+(VLOOKUP($AA$2,Prices!$E$3:$F$17,2,FALSE)*Urban!AA115)+(VLOOKUP($AB$2,Prices!$E$3:$F$17,2,FALSE)*Urban!AB115)+M115</f>
        <v>42573000</v>
      </c>
      <c r="AD115" s="69">
        <v>14900549.999999998</v>
      </c>
      <c r="AE115" s="18"/>
      <c r="AF115" s="4">
        <f t="shared" si="4"/>
        <v>14900549.999999998</v>
      </c>
      <c r="AG115" s="4"/>
      <c r="AH115" s="16">
        <f t="shared" si="5"/>
        <v>14900549.999999998</v>
      </c>
      <c r="AI115" s="21">
        <f t="shared" si="6"/>
        <v>0.35</v>
      </c>
      <c r="AJ115" s="20">
        <f t="shared" si="7"/>
        <v>0.35</v>
      </c>
      <c r="AK115" s="9"/>
    </row>
    <row r="116" spans="1:39" hidden="1">
      <c r="A116" s="3">
        <v>114</v>
      </c>
      <c r="B116" s="12"/>
      <c r="C116" s="13"/>
      <c r="D116" s="13"/>
      <c r="E116" s="13"/>
      <c r="F116" s="13"/>
      <c r="G116" s="13"/>
      <c r="H116" s="28"/>
      <c r="I116" s="24" t="s">
        <v>123</v>
      </c>
      <c r="J116" s="24" t="s">
        <v>1387</v>
      </c>
      <c r="K116" s="26" t="s">
        <v>658</v>
      </c>
      <c r="L116" s="26" t="s">
        <v>437</v>
      </c>
      <c r="M116" s="66">
        <f>IFERROR(VLOOKUP($L116,[1]Consolidated!$C$9:$AC$341,27,0),0)</f>
        <v>24101000</v>
      </c>
      <c r="N116" s="66">
        <f>IFERROR(VLOOKUP($L116,[1]Consolidated!$C$9:$AC$341,5,0),0)</f>
        <v>105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4">
        <f>(VLOOKUP($O$2,Prices!$E$3:$F$17,2,FALSE)*Urban!O116)+(VLOOKUP($P$2,Prices!$E$3:$F$17,2,FALSE)*Urban!P116)+(VLOOKUP($Q$2,Prices!$E$3:$F$17,2,FALSE)*Urban!Q116)+(VLOOKUP($R$2,Prices!$E$3:$F$17,2,FALSE)*Urban!R116)+(VLOOKUP($S$2,Prices!$E$3:$F$17,2,FALSE)*Urban!S116)+(VLOOKUP($T$2,Prices!$E$3:$F$17,2,FALSE)*Urban!T116)+(VLOOKUP($U$2,Prices!$E$3:$F$17,2,FALSE)*Urban!U116)+(VLOOKUP($V$2,Prices!$E$3:$F$17,2,FALSE)*Urban!V116)+(VLOOKUP($W$2,Prices!$E$3:$F$17,2,FALSE)*Urban!W116)+(VLOOKUP($X$2,Prices!$E$3:$F$17,2,FALSE)*Urban!X116)+(VLOOKUP($Y$2,Prices!$E$3:$F$17,2,FALSE)*Urban!Y116)+(VLOOKUP($Z$2,Prices!$E$3:$F$17,2,FALSE)*Urban!Z116)+(VLOOKUP($AA$2,Prices!$E$3:$F$17,2,FALSE)*Urban!AA116)+(VLOOKUP($AB$2,Prices!$E$3:$F$17,2,FALSE)*Urban!AB116)+M116</f>
        <v>24101000</v>
      </c>
      <c r="AD116" s="69">
        <v>8435350</v>
      </c>
      <c r="AE116" s="18"/>
      <c r="AF116" s="4">
        <f t="shared" si="4"/>
        <v>8435350</v>
      </c>
      <c r="AG116" s="4"/>
      <c r="AH116" s="16">
        <f t="shared" si="5"/>
        <v>8435350</v>
      </c>
      <c r="AI116" s="21">
        <f t="shared" si="6"/>
        <v>0.35</v>
      </c>
      <c r="AJ116" s="20">
        <f t="shared" si="7"/>
        <v>0.35</v>
      </c>
      <c r="AK116" s="9"/>
    </row>
    <row r="117" spans="1:39" hidden="1">
      <c r="A117" s="3">
        <v>115</v>
      </c>
      <c r="B117" s="12"/>
      <c r="C117" s="13"/>
      <c r="D117" s="13"/>
      <c r="E117" s="13"/>
      <c r="F117" s="13"/>
      <c r="G117" s="13"/>
      <c r="H117" s="28"/>
      <c r="I117" s="24" t="s">
        <v>124</v>
      </c>
      <c r="J117" s="24" t="s">
        <v>1387</v>
      </c>
      <c r="K117" s="26" t="s">
        <v>658</v>
      </c>
      <c r="L117" s="26" t="s">
        <v>438</v>
      </c>
      <c r="M117" s="66">
        <f>IFERROR(VLOOKUP($L117,[1]Consolidated!$C$9:$AC$341,27,0),0)</f>
        <v>30530000</v>
      </c>
      <c r="N117" s="66">
        <f>IFERROR(VLOOKUP($L117,[1]Consolidated!$C$9:$AC$341,5,0),0)</f>
        <v>130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4">
        <f>(VLOOKUP($O$2,Prices!$E$3:$F$17,2,FALSE)*Urban!O117)+(VLOOKUP($P$2,Prices!$E$3:$F$17,2,FALSE)*Urban!P117)+(VLOOKUP($Q$2,Prices!$E$3:$F$17,2,FALSE)*Urban!Q117)+(VLOOKUP($R$2,Prices!$E$3:$F$17,2,FALSE)*Urban!R117)+(VLOOKUP($S$2,Prices!$E$3:$F$17,2,FALSE)*Urban!S117)+(VLOOKUP($T$2,Prices!$E$3:$F$17,2,FALSE)*Urban!T117)+(VLOOKUP($U$2,Prices!$E$3:$F$17,2,FALSE)*Urban!U117)+(VLOOKUP($V$2,Prices!$E$3:$F$17,2,FALSE)*Urban!V117)+(VLOOKUP($W$2,Prices!$E$3:$F$17,2,FALSE)*Urban!W117)+(VLOOKUP($X$2,Prices!$E$3:$F$17,2,FALSE)*Urban!X117)+(VLOOKUP($Y$2,Prices!$E$3:$F$17,2,FALSE)*Urban!Y117)+(VLOOKUP($Z$2,Prices!$E$3:$F$17,2,FALSE)*Urban!Z117)+(VLOOKUP($AA$2,Prices!$E$3:$F$17,2,FALSE)*Urban!AA117)+(VLOOKUP($AB$2,Prices!$E$3:$F$17,2,FALSE)*Urban!AB117)+M117</f>
        <v>30530000</v>
      </c>
      <c r="AD117" s="69">
        <v>10685500</v>
      </c>
      <c r="AE117" s="18"/>
      <c r="AF117" s="4">
        <f t="shared" si="4"/>
        <v>10685500</v>
      </c>
      <c r="AG117" s="4"/>
      <c r="AH117" s="16">
        <f t="shared" si="5"/>
        <v>10685500</v>
      </c>
      <c r="AI117" s="21">
        <f t="shared" si="6"/>
        <v>0.35</v>
      </c>
      <c r="AJ117" s="20">
        <f t="shared" si="7"/>
        <v>0.35</v>
      </c>
      <c r="AK117" s="9"/>
    </row>
    <row r="118" spans="1:39" hidden="1">
      <c r="A118" s="3">
        <v>116</v>
      </c>
      <c r="B118" s="12"/>
      <c r="C118" s="13"/>
      <c r="D118" s="13"/>
      <c r="E118" s="13"/>
      <c r="F118" s="13"/>
      <c r="G118" s="13"/>
      <c r="H118" s="28"/>
      <c r="I118" s="24" t="s">
        <v>125</v>
      </c>
      <c r="J118" s="24" t="s">
        <v>1387</v>
      </c>
      <c r="K118" s="26" t="s">
        <v>658</v>
      </c>
      <c r="L118" s="26" t="s">
        <v>439</v>
      </c>
      <c r="M118" s="66">
        <f>IFERROR(VLOOKUP($L118,[1]Consolidated!$C$9:$AC$341,27,0),0)</f>
        <v>30453000</v>
      </c>
      <c r="N118" s="66">
        <f>IFERROR(VLOOKUP($L118,[1]Consolidated!$C$9:$AC$341,5,0),0)</f>
        <v>130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4">
        <f>(VLOOKUP($O$2,Prices!$E$3:$F$17,2,FALSE)*Urban!O118)+(VLOOKUP($P$2,Prices!$E$3:$F$17,2,FALSE)*Urban!P118)+(VLOOKUP($Q$2,Prices!$E$3:$F$17,2,FALSE)*Urban!Q118)+(VLOOKUP($R$2,Prices!$E$3:$F$17,2,FALSE)*Urban!R118)+(VLOOKUP($S$2,Prices!$E$3:$F$17,2,FALSE)*Urban!S118)+(VLOOKUP($T$2,Prices!$E$3:$F$17,2,FALSE)*Urban!T118)+(VLOOKUP($U$2,Prices!$E$3:$F$17,2,FALSE)*Urban!U118)+(VLOOKUP($V$2,Prices!$E$3:$F$17,2,FALSE)*Urban!V118)+(VLOOKUP($W$2,Prices!$E$3:$F$17,2,FALSE)*Urban!W118)+(VLOOKUP($X$2,Prices!$E$3:$F$17,2,FALSE)*Urban!X118)+(VLOOKUP($Y$2,Prices!$E$3:$F$17,2,FALSE)*Urban!Y118)+(VLOOKUP($Z$2,Prices!$E$3:$F$17,2,FALSE)*Urban!Z118)+(VLOOKUP($AA$2,Prices!$E$3:$F$17,2,FALSE)*Urban!AA118)+(VLOOKUP($AB$2,Prices!$E$3:$F$17,2,FALSE)*Urban!AB118)+M118</f>
        <v>30453000</v>
      </c>
      <c r="AD118" s="69">
        <v>10658550</v>
      </c>
      <c r="AE118" s="18"/>
      <c r="AF118" s="4">
        <f t="shared" si="4"/>
        <v>10658550</v>
      </c>
      <c r="AG118" s="4"/>
      <c r="AH118" s="16">
        <f t="shared" si="5"/>
        <v>10658550</v>
      </c>
      <c r="AI118" s="21">
        <f t="shared" si="6"/>
        <v>0.35</v>
      </c>
      <c r="AJ118" s="20">
        <f t="shared" si="7"/>
        <v>0.35</v>
      </c>
      <c r="AK118" s="9"/>
    </row>
    <row r="119" spans="1:39" hidden="1">
      <c r="A119" s="3">
        <v>117</v>
      </c>
      <c r="B119" s="12"/>
      <c r="C119" s="13"/>
      <c r="D119" s="13"/>
      <c r="E119" s="13"/>
      <c r="F119" s="13"/>
      <c r="G119" s="13"/>
      <c r="H119" s="28"/>
      <c r="I119" s="24" t="s">
        <v>126</v>
      </c>
      <c r="J119" s="24" t="s">
        <v>1387</v>
      </c>
      <c r="K119" s="26" t="s">
        <v>658</v>
      </c>
      <c r="L119" s="26" t="s">
        <v>440</v>
      </c>
      <c r="M119" s="66">
        <f>IFERROR(VLOOKUP($L119,[1]Consolidated!$C$9:$AC$341,27,0),0)</f>
        <v>34164000</v>
      </c>
      <c r="N119" s="66">
        <f>IFERROR(VLOOKUP($L119,[1]Consolidated!$C$9:$AC$341,5,0),0)</f>
        <v>140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4">
        <f>(VLOOKUP($O$2,Prices!$E$3:$F$17,2,FALSE)*Urban!O119)+(VLOOKUP($P$2,Prices!$E$3:$F$17,2,FALSE)*Urban!P119)+(VLOOKUP($Q$2,Prices!$E$3:$F$17,2,FALSE)*Urban!Q119)+(VLOOKUP($R$2,Prices!$E$3:$F$17,2,FALSE)*Urban!R119)+(VLOOKUP($S$2,Prices!$E$3:$F$17,2,FALSE)*Urban!S119)+(VLOOKUP($T$2,Prices!$E$3:$F$17,2,FALSE)*Urban!T119)+(VLOOKUP($U$2,Prices!$E$3:$F$17,2,FALSE)*Urban!U119)+(VLOOKUP($V$2,Prices!$E$3:$F$17,2,FALSE)*Urban!V119)+(VLOOKUP($W$2,Prices!$E$3:$F$17,2,FALSE)*Urban!W119)+(VLOOKUP($X$2,Prices!$E$3:$F$17,2,FALSE)*Urban!X119)+(VLOOKUP($Y$2,Prices!$E$3:$F$17,2,FALSE)*Urban!Y119)+(VLOOKUP($Z$2,Prices!$E$3:$F$17,2,FALSE)*Urban!Z119)+(VLOOKUP($AA$2,Prices!$E$3:$F$17,2,FALSE)*Urban!AA119)+(VLOOKUP($AB$2,Prices!$E$3:$F$17,2,FALSE)*Urban!AB119)+M119</f>
        <v>34164000</v>
      </c>
      <c r="AD119" s="69">
        <v>11957400</v>
      </c>
      <c r="AE119" s="18"/>
      <c r="AF119" s="4">
        <f t="shared" si="4"/>
        <v>11957400</v>
      </c>
      <c r="AG119" s="4"/>
      <c r="AH119" s="16">
        <f t="shared" si="5"/>
        <v>11957400</v>
      </c>
      <c r="AI119" s="21">
        <f t="shared" si="6"/>
        <v>0.35</v>
      </c>
      <c r="AJ119" s="20">
        <f t="shared" si="7"/>
        <v>0.35</v>
      </c>
      <c r="AK119" s="9"/>
    </row>
    <row r="120" spans="1:39">
      <c r="A120" s="3">
        <v>118</v>
      </c>
      <c r="B120" s="12"/>
      <c r="C120" s="13"/>
      <c r="D120" s="13"/>
      <c r="E120" s="13"/>
      <c r="F120" s="13"/>
      <c r="G120" s="13"/>
      <c r="H120" s="28"/>
      <c r="I120" s="24" t="s">
        <v>127</v>
      </c>
      <c r="J120" s="24" t="s">
        <v>1387</v>
      </c>
      <c r="K120" s="26" t="s">
        <v>658</v>
      </c>
      <c r="L120" s="26" t="s">
        <v>441</v>
      </c>
      <c r="M120" s="66">
        <f>IFERROR(VLOOKUP($L120,[1]Consolidated!$C$9:$AC$341,27,0),0)</f>
        <v>30704000</v>
      </c>
      <c r="N120" s="66">
        <f>IFERROR(VLOOKUP($L120,[1]Consolidated!$C$9:$AC$341,5,0),0)</f>
        <v>125</v>
      </c>
      <c r="O120" s="5">
        <v>5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4">
        <f>(VLOOKUP($O$2,Prices!$E$3:$F$17,2,FALSE)*Urban!O120)+(VLOOKUP($P$2,Prices!$E$3:$F$17,2,FALSE)*Urban!P120)+(VLOOKUP($Q$2,Prices!$E$3:$F$17,2,FALSE)*Urban!Q120)+(VLOOKUP($R$2,Prices!$E$3:$F$17,2,FALSE)*Urban!R120)+(VLOOKUP($S$2,Prices!$E$3:$F$17,2,FALSE)*Urban!S120)+(VLOOKUP($T$2,Prices!$E$3:$F$17,2,FALSE)*Urban!T120)+(VLOOKUP($U$2,Prices!$E$3:$F$17,2,FALSE)*Urban!U120)+(VLOOKUP($V$2,Prices!$E$3:$F$17,2,FALSE)*Urban!V120)+(VLOOKUP($W$2,Prices!$E$3:$F$17,2,FALSE)*Urban!W120)+(VLOOKUP($X$2,Prices!$E$3:$F$17,2,FALSE)*Urban!X120)+(VLOOKUP($Y$2,Prices!$E$3:$F$17,2,FALSE)*Urban!Y120)+(VLOOKUP($Z$2,Prices!$E$3:$F$17,2,FALSE)*Urban!Z120)+(VLOOKUP($AA$2,Prices!$E$3:$F$17,2,FALSE)*Urban!AA120)+(VLOOKUP($AB$2,Prices!$E$3:$F$17,2,FALSE)*Urban!AB120)+M120</f>
        <v>32009000</v>
      </c>
      <c r="AD120" s="69">
        <v>19740000</v>
      </c>
      <c r="AE120" s="18"/>
      <c r="AF120" s="4">
        <f t="shared" si="4"/>
        <v>19740000</v>
      </c>
      <c r="AG120" s="4">
        <v>4000000</v>
      </c>
      <c r="AH120" s="16">
        <f t="shared" si="5"/>
        <v>23740000</v>
      </c>
      <c r="AI120" s="21">
        <f t="shared" si="6"/>
        <v>0.77318916102136526</v>
      </c>
      <c r="AJ120" s="20">
        <f t="shared" si="7"/>
        <v>0.74166640632322156</v>
      </c>
      <c r="AK120" s="9" t="s">
        <v>1508</v>
      </c>
    </row>
    <row r="121" spans="1:39" hidden="1">
      <c r="A121" s="3">
        <v>119</v>
      </c>
      <c r="B121" s="12"/>
      <c r="C121" s="13"/>
      <c r="D121" s="13"/>
      <c r="E121" s="13"/>
      <c r="F121" s="13"/>
      <c r="G121" s="13"/>
      <c r="H121" s="28"/>
      <c r="I121" s="24" t="s">
        <v>128</v>
      </c>
      <c r="J121" s="24" t="s">
        <v>1387</v>
      </c>
      <c r="K121" s="26" t="s">
        <v>658</v>
      </c>
      <c r="L121" s="26" t="s">
        <v>442</v>
      </c>
      <c r="M121" s="66">
        <f>IFERROR(VLOOKUP($L121,[1]Consolidated!$C$9:$AC$341,27,0),0)</f>
        <v>39088000</v>
      </c>
      <c r="N121" s="66">
        <f>IFERROR(VLOOKUP($L121,[1]Consolidated!$C$9:$AC$341,5,0),0)</f>
        <v>160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4">
        <f>(VLOOKUP($O$2,Prices!$E$3:$F$17,2,FALSE)*Urban!O121)+(VLOOKUP($P$2,Prices!$E$3:$F$17,2,FALSE)*Urban!P121)+(VLOOKUP($Q$2,Prices!$E$3:$F$17,2,FALSE)*Urban!Q121)+(VLOOKUP($R$2,Prices!$E$3:$F$17,2,FALSE)*Urban!R121)+(VLOOKUP($S$2,Prices!$E$3:$F$17,2,FALSE)*Urban!S121)+(VLOOKUP($T$2,Prices!$E$3:$F$17,2,FALSE)*Urban!T121)+(VLOOKUP($U$2,Prices!$E$3:$F$17,2,FALSE)*Urban!U121)+(VLOOKUP($V$2,Prices!$E$3:$F$17,2,FALSE)*Urban!V121)+(VLOOKUP($W$2,Prices!$E$3:$F$17,2,FALSE)*Urban!W121)+(VLOOKUP($X$2,Prices!$E$3:$F$17,2,FALSE)*Urban!X121)+(VLOOKUP($Y$2,Prices!$E$3:$F$17,2,FALSE)*Urban!Y121)+(VLOOKUP($Z$2,Prices!$E$3:$F$17,2,FALSE)*Urban!Z121)+(VLOOKUP($AA$2,Prices!$E$3:$F$17,2,FALSE)*Urban!AA121)+(VLOOKUP($AB$2,Prices!$E$3:$F$17,2,FALSE)*Urban!AB121)+M121</f>
        <v>39088000</v>
      </c>
      <c r="AD121" s="69">
        <v>13208300</v>
      </c>
      <c r="AE121" s="18"/>
      <c r="AF121" s="4">
        <f t="shared" si="4"/>
        <v>13208300</v>
      </c>
      <c r="AG121" s="4"/>
      <c r="AH121" s="16">
        <f t="shared" si="5"/>
        <v>13208300</v>
      </c>
      <c r="AI121" s="21">
        <f t="shared" si="6"/>
        <v>0.33791189111747849</v>
      </c>
      <c r="AJ121" s="20">
        <f t="shared" si="7"/>
        <v>0.33791189111747849</v>
      </c>
      <c r="AK121" s="9"/>
    </row>
    <row r="122" spans="1:39" hidden="1">
      <c r="A122" s="3">
        <v>120</v>
      </c>
      <c r="B122" s="12"/>
      <c r="C122" s="13"/>
      <c r="D122" s="13"/>
      <c r="E122" s="13"/>
      <c r="F122" s="13"/>
      <c r="G122" s="13"/>
      <c r="H122" s="28"/>
      <c r="I122" s="39" t="s">
        <v>129</v>
      </c>
      <c r="J122" s="24" t="s">
        <v>1387</v>
      </c>
      <c r="K122" s="26" t="s">
        <v>658</v>
      </c>
      <c r="L122" s="26" t="s">
        <v>443</v>
      </c>
      <c r="M122" s="41">
        <f>IFERROR(VLOOKUP($L122,'[2]Top WH -National'!$D$9:$AC$124,26,0),0)</f>
        <v>81709000</v>
      </c>
      <c r="N122" s="41">
        <f>IFERROR(VLOOKUP($L122,'[2]Top WH -National'!$D$9:$AC$124,4,0),0)</f>
        <v>325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4">
        <f>(VLOOKUP($O$2,Prices!$E$3:$F$17,2,FALSE)*Urban!O122)+(VLOOKUP($P$2,Prices!$E$3:$F$17,2,FALSE)*Urban!P122)+(VLOOKUP($Q$2,Prices!$E$3:$F$17,2,FALSE)*Urban!Q122)+(VLOOKUP($R$2,Prices!$E$3:$F$17,2,FALSE)*Urban!R122)+(VLOOKUP($S$2,Prices!$E$3:$F$17,2,FALSE)*Urban!S122)+(VLOOKUP($T$2,Prices!$E$3:$F$17,2,FALSE)*Urban!T122)+(VLOOKUP($U$2,Prices!$E$3:$F$17,2,FALSE)*Urban!U122)+(VLOOKUP($V$2,Prices!$E$3:$F$17,2,FALSE)*Urban!V122)+(VLOOKUP($W$2,Prices!$E$3:$F$17,2,FALSE)*Urban!W122)+(VLOOKUP($X$2,Prices!$E$3:$F$17,2,FALSE)*Urban!X122)+(VLOOKUP($Y$2,Prices!$E$3:$F$17,2,FALSE)*Urban!Y122)+(VLOOKUP($Z$2,Prices!$E$3:$F$17,2,FALSE)*Urban!Z122)+(VLOOKUP($AA$2,Prices!$E$3:$F$17,2,FALSE)*Urban!AA122)+(VLOOKUP($AB$2,Prices!$E$3:$F$17,2,FALSE)*Urban!AB122)+M122</f>
        <v>81709000</v>
      </c>
      <c r="AD122" s="69">
        <v>56637000</v>
      </c>
      <c r="AE122" s="18"/>
      <c r="AF122" s="4">
        <f t="shared" si="4"/>
        <v>56637000</v>
      </c>
      <c r="AG122" s="4"/>
      <c r="AH122" s="16">
        <f t="shared" si="5"/>
        <v>56637000</v>
      </c>
      <c r="AI122" s="21">
        <f t="shared" si="6"/>
        <v>0.69315497680794036</v>
      </c>
      <c r="AJ122" s="20">
        <f t="shared" si="7"/>
        <v>0.69315497680794036</v>
      </c>
      <c r="AK122" s="19"/>
    </row>
    <row r="123" spans="1:39" hidden="1">
      <c r="A123" s="3">
        <v>121</v>
      </c>
      <c r="B123" s="12"/>
      <c r="C123" s="13"/>
      <c r="D123" s="13"/>
      <c r="E123" s="13"/>
      <c r="F123" s="13"/>
      <c r="G123" s="13"/>
      <c r="H123" s="28"/>
      <c r="I123" s="24" t="s">
        <v>130</v>
      </c>
      <c r="J123" s="24" t="s">
        <v>1387</v>
      </c>
      <c r="K123" s="26" t="s">
        <v>658</v>
      </c>
      <c r="L123" s="26" t="s">
        <v>444</v>
      </c>
      <c r="M123" s="66">
        <f>IFERROR(VLOOKUP($L123,[1]Consolidated!$C$9:$AC$341,27,0),0)</f>
        <v>24700000</v>
      </c>
      <c r="N123" s="66">
        <f>IFERROR(VLOOKUP($L123,[1]Consolidated!$C$9:$AC$341,5,0),0)</f>
        <v>100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4">
        <f>(VLOOKUP($O$2,Prices!$E$3:$F$17,2,FALSE)*Urban!O123)+(VLOOKUP($P$2,Prices!$E$3:$F$17,2,FALSE)*Urban!P123)+(VLOOKUP($Q$2,Prices!$E$3:$F$17,2,FALSE)*Urban!Q123)+(VLOOKUP($R$2,Prices!$E$3:$F$17,2,FALSE)*Urban!R123)+(VLOOKUP($S$2,Prices!$E$3:$F$17,2,FALSE)*Urban!S123)+(VLOOKUP($T$2,Prices!$E$3:$F$17,2,FALSE)*Urban!T123)+(VLOOKUP($U$2,Prices!$E$3:$F$17,2,FALSE)*Urban!U123)+(VLOOKUP($V$2,Prices!$E$3:$F$17,2,FALSE)*Urban!V123)+(VLOOKUP($W$2,Prices!$E$3:$F$17,2,FALSE)*Urban!W123)+(VLOOKUP($X$2,Prices!$E$3:$F$17,2,FALSE)*Urban!X123)+(VLOOKUP($Y$2,Prices!$E$3:$F$17,2,FALSE)*Urban!Y123)+(VLOOKUP($Z$2,Prices!$E$3:$F$17,2,FALSE)*Urban!Z123)+(VLOOKUP($AA$2,Prices!$E$3:$F$17,2,FALSE)*Urban!AA123)+(VLOOKUP($AB$2,Prices!$E$3:$F$17,2,FALSE)*Urban!AB123)+M123</f>
        <v>24700000</v>
      </c>
      <c r="AD123" s="69">
        <v>8463000</v>
      </c>
      <c r="AE123" s="18"/>
      <c r="AF123" s="4">
        <f t="shared" si="4"/>
        <v>8463000</v>
      </c>
      <c r="AG123" s="4"/>
      <c r="AH123" s="16">
        <f t="shared" si="5"/>
        <v>8463000</v>
      </c>
      <c r="AI123" s="21">
        <f t="shared" si="6"/>
        <v>0.3426315789473684</v>
      </c>
      <c r="AJ123" s="20">
        <f t="shared" si="7"/>
        <v>0.3426315789473684</v>
      </c>
      <c r="AK123" s="9"/>
    </row>
    <row r="124" spans="1:39" hidden="1">
      <c r="A124" s="3">
        <v>122</v>
      </c>
      <c r="B124" s="12"/>
      <c r="C124" s="13"/>
      <c r="D124" s="13"/>
      <c r="E124" s="13"/>
      <c r="F124" s="13"/>
      <c r="G124" s="13"/>
      <c r="H124" s="28"/>
      <c r="I124" s="24" t="s">
        <v>131</v>
      </c>
      <c r="J124" s="24" t="s">
        <v>1387</v>
      </c>
      <c r="K124" s="26" t="s">
        <v>658</v>
      </c>
      <c r="L124" s="26" t="s">
        <v>445</v>
      </c>
      <c r="M124" s="66">
        <f>IFERROR(VLOOKUP($L124,[1]Consolidated!$C$9:$AC$341,27,0),0)</f>
        <v>31909000</v>
      </c>
      <c r="N124" s="66">
        <f>IFERROR(VLOOKUP($L124,[1]Consolidated!$C$9:$AC$341,5,0),0)</f>
        <v>130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4">
        <f>(VLOOKUP($O$2,Prices!$E$3:$F$17,2,FALSE)*Urban!O124)+(VLOOKUP($P$2,Prices!$E$3:$F$17,2,FALSE)*Urban!P124)+(VLOOKUP($Q$2,Prices!$E$3:$F$17,2,FALSE)*Urban!Q124)+(VLOOKUP($R$2,Prices!$E$3:$F$17,2,FALSE)*Urban!R124)+(VLOOKUP($S$2,Prices!$E$3:$F$17,2,FALSE)*Urban!S124)+(VLOOKUP($T$2,Prices!$E$3:$F$17,2,FALSE)*Urban!T124)+(VLOOKUP($U$2,Prices!$E$3:$F$17,2,FALSE)*Urban!U124)+(VLOOKUP($V$2,Prices!$E$3:$F$17,2,FALSE)*Urban!V124)+(VLOOKUP($W$2,Prices!$E$3:$F$17,2,FALSE)*Urban!W124)+(VLOOKUP($X$2,Prices!$E$3:$F$17,2,FALSE)*Urban!X124)+(VLOOKUP($Y$2,Prices!$E$3:$F$17,2,FALSE)*Urban!Y124)+(VLOOKUP($Z$2,Prices!$E$3:$F$17,2,FALSE)*Urban!Z124)+(VLOOKUP($AA$2,Prices!$E$3:$F$17,2,FALSE)*Urban!AA124)+(VLOOKUP($AB$2,Prices!$E$3:$F$17,2,FALSE)*Urban!AB124)+M124</f>
        <v>31909000</v>
      </c>
      <c r="AD124" s="13">
        <v>0</v>
      </c>
      <c r="AE124" s="18"/>
      <c r="AF124" s="4">
        <f t="shared" si="4"/>
        <v>0</v>
      </c>
      <c r="AG124" s="4"/>
      <c r="AH124" s="16">
        <f t="shared" si="5"/>
        <v>0</v>
      </c>
      <c r="AI124" s="21">
        <f t="shared" si="6"/>
        <v>0</v>
      </c>
      <c r="AJ124" s="20">
        <f t="shared" si="7"/>
        <v>0</v>
      </c>
      <c r="AK124" s="9"/>
    </row>
    <row r="125" spans="1:39" hidden="1">
      <c r="A125" s="3">
        <v>123</v>
      </c>
      <c r="B125" s="12"/>
      <c r="C125" s="13"/>
      <c r="D125" s="13"/>
      <c r="E125" s="13"/>
      <c r="F125" s="13"/>
      <c r="G125" s="13"/>
      <c r="H125" s="28"/>
      <c r="I125" s="24" t="s">
        <v>132</v>
      </c>
      <c r="J125" s="24" t="s">
        <v>1387</v>
      </c>
      <c r="K125" s="26" t="s">
        <v>658</v>
      </c>
      <c r="L125" s="26" t="s">
        <v>446</v>
      </c>
      <c r="M125" s="66">
        <f>IFERROR(VLOOKUP($L125,[1]Consolidated!$C$9:$AC$341,27,0),0)</f>
        <v>21745000</v>
      </c>
      <c r="N125" s="66">
        <f>IFERROR(VLOOKUP($L125,[1]Consolidated!$C$9:$AC$341,5,0),0)</f>
        <v>100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4">
        <f>(VLOOKUP($O$2,Prices!$E$3:$F$17,2,FALSE)*Urban!O125)+(VLOOKUP($P$2,Prices!$E$3:$F$17,2,FALSE)*Urban!P125)+(VLOOKUP($Q$2,Prices!$E$3:$F$17,2,FALSE)*Urban!Q125)+(VLOOKUP($R$2,Prices!$E$3:$F$17,2,FALSE)*Urban!R125)+(VLOOKUP($S$2,Prices!$E$3:$F$17,2,FALSE)*Urban!S125)+(VLOOKUP($T$2,Prices!$E$3:$F$17,2,FALSE)*Urban!T125)+(VLOOKUP($U$2,Prices!$E$3:$F$17,2,FALSE)*Urban!U125)+(VLOOKUP($V$2,Prices!$E$3:$F$17,2,FALSE)*Urban!V125)+(VLOOKUP($W$2,Prices!$E$3:$F$17,2,FALSE)*Urban!W125)+(VLOOKUP($X$2,Prices!$E$3:$F$17,2,FALSE)*Urban!X125)+(VLOOKUP($Y$2,Prices!$E$3:$F$17,2,FALSE)*Urban!Y125)+(VLOOKUP($Z$2,Prices!$E$3:$F$17,2,FALSE)*Urban!Z125)+(VLOOKUP($AA$2,Prices!$E$3:$F$17,2,FALSE)*Urban!AA125)+(VLOOKUP($AB$2,Prices!$E$3:$F$17,2,FALSE)*Urban!AB125)+M125</f>
        <v>21745000</v>
      </c>
      <c r="AD125" s="13">
        <v>0</v>
      </c>
      <c r="AE125" s="18"/>
      <c r="AF125" s="4">
        <f t="shared" si="4"/>
        <v>0</v>
      </c>
      <c r="AG125" s="4"/>
      <c r="AH125" s="16">
        <f t="shared" si="5"/>
        <v>0</v>
      </c>
      <c r="AI125" s="21">
        <f t="shared" si="6"/>
        <v>0</v>
      </c>
      <c r="AJ125" s="20">
        <f t="shared" si="7"/>
        <v>0</v>
      </c>
      <c r="AK125" s="9"/>
    </row>
    <row r="126" spans="1:39" hidden="1">
      <c r="A126" s="3">
        <v>124</v>
      </c>
      <c r="B126" s="12"/>
      <c r="C126" s="13"/>
      <c r="D126" s="13"/>
      <c r="E126" s="13"/>
      <c r="F126" s="13"/>
      <c r="G126" s="13"/>
      <c r="H126" s="28"/>
      <c r="I126" s="39" t="s">
        <v>133</v>
      </c>
      <c r="J126" s="24" t="s">
        <v>1387</v>
      </c>
      <c r="K126" s="26" t="s">
        <v>658</v>
      </c>
      <c r="L126" s="26" t="s">
        <v>447</v>
      </c>
      <c r="M126" s="41">
        <f>IFERROR(VLOOKUP($L126,'[2]Top WH -National'!$D$9:$AC$124,26,0),0)</f>
        <v>63399000</v>
      </c>
      <c r="N126" s="41">
        <f>IFERROR(VLOOKUP($L126,'[2]Top WH -National'!$D$9:$AC$124,4,0),0)</f>
        <v>265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4">
        <f>(VLOOKUP($O$2,Prices!$E$3:$F$17,2,FALSE)*Urban!O126)+(VLOOKUP($P$2,Prices!$E$3:$F$17,2,FALSE)*Urban!P126)+(VLOOKUP($Q$2,Prices!$E$3:$F$17,2,FALSE)*Urban!Q126)+(VLOOKUP($R$2,Prices!$E$3:$F$17,2,FALSE)*Urban!R126)+(VLOOKUP($S$2,Prices!$E$3:$F$17,2,FALSE)*Urban!S126)+(VLOOKUP($T$2,Prices!$E$3:$F$17,2,FALSE)*Urban!T126)+(VLOOKUP($U$2,Prices!$E$3:$F$17,2,FALSE)*Urban!U126)+(VLOOKUP($V$2,Prices!$E$3:$F$17,2,FALSE)*Urban!V126)+(VLOOKUP($W$2,Prices!$E$3:$F$17,2,FALSE)*Urban!W126)+(VLOOKUP($X$2,Prices!$E$3:$F$17,2,FALSE)*Urban!X126)+(VLOOKUP($Y$2,Prices!$E$3:$F$17,2,FALSE)*Urban!Y126)+(VLOOKUP($Z$2,Prices!$E$3:$F$17,2,FALSE)*Urban!Z126)+(VLOOKUP($AA$2,Prices!$E$3:$F$17,2,FALSE)*Urban!AA126)+(VLOOKUP($AB$2,Prices!$E$3:$F$17,2,FALSE)*Urban!AB126)+M126</f>
        <v>63399000</v>
      </c>
      <c r="AD126" s="69">
        <v>43848000</v>
      </c>
      <c r="AE126" s="18"/>
      <c r="AF126" s="4">
        <f t="shared" si="4"/>
        <v>43848000</v>
      </c>
      <c r="AG126" s="4"/>
      <c r="AH126" s="16">
        <f t="shared" si="5"/>
        <v>43848000</v>
      </c>
      <c r="AI126" s="21">
        <f t="shared" si="6"/>
        <v>0.69161974163630346</v>
      </c>
      <c r="AJ126" s="20">
        <f t="shared" si="7"/>
        <v>0.69161974163630346</v>
      </c>
      <c r="AK126" s="9"/>
    </row>
    <row r="127" spans="1:39" hidden="1">
      <c r="A127" s="3">
        <v>125</v>
      </c>
      <c r="B127" s="12"/>
      <c r="C127" s="13"/>
      <c r="D127" s="13"/>
      <c r="E127" s="13"/>
      <c r="F127" s="13"/>
      <c r="G127" s="13"/>
      <c r="H127" s="28"/>
      <c r="I127" s="24" t="s">
        <v>134</v>
      </c>
      <c r="J127" s="24" t="s">
        <v>1387</v>
      </c>
      <c r="K127" s="26" t="s">
        <v>658</v>
      </c>
      <c r="L127" s="26" t="s">
        <v>448</v>
      </c>
      <c r="M127" s="66">
        <f>IFERROR(VLOOKUP($L127,[1]Consolidated!$C$9:$AC$341,27,0),0)</f>
        <v>35139000</v>
      </c>
      <c r="N127" s="66">
        <f>IFERROR(VLOOKUP($L127,[1]Consolidated!$C$9:$AC$341,5,0),0)</f>
        <v>140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4">
        <f>(VLOOKUP($O$2,Prices!$E$3:$F$17,2,FALSE)*Urban!O127)+(VLOOKUP($P$2,Prices!$E$3:$F$17,2,FALSE)*Urban!P127)+(VLOOKUP($Q$2,Prices!$E$3:$F$17,2,FALSE)*Urban!Q127)+(VLOOKUP($R$2,Prices!$E$3:$F$17,2,FALSE)*Urban!R127)+(VLOOKUP($S$2,Prices!$E$3:$F$17,2,FALSE)*Urban!S127)+(VLOOKUP($T$2,Prices!$E$3:$F$17,2,FALSE)*Urban!T127)+(VLOOKUP($U$2,Prices!$E$3:$F$17,2,FALSE)*Urban!U127)+(VLOOKUP($V$2,Prices!$E$3:$F$17,2,FALSE)*Urban!V127)+(VLOOKUP($W$2,Prices!$E$3:$F$17,2,FALSE)*Urban!W127)+(VLOOKUP($X$2,Prices!$E$3:$F$17,2,FALSE)*Urban!X127)+(VLOOKUP($Y$2,Prices!$E$3:$F$17,2,FALSE)*Urban!Y127)+(VLOOKUP($Z$2,Prices!$E$3:$F$17,2,FALSE)*Urban!Z127)+(VLOOKUP($AA$2,Prices!$E$3:$F$17,2,FALSE)*Urban!AA127)+(VLOOKUP($AB$2,Prices!$E$3:$F$17,2,FALSE)*Urban!AB127)+M127</f>
        <v>35139000</v>
      </c>
      <c r="AD127" s="69">
        <v>11973150</v>
      </c>
      <c r="AE127" s="18"/>
      <c r="AF127" s="4">
        <f t="shared" si="4"/>
        <v>11973150</v>
      </c>
      <c r="AG127" s="4"/>
      <c r="AH127" s="16">
        <f t="shared" si="5"/>
        <v>11973150</v>
      </c>
      <c r="AI127" s="21">
        <f t="shared" si="6"/>
        <v>0.34073678818406899</v>
      </c>
      <c r="AJ127" s="20">
        <f t="shared" si="7"/>
        <v>0.34073678818406899</v>
      </c>
      <c r="AK127" s="9"/>
    </row>
    <row r="128" spans="1:39" hidden="1">
      <c r="A128" s="3">
        <v>126</v>
      </c>
      <c r="B128" s="12"/>
      <c r="C128" s="13"/>
      <c r="D128" s="13"/>
      <c r="E128" s="13"/>
      <c r="F128" s="13"/>
      <c r="G128" s="13"/>
      <c r="H128" s="28"/>
      <c r="I128" s="39" t="s">
        <v>139</v>
      </c>
      <c r="J128" s="24" t="s">
        <v>1388</v>
      </c>
      <c r="K128" s="26" t="s">
        <v>660</v>
      </c>
      <c r="L128" s="26" t="s">
        <v>453</v>
      </c>
      <c r="M128" s="41">
        <f>IFERROR(VLOOKUP($L128,'[2]Top WH -National'!$D$9:$AC$124,26,0),0)</f>
        <v>138932000</v>
      </c>
      <c r="N128" s="41">
        <f>IFERROR(VLOOKUP($L128,'[2]Top WH -National'!$D$9:$AC$124,4,0),0)</f>
        <v>635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4">
        <f>(VLOOKUP($O$2,Prices!$E$3:$F$17,2,FALSE)*Urban!O128)+(VLOOKUP($P$2,Prices!$E$3:$F$17,2,FALSE)*Urban!P128)+(VLOOKUP($Q$2,Prices!$E$3:$F$17,2,FALSE)*Urban!Q128)+(VLOOKUP($R$2,Prices!$E$3:$F$17,2,FALSE)*Urban!R128)+(VLOOKUP($S$2,Prices!$E$3:$F$17,2,FALSE)*Urban!S128)+(VLOOKUP($T$2,Prices!$E$3:$F$17,2,FALSE)*Urban!T128)+(VLOOKUP($U$2,Prices!$E$3:$F$17,2,FALSE)*Urban!U128)+(VLOOKUP($V$2,Prices!$E$3:$F$17,2,FALSE)*Urban!V128)+(VLOOKUP($W$2,Prices!$E$3:$F$17,2,FALSE)*Urban!W128)+(VLOOKUP($X$2,Prices!$E$3:$F$17,2,FALSE)*Urban!X128)+(VLOOKUP($Y$2,Prices!$E$3:$F$17,2,FALSE)*Urban!Y128)+(VLOOKUP($Z$2,Prices!$E$3:$F$17,2,FALSE)*Urban!Z128)+(VLOOKUP($AA$2,Prices!$E$3:$F$17,2,FALSE)*Urban!AA128)+(VLOOKUP($AB$2,Prices!$E$3:$F$17,2,FALSE)*Urban!AB128)+M128</f>
        <v>138932000</v>
      </c>
      <c r="AD128" s="18"/>
      <c r="AE128" s="18"/>
      <c r="AF128" s="4">
        <f t="shared" si="4"/>
        <v>0</v>
      </c>
      <c r="AG128" s="4"/>
      <c r="AH128" s="16">
        <f t="shared" si="5"/>
        <v>0</v>
      </c>
      <c r="AI128" s="21">
        <f t="shared" si="6"/>
        <v>0</v>
      </c>
      <c r="AJ128" s="20">
        <f t="shared" si="7"/>
        <v>0</v>
      </c>
      <c r="AK128" s="9"/>
      <c r="AM128" s="1">
        <v>0</v>
      </c>
    </row>
    <row r="129" spans="1:37" hidden="1">
      <c r="A129" s="3">
        <v>127</v>
      </c>
      <c r="B129" s="12"/>
      <c r="C129" s="13"/>
      <c r="D129" s="13"/>
      <c r="E129" s="13"/>
      <c r="F129" s="13"/>
      <c r="G129" s="13"/>
      <c r="H129" s="28"/>
      <c r="I129" s="25" t="s">
        <v>140</v>
      </c>
      <c r="J129" s="24" t="s">
        <v>1388</v>
      </c>
      <c r="K129" s="26" t="s">
        <v>660</v>
      </c>
      <c r="L129" s="26" t="s">
        <v>454</v>
      </c>
      <c r="M129" s="66">
        <f>IFERROR(VLOOKUP($L129,[1]Consolidated!$C$9:$AC$341,27,0),0)</f>
        <v>20255500</v>
      </c>
      <c r="N129" s="66">
        <f>IFERROR(VLOOKUP($L129,[1]Consolidated!$C$9:$AC$341,5,0),0)</f>
        <v>90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4">
        <f>(VLOOKUP($O$2,Prices!$E$3:$F$17,2,FALSE)*Urban!O129)+(VLOOKUP($P$2,Prices!$E$3:$F$17,2,FALSE)*Urban!P129)+(VLOOKUP($Q$2,Prices!$E$3:$F$17,2,FALSE)*Urban!Q129)+(VLOOKUP($R$2,Prices!$E$3:$F$17,2,FALSE)*Urban!R129)+(VLOOKUP($S$2,Prices!$E$3:$F$17,2,FALSE)*Urban!S129)+(VLOOKUP($T$2,Prices!$E$3:$F$17,2,FALSE)*Urban!T129)+(VLOOKUP($U$2,Prices!$E$3:$F$17,2,FALSE)*Urban!U129)+(VLOOKUP($V$2,Prices!$E$3:$F$17,2,FALSE)*Urban!V129)+(VLOOKUP($W$2,Prices!$E$3:$F$17,2,FALSE)*Urban!W129)+(VLOOKUP($X$2,Prices!$E$3:$F$17,2,FALSE)*Urban!X129)+(VLOOKUP($Y$2,Prices!$E$3:$F$17,2,FALSE)*Urban!Y129)+(VLOOKUP($Z$2,Prices!$E$3:$F$17,2,FALSE)*Urban!Z129)+(VLOOKUP($AA$2,Prices!$E$3:$F$17,2,FALSE)*Urban!AA129)+(VLOOKUP($AB$2,Prices!$E$3:$F$17,2,FALSE)*Urban!AB129)+M129</f>
        <v>20255500</v>
      </c>
      <c r="AD129" s="18"/>
      <c r="AE129" s="18"/>
      <c r="AF129" s="4">
        <f t="shared" si="4"/>
        <v>0</v>
      </c>
      <c r="AG129" s="4"/>
      <c r="AH129" s="16">
        <f t="shared" si="5"/>
        <v>0</v>
      </c>
      <c r="AI129" s="21">
        <f t="shared" si="6"/>
        <v>0</v>
      </c>
      <c r="AJ129" s="20">
        <f t="shared" si="7"/>
        <v>0</v>
      </c>
      <c r="AK129" s="9"/>
    </row>
    <row r="130" spans="1:37" hidden="1">
      <c r="A130" s="3">
        <v>128</v>
      </c>
      <c r="B130" s="12"/>
      <c r="C130" s="13"/>
      <c r="D130" s="13"/>
      <c r="E130" s="13"/>
      <c r="F130" s="13"/>
      <c r="G130" s="13"/>
      <c r="H130" s="28"/>
      <c r="I130" s="24" t="s">
        <v>141</v>
      </c>
      <c r="J130" s="24" t="s">
        <v>1388</v>
      </c>
      <c r="K130" s="26" t="s">
        <v>660</v>
      </c>
      <c r="L130" s="26" t="s">
        <v>455</v>
      </c>
      <c r="M130" s="66">
        <f>IFERROR(VLOOKUP($L130,[1]Consolidated!$C$9:$AC$341,27,0),0)</f>
        <v>19057500</v>
      </c>
      <c r="N130" s="66">
        <f>IFERROR(VLOOKUP($L130,[1]Consolidated!$C$9:$AC$341,5,0),0)</f>
        <v>80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4">
        <f>(VLOOKUP($O$2,Prices!$E$3:$F$17,2,FALSE)*Urban!O130)+(VLOOKUP($P$2,Prices!$E$3:$F$17,2,FALSE)*Urban!P130)+(VLOOKUP($Q$2,Prices!$E$3:$F$17,2,FALSE)*Urban!Q130)+(VLOOKUP($R$2,Prices!$E$3:$F$17,2,FALSE)*Urban!R130)+(VLOOKUP($S$2,Prices!$E$3:$F$17,2,FALSE)*Urban!S130)+(VLOOKUP($T$2,Prices!$E$3:$F$17,2,FALSE)*Urban!T130)+(VLOOKUP($U$2,Prices!$E$3:$F$17,2,FALSE)*Urban!U130)+(VLOOKUP($V$2,Prices!$E$3:$F$17,2,FALSE)*Urban!V130)+(VLOOKUP($W$2,Prices!$E$3:$F$17,2,FALSE)*Urban!W130)+(VLOOKUP($X$2,Prices!$E$3:$F$17,2,FALSE)*Urban!X130)+(VLOOKUP($Y$2,Prices!$E$3:$F$17,2,FALSE)*Urban!Y130)+(VLOOKUP($Z$2,Prices!$E$3:$F$17,2,FALSE)*Urban!Z130)+(VLOOKUP($AA$2,Prices!$E$3:$F$17,2,FALSE)*Urban!AA130)+(VLOOKUP($AB$2,Prices!$E$3:$F$17,2,FALSE)*Urban!AB130)+M130</f>
        <v>19057500</v>
      </c>
      <c r="AD130" s="18"/>
      <c r="AE130" s="18"/>
      <c r="AF130" s="4">
        <f t="shared" si="4"/>
        <v>0</v>
      </c>
      <c r="AG130" s="4"/>
      <c r="AH130" s="16">
        <f t="shared" si="5"/>
        <v>0</v>
      </c>
      <c r="AI130" s="21">
        <f t="shared" si="6"/>
        <v>0</v>
      </c>
      <c r="AJ130" s="20">
        <f t="shared" si="7"/>
        <v>0</v>
      </c>
      <c r="AK130" s="9"/>
    </row>
    <row r="131" spans="1:37" hidden="1">
      <c r="A131" s="3">
        <v>129</v>
      </c>
      <c r="B131" s="12"/>
      <c r="C131" s="13"/>
      <c r="D131" s="13"/>
      <c r="E131" s="13"/>
      <c r="F131" s="13"/>
      <c r="G131" s="13"/>
      <c r="H131" s="28"/>
      <c r="I131" s="24" t="s">
        <v>142</v>
      </c>
      <c r="J131" s="24" t="s">
        <v>1388</v>
      </c>
      <c r="K131" s="26" t="s">
        <v>660</v>
      </c>
      <c r="L131" s="26" t="s">
        <v>456</v>
      </c>
      <c r="M131" s="66">
        <f>IFERROR(VLOOKUP($L131,[1]Consolidated!$C$9:$AC$341,27,0),0)</f>
        <v>20293500</v>
      </c>
      <c r="N131" s="66">
        <f>IFERROR(VLOOKUP($L131,[1]Consolidated!$C$9:$AC$341,5,0),0)</f>
        <v>90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4">
        <f>(VLOOKUP($O$2,Prices!$E$3:$F$17,2,FALSE)*Urban!O131)+(VLOOKUP($P$2,Prices!$E$3:$F$17,2,FALSE)*Urban!P131)+(VLOOKUP($Q$2,Prices!$E$3:$F$17,2,FALSE)*Urban!Q131)+(VLOOKUP($R$2,Prices!$E$3:$F$17,2,FALSE)*Urban!R131)+(VLOOKUP($S$2,Prices!$E$3:$F$17,2,FALSE)*Urban!S131)+(VLOOKUP($T$2,Prices!$E$3:$F$17,2,FALSE)*Urban!T131)+(VLOOKUP($U$2,Prices!$E$3:$F$17,2,FALSE)*Urban!U131)+(VLOOKUP($V$2,Prices!$E$3:$F$17,2,FALSE)*Urban!V131)+(VLOOKUP($W$2,Prices!$E$3:$F$17,2,FALSE)*Urban!W131)+(VLOOKUP($X$2,Prices!$E$3:$F$17,2,FALSE)*Urban!X131)+(VLOOKUP($Y$2,Prices!$E$3:$F$17,2,FALSE)*Urban!Y131)+(VLOOKUP($Z$2,Prices!$E$3:$F$17,2,FALSE)*Urban!Z131)+(VLOOKUP($AA$2,Prices!$E$3:$F$17,2,FALSE)*Urban!AA131)+(VLOOKUP($AB$2,Prices!$E$3:$F$17,2,FALSE)*Urban!AB131)+M131</f>
        <v>20293500</v>
      </c>
      <c r="AD131" s="18"/>
      <c r="AE131" s="18"/>
      <c r="AF131" s="4">
        <f t="shared" ref="AF131:AF194" si="8">AD131-AE131</f>
        <v>0</v>
      </c>
      <c r="AG131" s="4"/>
      <c r="AH131" s="16">
        <f t="shared" ref="AH131:AH194" si="9">AD131+AG131</f>
        <v>0</v>
      </c>
      <c r="AI131" s="21">
        <f t="shared" ref="AI131:AI194" si="10">AH131/M131</f>
        <v>0</v>
      </c>
      <c r="AJ131" s="20">
        <f t="shared" ref="AJ131:AJ194" si="11">AH131/AC131</f>
        <v>0</v>
      </c>
      <c r="AK131" s="9"/>
    </row>
    <row r="132" spans="1:37" hidden="1">
      <c r="A132" s="3">
        <v>130</v>
      </c>
      <c r="B132" s="12"/>
      <c r="C132" s="13"/>
      <c r="D132" s="13"/>
      <c r="E132" s="13"/>
      <c r="F132" s="13"/>
      <c r="G132" s="13"/>
      <c r="H132" s="28"/>
      <c r="I132" s="24" t="s">
        <v>143</v>
      </c>
      <c r="J132" s="24" t="s">
        <v>1388</v>
      </c>
      <c r="K132" s="26" t="s">
        <v>660</v>
      </c>
      <c r="L132" s="26" t="s">
        <v>457</v>
      </c>
      <c r="M132" s="66">
        <f>IFERROR(VLOOKUP($L132,[1]Consolidated!$C$9:$AC$341,27,0),0)</f>
        <v>20255500</v>
      </c>
      <c r="N132" s="66">
        <f>IFERROR(VLOOKUP($L132,[1]Consolidated!$C$9:$AC$341,5,0),0)</f>
        <v>90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4">
        <f>(VLOOKUP($O$2,Prices!$E$3:$F$17,2,FALSE)*Urban!O132)+(VLOOKUP($P$2,Prices!$E$3:$F$17,2,FALSE)*Urban!P132)+(VLOOKUP($Q$2,Prices!$E$3:$F$17,2,FALSE)*Urban!Q132)+(VLOOKUP($R$2,Prices!$E$3:$F$17,2,FALSE)*Urban!R132)+(VLOOKUP($S$2,Prices!$E$3:$F$17,2,FALSE)*Urban!S132)+(VLOOKUP($T$2,Prices!$E$3:$F$17,2,FALSE)*Urban!T132)+(VLOOKUP($U$2,Prices!$E$3:$F$17,2,FALSE)*Urban!U132)+(VLOOKUP($V$2,Prices!$E$3:$F$17,2,FALSE)*Urban!V132)+(VLOOKUP($W$2,Prices!$E$3:$F$17,2,FALSE)*Urban!W132)+(VLOOKUP($X$2,Prices!$E$3:$F$17,2,FALSE)*Urban!X132)+(VLOOKUP($Y$2,Prices!$E$3:$F$17,2,FALSE)*Urban!Y132)+(VLOOKUP($Z$2,Prices!$E$3:$F$17,2,FALSE)*Urban!Z132)+(VLOOKUP($AA$2,Prices!$E$3:$F$17,2,FALSE)*Urban!AA132)+(VLOOKUP($AB$2,Prices!$E$3:$F$17,2,FALSE)*Urban!AB132)+M132</f>
        <v>20255500</v>
      </c>
      <c r="AD132" s="18"/>
      <c r="AE132" s="18"/>
      <c r="AF132" s="4">
        <f t="shared" si="8"/>
        <v>0</v>
      </c>
      <c r="AG132" s="4"/>
      <c r="AH132" s="16">
        <f t="shared" si="9"/>
        <v>0</v>
      </c>
      <c r="AI132" s="21">
        <f t="shared" si="10"/>
        <v>0</v>
      </c>
      <c r="AJ132" s="20">
        <f t="shared" si="11"/>
        <v>0</v>
      </c>
      <c r="AK132" s="9"/>
    </row>
    <row r="133" spans="1:37" hidden="1">
      <c r="A133" s="3">
        <v>131</v>
      </c>
      <c r="B133" s="12"/>
      <c r="C133" s="13"/>
      <c r="D133" s="13"/>
      <c r="E133" s="13"/>
      <c r="F133" s="13"/>
      <c r="G133" s="13"/>
      <c r="H133" s="28"/>
      <c r="I133" s="24" t="s">
        <v>144</v>
      </c>
      <c r="J133" s="24" t="s">
        <v>1388</v>
      </c>
      <c r="K133" s="26" t="s">
        <v>660</v>
      </c>
      <c r="L133" s="26" t="s">
        <v>458</v>
      </c>
      <c r="M133" s="66">
        <f>IFERROR(VLOOKUP($L133,[1]Consolidated!$C$9:$AC$341,27,0),0)</f>
        <v>19748500</v>
      </c>
      <c r="N133" s="66">
        <f>IFERROR(VLOOKUP($L133,[1]Consolidated!$C$9:$AC$341,5,0),0)</f>
        <v>90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4">
        <f>(VLOOKUP($O$2,Prices!$E$3:$F$17,2,FALSE)*Urban!O133)+(VLOOKUP($P$2,Prices!$E$3:$F$17,2,FALSE)*Urban!P133)+(VLOOKUP($Q$2,Prices!$E$3:$F$17,2,FALSE)*Urban!Q133)+(VLOOKUP($R$2,Prices!$E$3:$F$17,2,FALSE)*Urban!R133)+(VLOOKUP($S$2,Prices!$E$3:$F$17,2,FALSE)*Urban!S133)+(VLOOKUP($T$2,Prices!$E$3:$F$17,2,FALSE)*Urban!T133)+(VLOOKUP($U$2,Prices!$E$3:$F$17,2,FALSE)*Urban!U133)+(VLOOKUP($V$2,Prices!$E$3:$F$17,2,FALSE)*Urban!V133)+(VLOOKUP($W$2,Prices!$E$3:$F$17,2,FALSE)*Urban!W133)+(VLOOKUP($X$2,Prices!$E$3:$F$17,2,FALSE)*Urban!X133)+(VLOOKUP($Y$2,Prices!$E$3:$F$17,2,FALSE)*Urban!Y133)+(VLOOKUP($Z$2,Prices!$E$3:$F$17,2,FALSE)*Urban!Z133)+(VLOOKUP($AA$2,Prices!$E$3:$F$17,2,FALSE)*Urban!AA133)+(VLOOKUP($AB$2,Prices!$E$3:$F$17,2,FALSE)*Urban!AB133)+M133</f>
        <v>19748500</v>
      </c>
      <c r="AD133" s="18"/>
      <c r="AE133" s="18"/>
      <c r="AF133" s="4">
        <f t="shared" si="8"/>
        <v>0</v>
      </c>
      <c r="AG133" s="4"/>
      <c r="AH133" s="16">
        <f t="shared" si="9"/>
        <v>0</v>
      </c>
      <c r="AI133" s="21">
        <f t="shared" si="10"/>
        <v>0</v>
      </c>
      <c r="AJ133" s="20">
        <f t="shared" si="11"/>
        <v>0</v>
      </c>
      <c r="AK133" s="9"/>
    </row>
    <row r="134" spans="1:37" hidden="1">
      <c r="A134" s="3">
        <v>132</v>
      </c>
      <c r="B134" s="12"/>
      <c r="C134" s="13"/>
      <c r="D134" s="13"/>
      <c r="E134" s="13"/>
      <c r="F134" s="13"/>
      <c r="G134" s="13"/>
      <c r="H134" s="28"/>
      <c r="I134" s="24" t="s">
        <v>145</v>
      </c>
      <c r="J134" s="24" t="s">
        <v>1388</v>
      </c>
      <c r="K134" s="26" t="s">
        <v>660</v>
      </c>
      <c r="L134" s="26" t="s">
        <v>459</v>
      </c>
      <c r="M134" s="66">
        <f>IFERROR(VLOOKUP($L134,[1]Consolidated!$C$9:$AC$341,27,0),0)</f>
        <v>19935500</v>
      </c>
      <c r="N134" s="66">
        <f>IFERROR(VLOOKUP($L134,[1]Consolidated!$C$9:$AC$341,5,0),0)</f>
        <v>90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4">
        <f>(VLOOKUP($O$2,Prices!$E$3:$F$17,2,FALSE)*Urban!O134)+(VLOOKUP($P$2,Prices!$E$3:$F$17,2,FALSE)*Urban!P134)+(VLOOKUP($Q$2,Prices!$E$3:$F$17,2,FALSE)*Urban!Q134)+(VLOOKUP($R$2,Prices!$E$3:$F$17,2,FALSE)*Urban!R134)+(VLOOKUP($S$2,Prices!$E$3:$F$17,2,FALSE)*Urban!S134)+(VLOOKUP($T$2,Prices!$E$3:$F$17,2,FALSE)*Urban!T134)+(VLOOKUP($U$2,Prices!$E$3:$F$17,2,FALSE)*Urban!U134)+(VLOOKUP($V$2,Prices!$E$3:$F$17,2,FALSE)*Urban!V134)+(VLOOKUP($W$2,Prices!$E$3:$F$17,2,FALSE)*Urban!W134)+(VLOOKUP($X$2,Prices!$E$3:$F$17,2,FALSE)*Urban!X134)+(VLOOKUP($Y$2,Prices!$E$3:$F$17,2,FALSE)*Urban!Y134)+(VLOOKUP($Z$2,Prices!$E$3:$F$17,2,FALSE)*Urban!Z134)+(VLOOKUP($AA$2,Prices!$E$3:$F$17,2,FALSE)*Urban!AA134)+(VLOOKUP($AB$2,Prices!$E$3:$F$17,2,FALSE)*Urban!AB134)+M134</f>
        <v>19935500</v>
      </c>
      <c r="AD134" s="18"/>
      <c r="AE134" s="18"/>
      <c r="AF134" s="4">
        <f t="shared" si="8"/>
        <v>0</v>
      </c>
      <c r="AG134" s="4"/>
      <c r="AH134" s="16">
        <f t="shared" si="9"/>
        <v>0</v>
      </c>
      <c r="AI134" s="21">
        <f t="shared" si="10"/>
        <v>0</v>
      </c>
      <c r="AJ134" s="20">
        <f t="shared" si="11"/>
        <v>0</v>
      </c>
      <c r="AK134" s="19"/>
    </row>
    <row r="135" spans="1:37" hidden="1">
      <c r="A135" s="3">
        <v>133</v>
      </c>
      <c r="B135" s="12"/>
      <c r="C135" s="13"/>
      <c r="D135" s="13"/>
      <c r="E135" s="13"/>
      <c r="F135" s="13"/>
      <c r="G135" s="13"/>
      <c r="H135" s="28"/>
      <c r="I135" s="39" t="s">
        <v>146</v>
      </c>
      <c r="J135" s="24" t="s">
        <v>1388</v>
      </c>
      <c r="K135" s="26" t="s">
        <v>660</v>
      </c>
      <c r="L135" s="26" t="s">
        <v>460</v>
      </c>
      <c r="M135" s="41">
        <f>IFERROR(VLOOKUP($L135,'[2]Top WH -National'!$D$9:$AC$124,26,0),0)</f>
        <v>141379000</v>
      </c>
      <c r="N135" s="41">
        <f>IFERROR(VLOOKUP($L135,'[2]Top WH -National'!$D$9:$AC$124,4,0),0)</f>
        <v>656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4">
        <f>(VLOOKUP($O$2,Prices!$E$3:$F$17,2,FALSE)*Urban!O135)+(VLOOKUP($P$2,Prices!$E$3:$F$17,2,FALSE)*Urban!P135)+(VLOOKUP($Q$2,Prices!$E$3:$F$17,2,FALSE)*Urban!Q135)+(VLOOKUP($R$2,Prices!$E$3:$F$17,2,FALSE)*Urban!R135)+(VLOOKUP($S$2,Prices!$E$3:$F$17,2,FALSE)*Urban!S135)+(VLOOKUP($T$2,Prices!$E$3:$F$17,2,FALSE)*Urban!T135)+(VLOOKUP($U$2,Prices!$E$3:$F$17,2,FALSE)*Urban!U135)+(VLOOKUP($V$2,Prices!$E$3:$F$17,2,FALSE)*Urban!V135)+(VLOOKUP($W$2,Prices!$E$3:$F$17,2,FALSE)*Urban!W135)+(VLOOKUP($X$2,Prices!$E$3:$F$17,2,FALSE)*Urban!X135)+(VLOOKUP($Y$2,Prices!$E$3:$F$17,2,FALSE)*Urban!Y135)+(VLOOKUP($Z$2,Prices!$E$3:$F$17,2,FALSE)*Urban!Z135)+(VLOOKUP($AA$2,Prices!$E$3:$F$17,2,FALSE)*Urban!AA135)+(VLOOKUP($AB$2,Prices!$E$3:$F$17,2,FALSE)*Urban!AB135)+M135</f>
        <v>141379000</v>
      </c>
      <c r="AD135" s="18"/>
      <c r="AE135" s="18"/>
      <c r="AF135" s="4">
        <f t="shared" si="8"/>
        <v>0</v>
      </c>
      <c r="AG135" s="4"/>
      <c r="AH135" s="16">
        <f t="shared" si="9"/>
        <v>0</v>
      </c>
      <c r="AI135" s="21">
        <f t="shared" si="10"/>
        <v>0</v>
      </c>
      <c r="AJ135" s="20">
        <f t="shared" si="11"/>
        <v>0</v>
      </c>
      <c r="AK135" s="9"/>
    </row>
    <row r="136" spans="1:37" hidden="1">
      <c r="A136" s="3">
        <v>134</v>
      </c>
      <c r="B136" s="12"/>
      <c r="C136" s="13"/>
      <c r="D136" s="13"/>
      <c r="E136" s="13"/>
      <c r="F136" s="13"/>
      <c r="G136" s="13"/>
      <c r="H136" s="28"/>
      <c r="I136" s="24" t="s">
        <v>147</v>
      </c>
      <c r="J136" s="24" t="s">
        <v>1388</v>
      </c>
      <c r="K136" s="26" t="s">
        <v>660</v>
      </c>
      <c r="L136" s="26" t="s">
        <v>461</v>
      </c>
      <c r="M136" s="66">
        <f>IFERROR(VLOOKUP($L136,[1]Consolidated!$C$9:$AC$341,27,0),0)</f>
        <v>30775000</v>
      </c>
      <c r="N136" s="66">
        <f>IFERROR(VLOOKUP($L136,[1]Consolidated!$C$9:$AC$341,5,0),0)</f>
        <v>140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4">
        <f>(VLOOKUP($O$2,Prices!$E$3:$F$17,2,FALSE)*Urban!O136)+(VLOOKUP($P$2,Prices!$E$3:$F$17,2,FALSE)*Urban!P136)+(VLOOKUP($Q$2,Prices!$E$3:$F$17,2,FALSE)*Urban!Q136)+(VLOOKUP($R$2,Prices!$E$3:$F$17,2,FALSE)*Urban!R136)+(VLOOKUP($S$2,Prices!$E$3:$F$17,2,FALSE)*Urban!S136)+(VLOOKUP($T$2,Prices!$E$3:$F$17,2,FALSE)*Urban!T136)+(VLOOKUP($U$2,Prices!$E$3:$F$17,2,FALSE)*Urban!U136)+(VLOOKUP($V$2,Prices!$E$3:$F$17,2,FALSE)*Urban!V136)+(VLOOKUP($W$2,Prices!$E$3:$F$17,2,FALSE)*Urban!W136)+(VLOOKUP($X$2,Prices!$E$3:$F$17,2,FALSE)*Urban!X136)+(VLOOKUP($Y$2,Prices!$E$3:$F$17,2,FALSE)*Urban!Y136)+(VLOOKUP($Z$2,Prices!$E$3:$F$17,2,FALSE)*Urban!Z136)+(VLOOKUP($AA$2,Prices!$E$3:$F$17,2,FALSE)*Urban!AA136)+(VLOOKUP($AB$2,Prices!$E$3:$F$17,2,FALSE)*Urban!AB136)+M136</f>
        <v>30775000</v>
      </c>
      <c r="AD136" s="18"/>
      <c r="AE136" s="18"/>
      <c r="AF136" s="4">
        <f t="shared" si="8"/>
        <v>0</v>
      </c>
      <c r="AG136" s="4"/>
      <c r="AH136" s="16">
        <f t="shared" si="9"/>
        <v>0</v>
      </c>
      <c r="AI136" s="21">
        <f t="shared" si="10"/>
        <v>0</v>
      </c>
      <c r="AJ136" s="20">
        <f t="shared" si="11"/>
        <v>0</v>
      </c>
      <c r="AK136" s="9"/>
    </row>
    <row r="137" spans="1:37" hidden="1">
      <c r="A137" s="3">
        <v>135</v>
      </c>
      <c r="B137" s="12"/>
      <c r="C137" s="13"/>
      <c r="D137" s="13"/>
      <c r="E137" s="13"/>
      <c r="F137" s="13"/>
      <c r="G137" s="13"/>
      <c r="H137" s="28"/>
      <c r="I137" s="24" t="s">
        <v>148</v>
      </c>
      <c r="J137" s="24" t="s">
        <v>1388</v>
      </c>
      <c r="K137" s="26" t="s">
        <v>660</v>
      </c>
      <c r="L137" s="26" t="s">
        <v>462</v>
      </c>
      <c r="M137" s="66">
        <f>IFERROR(VLOOKUP($L137,[1]Consolidated!$C$9:$AC$341,27,0),0)</f>
        <v>25175000</v>
      </c>
      <c r="N137" s="66">
        <f>IFERROR(VLOOKUP($L137,[1]Consolidated!$C$9:$AC$341,5,0),0)</f>
        <v>120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4">
        <f>(VLOOKUP($O$2,Prices!$E$3:$F$17,2,FALSE)*Urban!O137)+(VLOOKUP($P$2,Prices!$E$3:$F$17,2,FALSE)*Urban!P137)+(VLOOKUP($Q$2,Prices!$E$3:$F$17,2,FALSE)*Urban!Q137)+(VLOOKUP($R$2,Prices!$E$3:$F$17,2,FALSE)*Urban!R137)+(VLOOKUP($S$2,Prices!$E$3:$F$17,2,FALSE)*Urban!S137)+(VLOOKUP($T$2,Prices!$E$3:$F$17,2,FALSE)*Urban!T137)+(VLOOKUP($U$2,Prices!$E$3:$F$17,2,FALSE)*Urban!U137)+(VLOOKUP($V$2,Prices!$E$3:$F$17,2,FALSE)*Urban!V137)+(VLOOKUP($W$2,Prices!$E$3:$F$17,2,FALSE)*Urban!W137)+(VLOOKUP($X$2,Prices!$E$3:$F$17,2,FALSE)*Urban!X137)+(VLOOKUP($Y$2,Prices!$E$3:$F$17,2,FALSE)*Urban!Y137)+(VLOOKUP($Z$2,Prices!$E$3:$F$17,2,FALSE)*Urban!Z137)+(VLOOKUP($AA$2,Prices!$E$3:$F$17,2,FALSE)*Urban!AA137)+(VLOOKUP($AB$2,Prices!$E$3:$F$17,2,FALSE)*Urban!AB137)+M137</f>
        <v>25175000</v>
      </c>
      <c r="AD137" s="18"/>
      <c r="AE137" s="18"/>
      <c r="AF137" s="4">
        <f t="shared" si="8"/>
        <v>0</v>
      </c>
      <c r="AG137" s="4"/>
      <c r="AH137" s="16">
        <f t="shared" si="9"/>
        <v>0</v>
      </c>
      <c r="AI137" s="21">
        <f t="shared" si="10"/>
        <v>0</v>
      </c>
      <c r="AJ137" s="20">
        <f t="shared" si="11"/>
        <v>0</v>
      </c>
      <c r="AK137" s="9"/>
    </row>
    <row r="138" spans="1:37" hidden="1">
      <c r="A138" s="3">
        <v>136</v>
      </c>
      <c r="B138" s="12"/>
      <c r="C138" s="13"/>
      <c r="D138" s="13"/>
      <c r="E138" s="13"/>
      <c r="F138" s="13"/>
      <c r="G138" s="13"/>
      <c r="H138" s="28"/>
      <c r="I138" s="39" t="s">
        <v>149</v>
      </c>
      <c r="J138" s="24" t="s">
        <v>1388</v>
      </c>
      <c r="K138" s="26" t="s">
        <v>660</v>
      </c>
      <c r="L138" s="26" t="s">
        <v>463</v>
      </c>
      <c r="M138" s="41">
        <f>IFERROR(VLOOKUP($L138,'[2]Top WH -National'!$D$9:$AC$124,26,0),0)</f>
        <v>61937000</v>
      </c>
      <c r="N138" s="41">
        <f>IFERROR(VLOOKUP($L138,'[2]Top WH -National'!$D$9:$AC$124,4,0),0)</f>
        <v>278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4">
        <f>(VLOOKUP($O$2,Prices!$E$3:$F$17,2,FALSE)*Urban!O138)+(VLOOKUP($P$2,Prices!$E$3:$F$17,2,FALSE)*Urban!P138)+(VLOOKUP($Q$2,Prices!$E$3:$F$17,2,FALSE)*Urban!Q138)+(VLOOKUP($R$2,Prices!$E$3:$F$17,2,FALSE)*Urban!R138)+(VLOOKUP($S$2,Prices!$E$3:$F$17,2,FALSE)*Urban!S138)+(VLOOKUP($T$2,Prices!$E$3:$F$17,2,FALSE)*Urban!T138)+(VLOOKUP($U$2,Prices!$E$3:$F$17,2,FALSE)*Urban!U138)+(VLOOKUP($V$2,Prices!$E$3:$F$17,2,FALSE)*Urban!V138)+(VLOOKUP($W$2,Prices!$E$3:$F$17,2,FALSE)*Urban!W138)+(VLOOKUP($X$2,Prices!$E$3:$F$17,2,FALSE)*Urban!X138)+(VLOOKUP($Y$2,Prices!$E$3:$F$17,2,FALSE)*Urban!Y138)+(VLOOKUP($Z$2,Prices!$E$3:$F$17,2,FALSE)*Urban!Z138)+(VLOOKUP($AA$2,Prices!$E$3:$F$17,2,FALSE)*Urban!AA138)+(VLOOKUP($AB$2,Prices!$E$3:$F$17,2,FALSE)*Urban!AB138)+M138</f>
        <v>61937000</v>
      </c>
      <c r="AD138" s="18"/>
      <c r="AE138" s="18"/>
      <c r="AF138" s="4">
        <f t="shared" si="8"/>
        <v>0</v>
      </c>
      <c r="AG138" s="4"/>
      <c r="AH138" s="16">
        <f t="shared" si="9"/>
        <v>0</v>
      </c>
      <c r="AI138" s="21">
        <f t="shared" si="10"/>
        <v>0</v>
      </c>
      <c r="AJ138" s="20">
        <f t="shared" si="11"/>
        <v>0</v>
      </c>
      <c r="AK138" s="9"/>
    </row>
    <row r="139" spans="1:37" hidden="1">
      <c r="A139" s="3">
        <v>137</v>
      </c>
      <c r="B139" s="12"/>
      <c r="C139" s="13"/>
      <c r="D139" s="13"/>
      <c r="E139" s="13"/>
      <c r="F139" s="13"/>
      <c r="G139" s="13"/>
      <c r="H139" s="28"/>
      <c r="I139" s="24" t="s">
        <v>150</v>
      </c>
      <c r="J139" s="24" t="s">
        <v>1388</v>
      </c>
      <c r="K139" s="26" t="s">
        <v>660</v>
      </c>
      <c r="L139" s="26" t="s">
        <v>464</v>
      </c>
      <c r="M139" s="66">
        <f>IFERROR(VLOOKUP($L139,[1]Consolidated!$C$9:$AC$341,27,0),0)</f>
        <v>26432000</v>
      </c>
      <c r="N139" s="66">
        <f>IFERROR(VLOOKUP($L139,[1]Consolidated!$C$9:$AC$341,5,0),0)</f>
        <v>115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4">
        <f>(VLOOKUP($O$2,Prices!$E$3:$F$17,2,FALSE)*Urban!O139)+(VLOOKUP($P$2,Prices!$E$3:$F$17,2,FALSE)*Urban!P139)+(VLOOKUP($Q$2,Prices!$E$3:$F$17,2,FALSE)*Urban!Q139)+(VLOOKUP($R$2,Prices!$E$3:$F$17,2,FALSE)*Urban!R139)+(VLOOKUP($S$2,Prices!$E$3:$F$17,2,FALSE)*Urban!S139)+(VLOOKUP($T$2,Prices!$E$3:$F$17,2,FALSE)*Urban!T139)+(VLOOKUP($U$2,Prices!$E$3:$F$17,2,FALSE)*Urban!U139)+(VLOOKUP($V$2,Prices!$E$3:$F$17,2,FALSE)*Urban!V139)+(VLOOKUP($W$2,Prices!$E$3:$F$17,2,FALSE)*Urban!W139)+(VLOOKUP($X$2,Prices!$E$3:$F$17,2,FALSE)*Urban!X139)+(VLOOKUP($Y$2,Prices!$E$3:$F$17,2,FALSE)*Urban!Y139)+(VLOOKUP($Z$2,Prices!$E$3:$F$17,2,FALSE)*Urban!Z139)+(VLOOKUP($AA$2,Prices!$E$3:$F$17,2,FALSE)*Urban!AA139)+(VLOOKUP($AB$2,Prices!$E$3:$F$17,2,FALSE)*Urban!AB139)+M139</f>
        <v>26432000</v>
      </c>
      <c r="AD139" s="18"/>
      <c r="AE139" s="18"/>
      <c r="AF139" s="4">
        <f t="shared" si="8"/>
        <v>0</v>
      </c>
      <c r="AG139" s="4"/>
      <c r="AH139" s="16">
        <f t="shared" si="9"/>
        <v>0</v>
      </c>
      <c r="AI139" s="21">
        <f t="shared" si="10"/>
        <v>0</v>
      </c>
      <c r="AJ139" s="20">
        <f t="shared" si="11"/>
        <v>0</v>
      </c>
      <c r="AK139" s="9"/>
    </row>
    <row r="140" spans="1:37" hidden="1">
      <c r="A140" s="3">
        <v>138</v>
      </c>
      <c r="B140" s="12"/>
      <c r="C140" s="13"/>
      <c r="D140" s="13"/>
      <c r="E140" s="13"/>
      <c r="F140" s="13"/>
      <c r="G140" s="13"/>
      <c r="H140" s="28"/>
      <c r="I140" s="24" t="s">
        <v>151</v>
      </c>
      <c r="J140" s="24" t="s">
        <v>1388</v>
      </c>
      <c r="K140" s="26" t="s">
        <v>660</v>
      </c>
      <c r="L140" s="26" t="s">
        <v>465</v>
      </c>
      <c r="M140" s="66">
        <f>IFERROR(VLOOKUP($L140,[1]Consolidated!$C$9:$AC$341,27,0),0)</f>
        <v>46374000</v>
      </c>
      <c r="N140" s="66">
        <f>IFERROR(VLOOKUP($L140,[1]Consolidated!$C$9:$AC$341,5,0),0)</f>
        <v>200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4">
        <f>(VLOOKUP($O$2,Prices!$E$3:$F$17,2,FALSE)*Urban!O140)+(VLOOKUP($P$2,Prices!$E$3:$F$17,2,FALSE)*Urban!P140)+(VLOOKUP($Q$2,Prices!$E$3:$F$17,2,FALSE)*Urban!Q140)+(VLOOKUP($R$2,Prices!$E$3:$F$17,2,FALSE)*Urban!R140)+(VLOOKUP($S$2,Prices!$E$3:$F$17,2,FALSE)*Urban!S140)+(VLOOKUP($T$2,Prices!$E$3:$F$17,2,FALSE)*Urban!T140)+(VLOOKUP($U$2,Prices!$E$3:$F$17,2,FALSE)*Urban!U140)+(VLOOKUP($V$2,Prices!$E$3:$F$17,2,FALSE)*Urban!V140)+(VLOOKUP($W$2,Prices!$E$3:$F$17,2,FALSE)*Urban!W140)+(VLOOKUP($X$2,Prices!$E$3:$F$17,2,FALSE)*Urban!X140)+(VLOOKUP($Y$2,Prices!$E$3:$F$17,2,FALSE)*Urban!Y140)+(VLOOKUP($Z$2,Prices!$E$3:$F$17,2,FALSE)*Urban!Z140)+(VLOOKUP($AA$2,Prices!$E$3:$F$17,2,FALSE)*Urban!AA140)+(VLOOKUP($AB$2,Prices!$E$3:$F$17,2,FALSE)*Urban!AB140)+M140</f>
        <v>46374000</v>
      </c>
      <c r="AD140" s="18"/>
      <c r="AE140" s="18"/>
      <c r="AF140" s="4">
        <f t="shared" si="8"/>
        <v>0</v>
      </c>
      <c r="AG140" s="4"/>
      <c r="AH140" s="16">
        <f t="shared" si="9"/>
        <v>0</v>
      </c>
      <c r="AI140" s="21">
        <f t="shared" si="10"/>
        <v>0</v>
      </c>
      <c r="AJ140" s="20">
        <f t="shared" si="11"/>
        <v>0</v>
      </c>
      <c r="AK140" s="9"/>
    </row>
    <row r="141" spans="1:37" hidden="1">
      <c r="A141" s="3">
        <v>139</v>
      </c>
      <c r="B141" s="12"/>
      <c r="C141" s="13"/>
      <c r="D141" s="13"/>
      <c r="E141" s="13"/>
      <c r="F141" s="13"/>
      <c r="G141" s="13"/>
      <c r="H141" s="28"/>
      <c r="I141" s="39" t="s">
        <v>152</v>
      </c>
      <c r="J141" s="24" t="s">
        <v>1388</v>
      </c>
      <c r="K141" s="26" t="s">
        <v>660</v>
      </c>
      <c r="L141" s="26" t="s">
        <v>466</v>
      </c>
      <c r="M141" s="41">
        <f>IFERROR(VLOOKUP($L141,'[2]Top WH -National'!$D$9:$AC$124,26,0),0)</f>
        <v>260546000</v>
      </c>
      <c r="N141" s="41">
        <f>IFERROR(VLOOKUP($L141,'[2]Top WH -National'!$D$9:$AC$124,4,0),0)</f>
        <v>1160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4">
        <f>(VLOOKUP($O$2,Prices!$E$3:$F$17,2,FALSE)*Urban!O141)+(VLOOKUP($P$2,Prices!$E$3:$F$17,2,FALSE)*Urban!P141)+(VLOOKUP($Q$2,Prices!$E$3:$F$17,2,FALSE)*Urban!Q141)+(VLOOKUP($R$2,Prices!$E$3:$F$17,2,FALSE)*Urban!R141)+(VLOOKUP($S$2,Prices!$E$3:$F$17,2,FALSE)*Urban!S141)+(VLOOKUP($T$2,Prices!$E$3:$F$17,2,FALSE)*Urban!T141)+(VLOOKUP($U$2,Prices!$E$3:$F$17,2,FALSE)*Urban!U141)+(VLOOKUP($V$2,Prices!$E$3:$F$17,2,FALSE)*Urban!V141)+(VLOOKUP($W$2,Prices!$E$3:$F$17,2,FALSE)*Urban!W141)+(VLOOKUP($X$2,Prices!$E$3:$F$17,2,FALSE)*Urban!X141)+(VLOOKUP($Y$2,Prices!$E$3:$F$17,2,FALSE)*Urban!Y141)+(VLOOKUP($Z$2,Prices!$E$3:$F$17,2,FALSE)*Urban!Z141)+(VLOOKUP($AA$2,Prices!$E$3:$F$17,2,FALSE)*Urban!AA141)+(VLOOKUP($AB$2,Prices!$E$3:$F$17,2,FALSE)*Urban!AB141)+M141</f>
        <v>260546000</v>
      </c>
      <c r="AD141" s="18"/>
      <c r="AE141" s="18"/>
      <c r="AF141" s="4">
        <f t="shared" si="8"/>
        <v>0</v>
      </c>
      <c r="AG141" s="4"/>
      <c r="AH141" s="16">
        <f t="shared" si="9"/>
        <v>0</v>
      </c>
      <c r="AI141" s="21">
        <f t="shared" si="10"/>
        <v>0</v>
      </c>
      <c r="AJ141" s="20">
        <f t="shared" si="11"/>
        <v>0</v>
      </c>
      <c r="AK141" s="9"/>
    </row>
    <row r="142" spans="1:37" hidden="1">
      <c r="A142" s="3">
        <v>140</v>
      </c>
      <c r="B142" s="12"/>
      <c r="C142" s="13"/>
      <c r="D142" s="13"/>
      <c r="E142" s="13"/>
      <c r="F142" s="13"/>
      <c r="G142" s="13"/>
      <c r="H142" s="28"/>
      <c r="I142" s="39" t="s">
        <v>153</v>
      </c>
      <c r="J142" s="24" t="s">
        <v>1388</v>
      </c>
      <c r="K142" s="26" t="s">
        <v>660</v>
      </c>
      <c r="L142" s="26" t="s">
        <v>467</v>
      </c>
      <c r="M142" s="41">
        <f>IFERROR(VLOOKUP($L142,'[2]Top WH -National'!$D$9:$AC$124,26,0),0)</f>
        <v>261520000</v>
      </c>
      <c r="N142" s="41">
        <f>IFERROR(VLOOKUP($L142,'[2]Top WH -National'!$D$9:$AC$124,4,0),0)</f>
        <v>1160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4">
        <f>(VLOOKUP($O$2,Prices!$E$3:$F$17,2,FALSE)*Urban!O142)+(VLOOKUP($P$2,Prices!$E$3:$F$17,2,FALSE)*Urban!P142)+(VLOOKUP($Q$2,Prices!$E$3:$F$17,2,FALSE)*Urban!Q142)+(VLOOKUP($R$2,Prices!$E$3:$F$17,2,FALSE)*Urban!R142)+(VLOOKUP($S$2,Prices!$E$3:$F$17,2,FALSE)*Urban!S142)+(VLOOKUP($T$2,Prices!$E$3:$F$17,2,FALSE)*Urban!T142)+(VLOOKUP($U$2,Prices!$E$3:$F$17,2,FALSE)*Urban!U142)+(VLOOKUP($V$2,Prices!$E$3:$F$17,2,FALSE)*Urban!V142)+(VLOOKUP($W$2,Prices!$E$3:$F$17,2,FALSE)*Urban!W142)+(VLOOKUP($X$2,Prices!$E$3:$F$17,2,FALSE)*Urban!X142)+(VLOOKUP($Y$2,Prices!$E$3:$F$17,2,FALSE)*Urban!Y142)+(VLOOKUP($Z$2,Prices!$E$3:$F$17,2,FALSE)*Urban!Z142)+(VLOOKUP($AA$2,Prices!$E$3:$F$17,2,FALSE)*Urban!AA142)+(VLOOKUP($AB$2,Prices!$E$3:$F$17,2,FALSE)*Urban!AB142)+M142</f>
        <v>261520000</v>
      </c>
      <c r="AD142" s="18"/>
      <c r="AE142" s="18"/>
      <c r="AF142" s="4">
        <f t="shared" si="8"/>
        <v>0</v>
      </c>
      <c r="AG142" s="4"/>
      <c r="AH142" s="16">
        <f t="shared" si="9"/>
        <v>0</v>
      </c>
      <c r="AI142" s="21">
        <f t="shared" si="10"/>
        <v>0</v>
      </c>
      <c r="AJ142" s="20">
        <f t="shared" si="11"/>
        <v>0</v>
      </c>
      <c r="AK142" s="9"/>
    </row>
    <row r="143" spans="1:37" hidden="1">
      <c r="A143" s="3">
        <v>141</v>
      </c>
      <c r="B143" s="12"/>
      <c r="C143" s="13"/>
      <c r="D143" s="13"/>
      <c r="E143" s="13"/>
      <c r="F143" s="13"/>
      <c r="G143" s="13"/>
      <c r="H143" s="28"/>
      <c r="I143" s="39" t="s">
        <v>154</v>
      </c>
      <c r="J143" s="24" t="s">
        <v>1388</v>
      </c>
      <c r="K143" s="26" t="s">
        <v>660</v>
      </c>
      <c r="L143" s="26" t="s">
        <v>468</v>
      </c>
      <c r="M143" s="41">
        <f>IFERROR(VLOOKUP($L143,'[2]Top WH -National'!$D$9:$AC$124,26,0),0)</f>
        <v>72940000</v>
      </c>
      <c r="N143" s="41">
        <f>IFERROR(VLOOKUP($L143,'[2]Top WH -National'!$D$9:$AC$124,4,0),0)</f>
        <v>341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4">
        <f>(VLOOKUP($O$2,Prices!$E$3:$F$17,2,FALSE)*Urban!O143)+(VLOOKUP($P$2,Prices!$E$3:$F$17,2,FALSE)*Urban!P143)+(VLOOKUP($Q$2,Prices!$E$3:$F$17,2,FALSE)*Urban!Q143)+(VLOOKUP($R$2,Prices!$E$3:$F$17,2,FALSE)*Urban!R143)+(VLOOKUP($S$2,Prices!$E$3:$F$17,2,FALSE)*Urban!S143)+(VLOOKUP($T$2,Prices!$E$3:$F$17,2,FALSE)*Urban!T143)+(VLOOKUP($U$2,Prices!$E$3:$F$17,2,FALSE)*Urban!U143)+(VLOOKUP($V$2,Prices!$E$3:$F$17,2,FALSE)*Urban!V143)+(VLOOKUP($W$2,Prices!$E$3:$F$17,2,FALSE)*Urban!W143)+(VLOOKUP($X$2,Prices!$E$3:$F$17,2,FALSE)*Urban!X143)+(VLOOKUP($Y$2,Prices!$E$3:$F$17,2,FALSE)*Urban!Y143)+(VLOOKUP($Z$2,Prices!$E$3:$F$17,2,FALSE)*Urban!Z143)+(VLOOKUP($AA$2,Prices!$E$3:$F$17,2,FALSE)*Urban!AA143)+(VLOOKUP($AB$2,Prices!$E$3:$F$17,2,FALSE)*Urban!AB143)+M143</f>
        <v>72940000</v>
      </c>
      <c r="AD143" s="18"/>
      <c r="AE143" s="18"/>
      <c r="AF143" s="4">
        <f t="shared" si="8"/>
        <v>0</v>
      </c>
      <c r="AG143" s="4"/>
      <c r="AH143" s="16">
        <f t="shared" si="9"/>
        <v>0</v>
      </c>
      <c r="AI143" s="21">
        <f t="shared" si="10"/>
        <v>0</v>
      </c>
      <c r="AJ143" s="20">
        <f t="shared" si="11"/>
        <v>0</v>
      </c>
      <c r="AK143" s="19"/>
    </row>
    <row r="144" spans="1:37" hidden="1">
      <c r="A144" s="3">
        <v>142</v>
      </c>
      <c r="B144" s="12"/>
      <c r="C144" s="13"/>
      <c r="D144" s="13"/>
      <c r="E144" s="13"/>
      <c r="F144" s="13"/>
      <c r="G144" s="13"/>
      <c r="H144" s="28"/>
      <c r="I144" s="39" t="s">
        <v>155</v>
      </c>
      <c r="J144" s="24" t="s">
        <v>1388</v>
      </c>
      <c r="K144" s="26" t="s">
        <v>660</v>
      </c>
      <c r="L144" s="26" t="s">
        <v>469</v>
      </c>
      <c r="M144" s="41">
        <f>IFERROR(VLOOKUP($L144,'[2]Top WH -National'!$D$9:$AC$124,26,0),0)</f>
        <v>254277000</v>
      </c>
      <c r="N144" s="41">
        <f>IFERROR(VLOOKUP($L144,'[2]Top WH -National'!$D$9:$AC$124,4,0),0)</f>
        <v>1160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4">
        <f>(VLOOKUP($O$2,Prices!$E$3:$F$17,2,FALSE)*Urban!O144)+(VLOOKUP($P$2,Prices!$E$3:$F$17,2,FALSE)*Urban!P144)+(VLOOKUP($Q$2,Prices!$E$3:$F$17,2,FALSE)*Urban!Q144)+(VLOOKUP($R$2,Prices!$E$3:$F$17,2,FALSE)*Urban!R144)+(VLOOKUP($S$2,Prices!$E$3:$F$17,2,FALSE)*Urban!S144)+(VLOOKUP($T$2,Prices!$E$3:$F$17,2,FALSE)*Urban!T144)+(VLOOKUP($U$2,Prices!$E$3:$F$17,2,FALSE)*Urban!U144)+(VLOOKUP($V$2,Prices!$E$3:$F$17,2,FALSE)*Urban!V144)+(VLOOKUP($W$2,Prices!$E$3:$F$17,2,FALSE)*Urban!W144)+(VLOOKUP($X$2,Prices!$E$3:$F$17,2,FALSE)*Urban!X144)+(VLOOKUP($Y$2,Prices!$E$3:$F$17,2,FALSE)*Urban!Y144)+(VLOOKUP($Z$2,Prices!$E$3:$F$17,2,FALSE)*Urban!Z144)+(VLOOKUP($AA$2,Prices!$E$3:$F$17,2,FALSE)*Urban!AA144)+(VLOOKUP($AB$2,Prices!$E$3:$F$17,2,FALSE)*Urban!AB144)+M144</f>
        <v>254277000</v>
      </c>
      <c r="AD144" s="18"/>
      <c r="AE144" s="18"/>
      <c r="AF144" s="4">
        <f t="shared" si="8"/>
        <v>0</v>
      </c>
      <c r="AG144" s="4"/>
      <c r="AH144" s="16">
        <f t="shared" si="9"/>
        <v>0</v>
      </c>
      <c r="AI144" s="21">
        <f t="shared" si="10"/>
        <v>0</v>
      </c>
      <c r="AJ144" s="20">
        <f t="shared" si="11"/>
        <v>0</v>
      </c>
      <c r="AK144" s="9"/>
    </row>
    <row r="145" spans="1:37" hidden="1">
      <c r="A145" s="3">
        <v>143</v>
      </c>
      <c r="B145" s="12"/>
      <c r="C145" s="13"/>
      <c r="D145" s="13"/>
      <c r="E145" s="13"/>
      <c r="F145" s="13"/>
      <c r="G145" s="13"/>
      <c r="H145" s="28"/>
      <c r="I145" s="39" t="s">
        <v>156</v>
      </c>
      <c r="J145" s="24" t="s">
        <v>1388</v>
      </c>
      <c r="K145" s="26" t="s">
        <v>660</v>
      </c>
      <c r="L145" s="26" t="s">
        <v>470</v>
      </c>
      <c r="M145" s="41">
        <f>IFERROR(VLOOKUP($L145,'[2]Top WH -National'!$D$9:$AC$124,26,0),0)</f>
        <v>62533000</v>
      </c>
      <c r="N145" s="41">
        <f>IFERROR(VLOOKUP($L145,'[2]Top WH -National'!$D$9:$AC$124,4,0),0)</f>
        <v>278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4">
        <f>(VLOOKUP($O$2,Prices!$E$3:$F$17,2,FALSE)*Urban!O145)+(VLOOKUP($P$2,Prices!$E$3:$F$17,2,FALSE)*Urban!P145)+(VLOOKUP($Q$2,Prices!$E$3:$F$17,2,FALSE)*Urban!Q145)+(VLOOKUP($R$2,Prices!$E$3:$F$17,2,FALSE)*Urban!R145)+(VLOOKUP($S$2,Prices!$E$3:$F$17,2,FALSE)*Urban!S145)+(VLOOKUP($T$2,Prices!$E$3:$F$17,2,FALSE)*Urban!T145)+(VLOOKUP($U$2,Prices!$E$3:$F$17,2,FALSE)*Urban!U145)+(VLOOKUP($V$2,Prices!$E$3:$F$17,2,FALSE)*Urban!V145)+(VLOOKUP($W$2,Prices!$E$3:$F$17,2,FALSE)*Urban!W145)+(VLOOKUP($X$2,Prices!$E$3:$F$17,2,FALSE)*Urban!X145)+(VLOOKUP($Y$2,Prices!$E$3:$F$17,2,FALSE)*Urban!Y145)+(VLOOKUP($Z$2,Prices!$E$3:$F$17,2,FALSE)*Urban!Z145)+(VLOOKUP($AA$2,Prices!$E$3:$F$17,2,FALSE)*Urban!AA145)+(VLOOKUP($AB$2,Prices!$E$3:$F$17,2,FALSE)*Urban!AB145)+M145</f>
        <v>62533000</v>
      </c>
      <c r="AD145" s="18"/>
      <c r="AE145" s="18"/>
      <c r="AF145" s="4">
        <f t="shared" si="8"/>
        <v>0</v>
      </c>
      <c r="AG145" s="4"/>
      <c r="AH145" s="16">
        <f t="shared" si="9"/>
        <v>0</v>
      </c>
      <c r="AI145" s="21">
        <f t="shared" si="10"/>
        <v>0</v>
      </c>
      <c r="AJ145" s="20">
        <f t="shared" si="11"/>
        <v>0</v>
      </c>
      <c r="AK145" s="9"/>
    </row>
    <row r="146" spans="1:37" hidden="1">
      <c r="A146" s="3">
        <v>144</v>
      </c>
      <c r="B146" s="12"/>
      <c r="C146" s="13"/>
      <c r="D146" s="13"/>
      <c r="E146" s="13"/>
      <c r="F146" s="13"/>
      <c r="G146" s="13"/>
      <c r="H146" s="28"/>
      <c r="I146" s="24" t="s">
        <v>157</v>
      </c>
      <c r="J146" s="68" t="s">
        <v>1388</v>
      </c>
      <c r="K146" s="26" t="s">
        <v>661</v>
      </c>
      <c r="L146" s="26" t="s">
        <v>471</v>
      </c>
      <c r="M146" s="66">
        <f>IFERROR(VLOOKUP($L146,[1]Consolidated!$C$9:$AC$341,27,0),0)</f>
        <v>29128000</v>
      </c>
      <c r="N146" s="66">
        <f>IFERROR(VLOOKUP($L146,[1]Consolidated!$C$9:$AC$341,5,0),0)</f>
        <v>125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4">
        <f>(VLOOKUP($O$2,Prices!$E$3:$F$17,2,FALSE)*Urban!O146)+(VLOOKUP($P$2,Prices!$E$3:$F$17,2,FALSE)*Urban!P146)+(VLOOKUP($Q$2,Prices!$E$3:$F$17,2,FALSE)*Urban!Q146)+(VLOOKUP($R$2,Prices!$E$3:$F$17,2,FALSE)*Urban!R146)+(VLOOKUP($S$2,Prices!$E$3:$F$17,2,FALSE)*Urban!S146)+(VLOOKUP($T$2,Prices!$E$3:$F$17,2,FALSE)*Urban!T146)+(VLOOKUP($U$2,Prices!$E$3:$F$17,2,FALSE)*Urban!U146)+(VLOOKUP($V$2,Prices!$E$3:$F$17,2,FALSE)*Urban!V146)+(VLOOKUP($W$2,Prices!$E$3:$F$17,2,FALSE)*Urban!W146)+(VLOOKUP($X$2,Prices!$E$3:$F$17,2,FALSE)*Urban!X146)+(VLOOKUP($Y$2,Prices!$E$3:$F$17,2,FALSE)*Urban!Y146)+(VLOOKUP($Z$2,Prices!$E$3:$F$17,2,FALSE)*Urban!Z146)+(VLOOKUP($AA$2,Prices!$E$3:$F$17,2,FALSE)*Urban!AA146)+(VLOOKUP($AB$2,Prices!$E$3:$F$17,2,FALSE)*Urban!AB146)+M146</f>
        <v>29128000</v>
      </c>
      <c r="AD146" s="18"/>
      <c r="AE146" s="18"/>
      <c r="AF146" s="4">
        <f t="shared" si="8"/>
        <v>0</v>
      </c>
      <c r="AG146" s="4"/>
      <c r="AH146" s="16">
        <f t="shared" si="9"/>
        <v>0</v>
      </c>
      <c r="AI146" s="21">
        <f t="shared" si="10"/>
        <v>0</v>
      </c>
      <c r="AJ146" s="20">
        <f t="shared" si="11"/>
        <v>0</v>
      </c>
      <c r="AK146" s="9"/>
    </row>
    <row r="147" spans="1:37" hidden="1">
      <c r="A147" s="3">
        <v>145</v>
      </c>
      <c r="B147" s="12"/>
      <c r="C147" s="13"/>
      <c r="D147" s="13"/>
      <c r="E147" s="13"/>
      <c r="F147" s="13"/>
      <c r="G147" s="13"/>
      <c r="H147" s="28"/>
      <c r="I147" s="24" t="s">
        <v>218</v>
      </c>
      <c r="J147" s="24" t="s">
        <v>1388</v>
      </c>
      <c r="K147" s="26" t="s">
        <v>661</v>
      </c>
      <c r="L147" s="26" t="s">
        <v>1385</v>
      </c>
      <c r="M147" s="66">
        <f>IFERROR(VLOOKUP($L147,[1]Consolidated!$C$9:$AC$341,27,0),0)</f>
        <v>26368000</v>
      </c>
      <c r="N147" s="66">
        <f>IFERROR(VLOOKUP($L147,[1]Consolidated!$C$9:$AC$341,5,0),0)</f>
        <v>125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4">
        <f>(VLOOKUP($O$2,Prices!$E$3:$F$17,2,FALSE)*Urban!O147)+(VLOOKUP($P$2,Prices!$E$3:$F$17,2,FALSE)*Urban!P147)+(VLOOKUP($Q$2,Prices!$E$3:$F$17,2,FALSE)*Urban!Q147)+(VLOOKUP($R$2,Prices!$E$3:$F$17,2,FALSE)*Urban!R147)+(VLOOKUP($S$2,Prices!$E$3:$F$17,2,FALSE)*Urban!S147)+(VLOOKUP($T$2,Prices!$E$3:$F$17,2,FALSE)*Urban!T147)+(VLOOKUP($U$2,Prices!$E$3:$F$17,2,FALSE)*Urban!U147)+(VLOOKUP($V$2,Prices!$E$3:$F$17,2,FALSE)*Urban!V147)+(VLOOKUP($W$2,Prices!$E$3:$F$17,2,FALSE)*Urban!W147)+(VLOOKUP($X$2,Prices!$E$3:$F$17,2,FALSE)*Urban!X147)+(VLOOKUP($Y$2,Prices!$E$3:$F$17,2,FALSE)*Urban!Y147)+(VLOOKUP($Z$2,Prices!$E$3:$F$17,2,FALSE)*Urban!Z147)+(VLOOKUP($AA$2,Prices!$E$3:$F$17,2,FALSE)*Urban!AA147)+(VLOOKUP($AB$2,Prices!$E$3:$F$17,2,FALSE)*Urban!AB147)+M147</f>
        <v>26368000</v>
      </c>
      <c r="AD147" s="18"/>
      <c r="AE147" s="18"/>
      <c r="AF147" s="4">
        <f t="shared" si="8"/>
        <v>0</v>
      </c>
      <c r="AG147" s="4"/>
      <c r="AH147" s="16">
        <f t="shared" si="9"/>
        <v>0</v>
      </c>
      <c r="AI147" s="21">
        <f t="shared" si="10"/>
        <v>0</v>
      </c>
      <c r="AJ147" s="20">
        <f t="shared" si="11"/>
        <v>0</v>
      </c>
      <c r="AK147" s="9"/>
    </row>
    <row r="148" spans="1:37" hidden="1">
      <c r="A148" s="3">
        <v>146</v>
      </c>
      <c r="B148" s="12"/>
      <c r="C148" s="13"/>
      <c r="D148" s="13"/>
      <c r="E148" s="13"/>
      <c r="F148" s="13"/>
      <c r="G148" s="13"/>
      <c r="H148" s="28"/>
      <c r="I148" s="24" t="s">
        <v>158</v>
      </c>
      <c r="J148" s="24" t="s">
        <v>1388</v>
      </c>
      <c r="K148" s="26" t="s">
        <v>661</v>
      </c>
      <c r="L148" s="26" t="s">
        <v>472</v>
      </c>
      <c r="M148" s="66">
        <f>IFERROR(VLOOKUP($L148,[1]Consolidated!$C$9:$AC$341,27,0),0)</f>
        <v>28672000</v>
      </c>
      <c r="N148" s="66">
        <f>IFERROR(VLOOKUP($L148,[1]Consolidated!$C$9:$AC$341,5,0),0)</f>
        <v>130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4">
        <f>(VLOOKUP($O$2,Prices!$E$3:$F$17,2,FALSE)*Urban!O148)+(VLOOKUP($P$2,Prices!$E$3:$F$17,2,FALSE)*Urban!P148)+(VLOOKUP($Q$2,Prices!$E$3:$F$17,2,FALSE)*Urban!Q148)+(VLOOKUP($R$2,Prices!$E$3:$F$17,2,FALSE)*Urban!R148)+(VLOOKUP($S$2,Prices!$E$3:$F$17,2,FALSE)*Urban!S148)+(VLOOKUP($T$2,Prices!$E$3:$F$17,2,FALSE)*Urban!T148)+(VLOOKUP($U$2,Prices!$E$3:$F$17,2,FALSE)*Urban!U148)+(VLOOKUP($V$2,Prices!$E$3:$F$17,2,FALSE)*Urban!V148)+(VLOOKUP($W$2,Prices!$E$3:$F$17,2,FALSE)*Urban!W148)+(VLOOKUP($X$2,Prices!$E$3:$F$17,2,FALSE)*Urban!X148)+(VLOOKUP($Y$2,Prices!$E$3:$F$17,2,FALSE)*Urban!Y148)+(VLOOKUP($Z$2,Prices!$E$3:$F$17,2,FALSE)*Urban!Z148)+(VLOOKUP($AA$2,Prices!$E$3:$F$17,2,FALSE)*Urban!AA148)+(VLOOKUP($AB$2,Prices!$E$3:$F$17,2,FALSE)*Urban!AB148)+M148</f>
        <v>28672000</v>
      </c>
      <c r="AD148" s="18"/>
      <c r="AE148" s="18"/>
      <c r="AF148" s="4">
        <f t="shared" si="8"/>
        <v>0</v>
      </c>
      <c r="AG148" s="4"/>
      <c r="AH148" s="16">
        <f t="shared" si="9"/>
        <v>0</v>
      </c>
      <c r="AI148" s="21">
        <f t="shared" si="10"/>
        <v>0</v>
      </c>
      <c r="AJ148" s="20">
        <f t="shared" si="11"/>
        <v>0</v>
      </c>
      <c r="AK148" s="9"/>
    </row>
    <row r="149" spans="1:37" hidden="1">
      <c r="A149" s="3">
        <v>147</v>
      </c>
      <c r="B149" s="12"/>
      <c r="C149" s="13"/>
      <c r="D149" s="13"/>
      <c r="E149" s="13"/>
      <c r="F149" s="13"/>
      <c r="G149" s="13"/>
      <c r="H149" s="28"/>
      <c r="I149" s="24" t="s">
        <v>159</v>
      </c>
      <c r="J149" s="24" t="s">
        <v>1388</v>
      </c>
      <c r="K149" s="26" t="s">
        <v>661</v>
      </c>
      <c r="L149" s="26" t="s">
        <v>473</v>
      </c>
      <c r="M149" s="66">
        <f>IFERROR(VLOOKUP($L149,[1]Consolidated!$C$9:$AC$341,27,0),0)</f>
        <v>37800000</v>
      </c>
      <c r="N149" s="66">
        <f>IFERROR(VLOOKUP($L149,[1]Consolidated!$C$9:$AC$341,5,0),0)</f>
        <v>170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4">
        <f>(VLOOKUP($O$2,Prices!$E$3:$F$17,2,FALSE)*Urban!O149)+(VLOOKUP($P$2,Prices!$E$3:$F$17,2,FALSE)*Urban!P149)+(VLOOKUP($Q$2,Prices!$E$3:$F$17,2,FALSE)*Urban!Q149)+(VLOOKUP($R$2,Prices!$E$3:$F$17,2,FALSE)*Urban!R149)+(VLOOKUP($S$2,Prices!$E$3:$F$17,2,FALSE)*Urban!S149)+(VLOOKUP($T$2,Prices!$E$3:$F$17,2,FALSE)*Urban!T149)+(VLOOKUP($U$2,Prices!$E$3:$F$17,2,FALSE)*Urban!U149)+(VLOOKUP($V$2,Prices!$E$3:$F$17,2,FALSE)*Urban!V149)+(VLOOKUP($W$2,Prices!$E$3:$F$17,2,FALSE)*Urban!W149)+(VLOOKUP($X$2,Prices!$E$3:$F$17,2,FALSE)*Urban!X149)+(VLOOKUP($Y$2,Prices!$E$3:$F$17,2,FALSE)*Urban!Y149)+(VLOOKUP($Z$2,Prices!$E$3:$F$17,2,FALSE)*Urban!Z149)+(VLOOKUP($AA$2,Prices!$E$3:$F$17,2,FALSE)*Urban!AA149)+(VLOOKUP($AB$2,Prices!$E$3:$F$17,2,FALSE)*Urban!AB149)+M149</f>
        <v>37800000</v>
      </c>
      <c r="AD149" s="18"/>
      <c r="AE149" s="18"/>
      <c r="AF149" s="4">
        <f t="shared" si="8"/>
        <v>0</v>
      </c>
      <c r="AG149" s="4"/>
      <c r="AH149" s="16">
        <f t="shared" si="9"/>
        <v>0</v>
      </c>
      <c r="AI149" s="21">
        <f t="shared" si="10"/>
        <v>0</v>
      </c>
      <c r="AJ149" s="20">
        <f t="shared" si="11"/>
        <v>0</v>
      </c>
      <c r="AK149" s="9"/>
    </row>
    <row r="150" spans="1:37" hidden="1">
      <c r="A150" s="3">
        <v>148</v>
      </c>
      <c r="B150" s="12"/>
      <c r="C150" s="13"/>
      <c r="D150" s="13"/>
      <c r="E150" s="13"/>
      <c r="F150" s="13"/>
      <c r="G150" s="13"/>
      <c r="H150" s="28"/>
      <c r="I150" s="25" t="s">
        <v>160</v>
      </c>
      <c r="J150" s="24" t="s">
        <v>1388</v>
      </c>
      <c r="K150" s="26" t="s">
        <v>661</v>
      </c>
      <c r="L150" s="26" t="s">
        <v>474</v>
      </c>
      <c r="M150" s="66">
        <f>IFERROR(VLOOKUP($L150,[1]Consolidated!$C$9:$AC$341,27,0),0)</f>
        <v>0</v>
      </c>
      <c r="N150" s="66">
        <f>IFERROR(VLOOKUP($L150,[1]Consolidated!$C$9:$AC$341,5,0),0)</f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4">
        <f>(VLOOKUP($O$2,Prices!$E$3:$F$17,2,FALSE)*Urban!O150)+(VLOOKUP($P$2,Prices!$E$3:$F$17,2,FALSE)*Urban!P150)+(VLOOKUP($Q$2,Prices!$E$3:$F$17,2,FALSE)*Urban!Q150)+(VLOOKUP($R$2,Prices!$E$3:$F$17,2,FALSE)*Urban!R150)+(VLOOKUP($S$2,Prices!$E$3:$F$17,2,FALSE)*Urban!S150)+(VLOOKUP($T$2,Prices!$E$3:$F$17,2,FALSE)*Urban!T150)+(VLOOKUP($U$2,Prices!$E$3:$F$17,2,FALSE)*Urban!U150)+(VLOOKUP($V$2,Prices!$E$3:$F$17,2,FALSE)*Urban!V150)+(VLOOKUP($W$2,Prices!$E$3:$F$17,2,FALSE)*Urban!W150)+(VLOOKUP($X$2,Prices!$E$3:$F$17,2,FALSE)*Urban!X150)+(VLOOKUP($Y$2,Prices!$E$3:$F$17,2,FALSE)*Urban!Y150)+(VLOOKUP($Z$2,Prices!$E$3:$F$17,2,FALSE)*Urban!Z150)+(VLOOKUP($AA$2,Prices!$E$3:$F$17,2,FALSE)*Urban!AA150)+(VLOOKUP($AB$2,Prices!$E$3:$F$17,2,FALSE)*Urban!AB150)+M150</f>
        <v>0</v>
      </c>
      <c r="AD150" s="18"/>
      <c r="AE150" s="18"/>
      <c r="AF150" s="4">
        <f t="shared" si="8"/>
        <v>0</v>
      </c>
      <c r="AG150" s="4"/>
      <c r="AH150" s="16">
        <f t="shared" si="9"/>
        <v>0</v>
      </c>
      <c r="AI150" s="21" t="e">
        <f t="shared" si="10"/>
        <v>#DIV/0!</v>
      </c>
      <c r="AJ150" s="20" t="e">
        <f t="shared" si="11"/>
        <v>#DIV/0!</v>
      </c>
      <c r="AK150" s="9"/>
    </row>
    <row r="151" spans="1:37" hidden="1">
      <c r="A151" s="3">
        <v>149</v>
      </c>
      <c r="B151" s="12"/>
      <c r="C151" s="13"/>
      <c r="D151" s="13"/>
      <c r="E151" s="13"/>
      <c r="F151" s="13"/>
      <c r="G151" s="13"/>
      <c r="H151" s="28"/>
      <c r="I151" s="24" t="s">
        <v>161</v>
      </c>
      <c r="J151" s="24" t="s">
        <v>1388</v>
      </c>
      <c r="K151" s="26" t="s">
        <v>661</v>
      </c>
      <c r="L151" s="26" t="s">
        <v>475</v>
      </c>
      <c r="M151" s="66">
        <f>IFERROR(VLOOKUP($L151,[1]Consolidated!$C$9:$AC$341,27,0),0)</f>
        <v>46151000</v>
      </c>
      <c r="N151" s="66">
        <f>IFERROR(VLOOKUP($L151,[1]Consolidated!$C$9:$AC$341,5,0),0)</f>
        <v>200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4">
        <f>(VLOOKUP($O$2,Prices!$E$3:$F$17,2,FALSE)*Urban!O151)+(VLOOKUP($P$2,Prices!$E$3:$F$17,2,FALSE)*Urban!P151)+(VLOOKUP($Q$2,Prices!$E$3:$F$17,2,FALSE)*Urban!Q151)+(VLOOKUP($R$2,Prices!$E$3:$F$17,2,FALSE)*Urban!R151)+(VLOOKUP($S$2,Prices!$E$3:$F$17,2,FALSE)*Urban!S151)+(VLOOKUP($T$2,Prices!$E$3:$F$17,2,FALSE)*Urban!T151)+(VLOOKUP($U$2,Prices!$E$3:$F$17,2,FALSE)*Urban!U151)+(VLOOKUP($V$2,Prices!$E$3:$F$17,2,FALSE)*Urban!V151)+(VLOOKUP($W$2,Prices!$E$3:$F$17,2,FALSE)*Urban!W151)+(VLOOKUP($X$2,Prices!$E$3:$F$17,2,FALSE)*Urban!X151)+(VLOOKUP($Y$2,Prices!$E$3:$F$17,2,FALSE)*Urban!Y151)+(VLOOKUP($Z$2,Prices!$E$3:$F$17,2,FALSE)*Urban!Z151)+(VLOOKUP($AA$2,Prices!$E$3:$F$17,2,FALSE)*Urban!AA151)+(VLOOKUP($AB$2,Prices!$E$3:$F$17,2,FALSE)*Urban!AB151)+M151</f>
        <v>46151000</v>
      </c>
      <c r="AD151" s="18"/>
      <c r="AE151" s="18"/>
      <c r="AF151" s="4">
        <f t="shared" si="8"/>
        <v>0</v>
      </c>
      <c r="AG151" s="4"/>
      <c r="AH151" s="16">
        <f t="shared" si="9"/>
        <v>0</v>
      </c>
      <c r="AI151" s="21">
        <f t="shared" si="10"/>
        <v>0</v>
      </c>
      <c r="AJ151" s="20">
        <f t="shared" si="11"/>
        <v>0</v>
      </c>
      <c r="AK151" s="9"/>
    </row>
    <row r="152" spans="1:37" hidden="1">
      <c r="A152" s="3">
        <v>150</v>
      </c>
      <c r="B152" s="12"/>
      <c r="C152" s="13"/>
      <c r="D152" s="13"/>
      <c r="E152" s="13"/>
      <c r="F152" s="13"/>
      <c r="G152" s="13"/>
      <c r="H152" s="28"/>
      <c r="I152" s="24" t="s">
        <v>162</v>
      </c>
      <c r="J152" s="24" t="s">
        <v>1388</v>
      </c>
      <c r="K152" s="26" t="s">
        <v>661</v>
      </c>
      <c r="L152" s="26" t="s">
        <v>476</v>
      </c>
      <c r="M152" s="66">
        <f>IFERROR(VLOOKUP($L152,[1]Consolidated!$C$9:$AC$341,27,0),0)</f>
        <v>18612000</v>
      </c>
      <c r="N152" s="66">
        <f>IFERROR(VLOOKUP($L152,[1]Consolidated!$C$9:$AC$341,5,0),0)</f>
        <v>80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4">
        <f>(VLOOKUP($O$2,Prices!$E$3:$F$17,2,FALSE)*Urban!O152)+(VLOOKUP($P$2,Prices!$E$3:$F$17,2,FALSE)*Urban!P152)+(VLOOKUP($Q$2,Prices!$E$3:$F$17,2,FALSE)*Urban!Q152)+(VLOOKUP($R$2,Prices!$E$3:$F$17,2,FALSE)*Urban!R152)+(VLOOKUP($S$2,Prices!$E$3:$F$17,2,FALSE)*Urban!S152)+(VLOOKUP($T$2,Prices!$E$3:$F$17,2,FALSE)*Urban!T152)+(VLOOKUP($U$2,Prices!$E$3:$F$17,2,FALSE)*Urban!U152)+(VLOOKUP($V$2,Prices!$E$3:$F$17,2,FALSE)*Urban!V152)+(VLOOKUP($W$2,Prices!$E$3:$F$17,2,FALSE)*Urban!W152)+(VLOOKUP($X$2,Prices!$E$3:$F$17,2,FALSE)*Urban!X152)+(VLOOKUP($Y$2,Prices!$E$3:$F$17,2,FALSE)*Urban!Y152)+(VLOOKUP($Z$2,Prices!$E$3:$F$17,2,FALSE)*Urban!Z152)+(VLOOKUP($AA$2,Prices!$E$3:$F$17,2,FALSE)*Urban!AA152)+(VLOOKUP($AB$2,Prices!$E$3:$F$17,2,FALSE)*Urban!AB152)+M152</f>
        <v>18612000</v>
      </c>
      <c r="AD152" s="18"/>
      <c r="AE152" s="18"/>
      <c r="AF152" s="4">
        <f t="shared" si="8"/>
        <v>0</v>
      </c>
      <c r="AG152" s="4"/>
      <c r="AH152" s="16">
        <f t="shared" si="9"/>
        <v>0</v>
      </c>
      <c r="AI152" s="21">
        <f t="shared" si="10"/>
        <v>0</v>
      </c>
      <c r="AJ152" s="20">
        <f t="shared" si="11"/>
        <v>0</v>
      </c>
      <c r="AK152" s="9"/>
    </row>
    <row r="153" spans="1:37" hidden="1">
      <c r="A153" s="3">
        <v>151</v>
      </c>
      <c r="B153" s="12"/>
      <c r="C153" s="13"/>
      <c r="D153" s="13"/>
      <c r="E153" s="13"/>
      <c r="F153" s="13"/>
      <c r="G153" s="13"/>
      <c r="H153" s="28"/>
      <c r="I153" s="24" t="s">
        <v>163</v>
      </c>
      <c r="J153" s="24" t="s">
        <v>1388</v>
      </c>
      <c r="K153" s="26" t="s">
        <v>661</v>
      </c>
      <c r="L153" s="26" t="s">
        <v>477</v>
      </c>
      <c r="M153" s="66">
        <f>IFERROR(VLOOKUP($L153,[1]Consolidated!$C$9:$AC$341,27,0),0)</f>
        <v>38172500</v>
      </c>
      <c r="N153" s="66">
        <f>IFERROR(VLOOKUP($L153,[1]Consolidated!$C$9:$AC$341,5,0),0)</f>
        <v>170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4">
        <f>(VLOOKUP($O$2,Prices!$E$3:$F$17,2,FALSE)*Urban!O153)+(VLOOKUP($P$2,Prices!$E$3:$F$17,2,FALSE)*Urban!P153)+(VLOOKUP($Q$2,Prices!$E$3:$F$17,2,FALSE)*Urban!Q153)+(VLOOKUP($R$2,Prices!$E$3:$F$17,2,FALSE)*Urban!R153)+(VLOOKUP($S$2,Prices!$E$3:$F$17,2,FALSE)*Urban!S153)+(VLOOKUP($T$2,Prices!$E$3:$F$17,2,FALSE)*Urban!T153)+(VLOOKUP($U$2,Prices!$E$3:$F$17,2,FALSE)*Urban!U153)+(VLOOKUP($V$2,Prices!$E$3:$F$17,2,FALSE)*Urban!V153)+(VLOOKUP($W$2,Prices!$E$3:$F$17,2,FALSE)*Urban!W153)+(VLOOKUP($X$2,Prices!$E$3:$F$17,2,FALSE)*Urban!X153)+(VLOOKUP($Y$2,Prices!$E$3:$F$17,2,FALSE)*Urban!Y153)+(VLOOKUP($Z$2,Prices!$E$3:$F$17,2,FALSE)*Urban!Z153)+(VLOOKUP($AA$2,Prices!$E$3:$F$17,2,FALSE)*Urban!AA153)+(VLOOKUP($AB$2,Prices!$E$3:$F$17,2,FALSE)*Urban!AB153)+M153</f>
        <v>38172500</v>
      </c>
      <c r="AD153" s="18"/>
      <c r="AE153" s="18"/>
      <c r="AF153" s="4">
        <f t="shared" si="8"/>
        <v>0</v>
      </c>
      <c r="AG153" s="4"/>
      <c r="AH153" s="16">
        <f t="shared" si="9"/>
        <v>0</v>
      </c>
      <c r="AI153" s="21">
        <f t="shared" si="10"/>
        <v>0</v>
      </c>
      <c r="AJ153" s="20">
        <f t="shared" si="11"/>
        <v>0</v>
      </c>
      <c r="AK153" s="9"/>
    </row>
    <row r="154" spans="1:37" hidden="1">
      <c r="A154" s="3">
        <v>152</v>
      </c>
      <c r="B154" s="12"/>
      <c r="C154" s="13"/>
      <c r="D154" s="13"/>
      <c r="E154" s="13"/>
      <c r="F154" s="13"/>
      <c r="G154" s="13"/>
      <c r="H154" s="28"/>
      <c r="I154" s="24" t="s">
        <v>164</v>
      </c>
      <c r="J154" s="24" t="s">
        <v>1388</v>
      </c>
      <c r="K154" s="26" t="s">
        <v>661</v>
      </c>
      <c r="L154" s="26" t="s">
        <v>478</v>
      </c>
      <c r="M154" s="66">
        <f>IFERROR(VLOOKUP($L154,[1]Consolidated!$C$9:$AC$341,27,0),0)</f>
        <v>0</v>
      </c>
      <c r="N154" s="66">
        <f>IFERROR(VLOOKUP($L154,[1]Consolidated!$C$9:$AC$341,5,0),0)</f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4">
        <f>(VLOOKUP($O$2,Prices!$E$3:$F$17,2,FALSE)*Urban!O154)+(VLOOKUP($P$2,Prices!$E$3:$F$17,2,FALSE)*Urban!P154)+(VLOOKUP($Q$2,Prices!$E$3:$F$17,2,FALSE)*Urban!Q154)+(VLOOKUP($R$2,Prices!$E$3:$F$17,2,FALSE)*Urban!R154)+(VLOOKUP($S$2,Prices!$E$3:$F$17,2,FALSE)*Urban!S154)+(VLOOKUP($T$2,Prices!$E$3:$F$17,2,FALSE)*Urban!T154)+(VLOOKUP($U$2,Prices!$E$3:$F$17,2,FALSE)*Urban!U154)+(VLOOKUP($V$2,Prices!$E$3:$F$17,2,FALSE)*Urban!V154)+(VLOOKUP($W$2,Prices!$E$3:$F$17,2,FALSE)*Urban!W154)+(VLOOKUP($X$2,Prices!$E$3:$F$17,2,FALSE)*Urban!X154)+(VLOOKUP($Y$2,Prices!$E$3:$F$17,2,FALSE)*Urban!Y154)+(VLOOKUP($Z$2,Prices!$E$3:$F$17,2,FALSE)*Urban!Z154)+(VLOOKUP($AA$2,Prices!$E$3:$F$17,2,FALSE)*Urban!AA154)+(VLOOKUP($AB$2,Prices!$E$3:$F$17,2,FALSE)*Urban!AB154)+M154</f>
        <v>0</v>
      </c>
      <c r="AD154" s="18"/>
      <c r="AE154" s="18"/>
      <c r="AF154" s="4">
        <f t="shared" si="8"/>
        <v>0</v>
      </c>
      <c r="AG154" s="4"/>
      <c r="AH154" s="16">
        <f t="shared" si="9"/>
        <v>0</v>
      </c>
      <c r="AI154" s="21" t="e">
        <f t="shared" si="10"/>
        <v>#DIV/0!</v>
      </c>
      <c r="AJ154" s="20" t="e">
        <f t="shared" si="11"/>
        <v>#DIV/0!</v>
      </c>
      <c r="AK154" s="9"/>
    </row>
    <row r="155" spans="1:37" hidden="1">
      <c r="A155" s="3">
        <v>153</v>
      </c>
      <c r="B155" s="12"/>
      <c r="C155" s="13"/>
      <c r="D155" s="13"/>
      <c r="E155" s="13"/>
      <c r="F155" s="13"/>
      <c r="G155" s="13"/>
      <c r="H155" s="28"/>
      <c r="I155" s="24" t="s">
        <v>165</v>
      </c>
      <c r="J155" s="24" t="s">
        <v>1388</v>
      </c>
      <c r="K155" s="26" t="s">
        <v>661</v>
      </c>
      <c r="L155" s="26" t="s">
        <v>479</v>
      </c>
      <c r="M155" s="66">
        <f>IFERROR(VLOOKUP($L155,[1]Consolidated!$C$9:$AC$341,27,0),0)</f>
        <v>38941500</v>
      </c>
      <c r="N155" s="66">
        <f>IFERROR(VLOOKUP($L155,[1]Consolidated!$C$9:$AC$341,5,0),0)</f>
        <v>170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4">
        <f>(VLOOKUP($O$2,Prices!$E$3:$F$17,2,FALSE)*Urban!O155)+(VLOOKUP($P$2,Prices!$E$3:$F$17,2,FALSE)*Urban!P155)+(VLOOKUP($Q$2,Prices!$E$3:$F$17,2,FALSE)*Urban!Q155)+(VLOOKUP($R$2,Prices!$E$3:$F$17,2,FALSE)*Urban!R155)+(VLOOKUP($S$2,Prices!$E$3:$F$17,2,FALSE)*Urban!S155)+(VLOOKUP($T$2,Prices!$E$3:$F$17,2,FALSE)*Urban!T155)+(VLOOKUP($U$2,Prices!$E$3:$F$17,2,FALSE)*Urban!U155)+(VLOOKUP($V$2,Prices!$E$3:$F$17,2,FALSE)*Urban!V155)+(VLOOKUP($W$2,Prices!$E$3:$F$17,2,FALSE)*Urban!W155)+(VLOOKUP($X$2,Prices!$E$3:$F$17,2,FALSE)*Urban!X155)+(VLOOKUP($Y$2,Prices!$E$3:$F$17,2,FALSE)*Urban!Y155)+(VLOOKUP($Z$2,Prices!$E$3:$F$17,2,FALSE)*Urban!Z155)+(VLOOKUP($AA$2,Prices!$E$3:$F$17,2,FALSE)*Urban!AA155)+(VLOOKUP($AB$2,Prices!$E$3:$F$17,2,FALSE)*Urban!AB155)+M155</f>
        <v>38941500</v>
      </c>
      <c r="AD155" s="18"/>
      <c r="AE155" s="18"/>
      <c r="AF155" s="4">
        <f t="shared" si="8"/>
        <v>0</v>
      </c>
      <c r="AG155" s="4"/>
      <c r="AH155" s="16">
        <f t="shared" si="9"/>
        <v>0</v>
      </c>
      <c r="AI155" s="21">
        <f t="shared" si="10"/>
        <v>0</v>
      </c>
      <c r="AJ155" s="20">
        <f t="shared" si="11"/>
        <v>0</v>
      </c>
      <c r="AK155" s="19"/>
    </row>
    <row r="156" spans="1:37" hidden="1">
      <c r="A156" s="3">
        <v>154</v>
      </c>
      <c r="B156" s="12"/>
      <c r="C156" s="13"/>
      <c r="D156" s="13"/>
      <c r="E156" s="13"/>
      <c r="F156" s="13"/>
      <c r="G156" s="13"/>
      <c r="H156" s="28"/>
      <c r="I156" s="24" t="s">
        <v>166</v>
      </c>
      <c r="J156" s="24" t="s">
        <v>1388</v>
      </c>
      <c r="K156" s="26" t="s">
        <v>661</v>
      </c>
      <c r="L156" s="26" t="s">
        <v>480</v>
      </c>
      <c r="M156" s="66">
        <f>IFERROR(VLOOKUP($L156,[1]Consolidated!$C$9:$AC$341,27,0),0)</f>
        <v>38750500</v>
      </c>
      <c r="N156" s="66">
        <f>IFERROR(VLOOKUP($L156,[1]Consolidated!$C$9:$AC$341,5,0),0)</f>
        <v>170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4">
        <f>(VLOOKUP($O$2,Prices!$E$3:$F$17,2,FALSE)*Urban!O156)+(VLOOKUP($P$2,Prices!$E$3:$F$17,2,FALSE)*Urban!P156)+(VLOOKUP($Q$2,Prices!$E$3:$F$17,2,FALSE)*Urban!Q156)+(VLOOKUP($R$2,Prices!$E$3:$F$17,2,FALSE)*Urban!R156)+(VLOOKUP($S$2,Prices!$E$3:$F$17,2,FALSE)*Urban!S156)+(VLOOKUP($T$2,Prices!$E$3:$F$17,2,FALSE)*Urban!T156)+(VLOOKUP($U$2,Prices!$E$3:$F$17,2,FALSE)*Urban!U156)+(VLOOKUP($V$2,Prices!$E$3:$F$17,2,FALSE)*Urban!V156)+(VLOOKUP($W$2,Prices!$E$3:$F$17,2,FALSE)*Urban!W156)+(VLOOKUP($X$2,Prices!$E$3:$F$17,2,FALSE)*Urban!X156)+(VLOOKUP($Y$2,Prices!$E$3:$F$17,2,FALSE)*Urban!Y156)+(VLOOKUP($Z$2,Prices!$E$3:$F$17,2,FALSE)*Urban!Z156)+(VLOOKUP($AA$2,Prices!$E$3:$F$17,2,FALSE)*Urban!AA156)+(VLOOKUP($AB$2,Prices!$E$3:$F$17,2,FALSE)*Urban!AB156)+M156</f>
        <v>38750500</v>
      </c>
      <c r="AD156" s="18"/>
      <c r="AE156" s="18"/>
      <c r="AF156" s="4">
        <f t="shared" si="8"/>
        <v>0</v>
      </c>
      <c r="AG156" s="4"/>
      <c r="AH156" s="16">
        <f t="shared" si="9"/>
        <v>0</v>
      </c>
      <c r="AI156" s="21">
        <f t="shared" si="10"/>
        <v>0</v>
      </c>
      <c r="AJ156" s="20">
        <f t="shared" si="11"/>
        <v>0</v>
      </c>
      <c r="AK156" s="9"/>
    </row>
    <row r="157" spans="1:37" hidden="1">
      <c r="A157" s="3">
        <v>155</v>
      </c>
      <c r="B157" s="12"/>
      <c r="C157" s="13"/>
      <c r="D157" s="13"/>
      <c r="E157" s="13"/>
      <c r="F157" s="13"/>
      <c r="G157" s="13"/>
      <c r="H157" s="28"/>
      <c r="I157" s="24" t="s">
        <v>167</v>
      </c>
      <c r="J157" s="24" t="s">
        <v>1388</v>
      </c>
      <c r="K157" s="26" t="s">
        <v>661</v>
      </c>
      <c r="L157" s="26" t="s">
        <v>481</v>
      </c>
      <c r="M157" s="66">
        <f>IFERROR(VLOOKUP($L157,[1]Consolidated!$C$9:$AC$341,27,0),0)</f>
        <v>32168500</v>
      </c>
      <c r="N157" s="66">
        <f>IFERROR(VLOOKUP($L157,[1]Consolidated!$C$9:$AC$341,5,0),0)</f>
        <v>150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4">
        <f>(VLOOKUP($O$2,Prices!$E$3:$F$17,2,FALSE)*Urban!O157)+(VLOOKUP($P$2,Prices!$E$3:$F$17,2,FALSE)*Urban!P157)+(VLOOKUP($Q$2,Prices!$E$3:$F$17,2,FALSE)*Urban!Q157)+(VLOOKUP($R$2,Prices!$E$3:$F$17,2,FALSE)*Urban!R157)+(VLOOKUP($S$2,Prices!$E$3:$F$17,2,FALSE)*Urban!S157)+(VLOOKUP($T$2,Prices!$E$3:$F$17,2,FALSE)*Urban!T157)+(VLOOKUP($U$2,Prices!$E$3:$F$17,2,FALSE)*Urban!U157)+(VLOOKUP($V$2,Prices!$E$3:$F$17,2,FALSE)*Urban!V157)+(VLOOKUP($W$2,Prices!$E$3:$F$17,2,FALSE)*Urban!W157)+(VLOOKUP($X$2,Prices!$E$3:$F$17,2,FALSE)*Urban!X157)+(VLOOKUP($Y$2,Prices!$E$3:$F$17,2,FALSE)*Urban!Y157)+(VLOOKUP($Z$2,Prices!$E$3:$F$17,2,FALSE)*Urban!Z157)+(VLOOKUP($AA$2,Prices!$E$3:$F$17,2,FALSE)*Urban!AA157)+(VLOOKUP($AB$2,Prices!$E$3:$F$17,2,FALSE)*Urban!AB157)+M157</f>
        <v>32168500</v>
      </c>
      <c r="AD157" s="18"/>
      <c r="AE157" s="18"/>
      <c r="AF157" s="4">
        <f t="shared" si="8"/>
        <v>0</v>
      </c>
      <c r="AG157" s="4"/>
      <c r="AH157" s="16">
        <f t="shared" si="9"/>
        <v>0</v>
      </c>
      <c r="AI157" s="21">
        <f t="shared" si="10"/>
        <v>0</v>
      </c>
      <c r="AJ157" s="20">
        <f t="shared" si="11"/>
        <v>0</v>
      </c>
      <c r="AK157" s="9"/>
    </row>
    <row r="158" spans="1:37" hidden="1">
      <c r="A158" s="3">
        <v>156</v>
      </c>
      <c r="B158" s="12"/>
      <c r="C158" s="13"/>
      <c r="D158" s="13"/>
      <c r="E158" s="13"/>
      <c r="F158" s="13"/>
      <c r="G158" s="13"/>
      <c r="H158" s="28"/>
      <c r="I158" s="39" t="s">
        <v>168</v>
      </c>
      <c r="J158" s="24" t="s">
        <v>1388</v>
      </c>
      <c r="K158" s="26" t="s">
        <v>661</v>
      </c>
      <c r="L158" s="26" t="s">
        <v>482</v>
      </c>
      <c r="M158" s="41">
        <f>IFERROR(VLOOKUP($L158,'[2]Top WH -National'!$D$9:$AC$124,26,0),0)</f>
        <v>83524000</v>
      </c>
      <c r="N158" s="41">
        <f>IFERROR(VLOOKUP($L158,'[2]Top WH -National'!$D$9:$AC$124,4,0),0)</f>
        <v>443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4">
        <f>(VLOOKUP($O$2,Prices!$E$3:$F$17,2,FALSE)*Urban!O158)+(VLOOKUP($P$2,Prices!$E$3:$F$17,2,FALSE)*Urban!P158)+(VLOOKUP($Q$2,Prices!$E$3:$F$17,2,FALSE)*Urban!Q158)+(VLOOKUP($R$2,Prices!$E$3:$F$17,2,FALSE)*Urban!R158)+(VLOOKUP($S$2,Prices!$E$3:$F$17,2,FALSE)*Urban!S158)+(VLOOKUP($T$2,Prices!$E$3:$F$17,2,FALSE)*Urban!T158)+(VLOOKUP($U$2,Prices!$E$3:$F$17,2,FALSE)*Urban!U158)+(VLOOKUP($V$2,Prices!$E$3:$F$17,2,FALSE)*Urban!V158)+(VLOOKUP($W$2,Prices!$E$3:$F$17,2,FALSE)*Urban!W158)+(VLOOKUP($X$2,Prices!$E$3:$F$17,2,FALSE)*Urban!X158)+(VLOOKUP($Y$2,Prices!$E$3:$F$17,2,FALSE)*Urban!Y158)+(VLOOKUP($Z$2,Prices!$E$3:$F$17,2,FALSE)*Urban!Z158)+(VLOOKUP($AA$2,Prices!$E$3:$F$17,2,FALSE)*Urban!AA158)+(VLOOKUP($AB$2,Prices!$E$3:$F$17,2,FALSE)*Urban!AB158)+M158</f>
        <v>83524000</v>
      </c>
      <c r="AD158" s="18"/>
      <c r="AE158" s="18"/>
      <c r="AF158" s="4">
        <f t="shared" si="8"/>
        <v>0</v>
      </c>
      <c r="AG158" s="4"/>
      <c r="AH158" s="16">
        <f t="shared" si="9"/>
        <v>0</v>
      </c>
      <c r="AI158" s="21">
        <f t="shared" si="10"/>
        <v>0</v>
      </c>
      <c r="AJ158" s="20">
        <f t="shared" si="11"/>
        <v>0</v>
      </c>
      <c r="AK158" s="9"/>
    </row>
    <row r="159" spans="1:37" hidden="1">
      <c r="A159" s="3">
        <v>157</v>
      </c>
      <c r="B159" s="12"/>
      <c r="C159" s="13"/>
      <c r="D159" s="13"/>
      <c r="E159" s="13"/>
      <c r="F159" s="13"/>
      <c r="G159" s="13"/>
      <c r="H159" s="28"/>
      <c r="I159" s="39" t="s">
        <v>169</v>
      </c>
      <c r="J159" s="24" t="s">
        <v>1388</v>
      </c>
      <c r="K159" s="26" t="s">
        <v>661</v>
      </c>
      <c r="L159" s="26" t="s">
        <v>483</v>
      </c>
      <c r="M159" s="41">
        <f>IFERROR(VLOOKUP($L159,'[2]Top WH -National'!$D$9:$AC$124,26,0),0)</f>
        <v>97804500</v>
      </c>
      <c r="N159" s="41">
        <f>IFERROR(VLOOKUP($L159,'[2]Top WH -National'!$D$9:$AC$124,4,0),0)</f>
        <v>489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4">
        <f>(VLOOKUP($O$2,Prices!$E$3:$F$17,2,FALSE)*Urban!O159)+(VLOOKUP($P$2,Prices!$E$3:$F$17,2,FALSE)*Urban!P159)+(VLOOKUP($Q$2,Prices!$E$3:$F$17,2,FALSE)*Urban!Q159)+(VLOOKUP($R$2,Prices!$E$3:$F$17,2,FALSE)*Urban!R159)+(VLOOKUP($S$2,Prices!$E$3:$F$17,2,FALSE)*Urban!S159)+(VLOOKUP($T$2,Prices!$E$3:$F$17,2,FALSE)*Urban!T159)+(VLOOKUP($U$2,Prices!$E$3:$F$17,2,FALSE)*Urban!U159)+(VLOOKUP($V$2,Prices!$E$3:$F$17,2,FALSE)*Urban!V159)+(VLOOKUP($W$2,Prices!$E$3:$F$17,2,FALSE)*Urban!W159)+(VLOOKUP($X$2,Prices!$E$3:$F$17,2,FALSE)*Urban!X159)+(VLOOKUP($Y$2,Prices!$E$3:$F$17,2,FALSE)*Urban!Y159)+(VLOOKUP($Z$2,Prices!$E$3:$F$17,2,FALSE)*Urban!Z159)+(VLOOKUP($AA$2,Prices!$E$3:$F$17,2,FALSE)*Urban!AA159)+(VLOOKUP($AB$2,Prices!$E$3:$F$17,2,FALSE)*Urban!AB159)+M159</f>
        <v>97804500</v>
      </c>
      <c r="AD159" s="18"/>
      <c r="AE159" s="18"/>
      <c r="AF159" s="4">
        <f t="shared" si="8"/>
        <v>0</v>
      </c>
      <c r="AG159" s="4"/>
      <c r="AH159" s="16">
        <f t="shared" si="9"/>
        <v>0</v>
      </c>
      <c r="AI159" s="21">
        <f t="shared" si="10"/>
        <v>0</v>
      </c>
      <c r="AJ159" s="20">
        <f t="shared" si="11"/>
        <v>0</v>
      </c>
      <c r="AK159" s="9"/>
    </row>
    <row r="160" spans="1:37" hidden="1">
      <c r="A160" s="3">
        <v>158</v>
      </c>
      <c r="B160" s="12"/>
      <c r="C160" s="13"/>
      <c r="D160" s="13"/>
      <c r="E160" s="13"/>
      <c r="F160" s="13"/>
      <c r="G160" s="13"/>
      <c r="H160" s="28"/>
      <c r="I160" s="24" t="s">
        <v>170</v>
      </c>
      <c r="J160" s="24" t="s">
        <v>1388</v>
      </c>
      <c r="K160" s="26" t="s">
        <v>661</v>
      </c>
      <c r="L160" s="26" t="s">
        <v>484</v>
      </c>
      <c r="M160" s="66">
        <f>IFERROR(VLOOKUP($L160,[1]Consolidated!$C$9:$AC$341,27,0),0)</f>
        <v>17248000</v>
      </c>
      <c r="N160" s="66">
        <f>IFERROR(VLOOKUP($L160,[1]Consolidated!$C$9:$AC$341,5,0),0)</f>
        <v>80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4">
        <f>(VLOOKUP($O$2,Prices!$E$3:$F$17,2,FALSE)*Urban!O160)+(VLOOKUP($P$2,Prices!$E$3:$F$17,2,FALSE)*Urban!P160)+(VLOOKUP($Q$2,Prices!$E$3:$F$17,2,FALSE)*Urban!Q160)+(VLOOKUP($R$2,Prices!$E$3:$F$17,2,FALSE)*Urban!R160)+(VLOOKUP($S$2,Prices!$E$3:$F$17,2,FALSE)*Urban!S160)+(VLOOKUP($T$2,Prices!$E$3:$F$17,2,FALSE)*Urban!T160)+(VLOOKUP($U$2,Prices!$E$3:$F$17,2,FALSE)*Urban!U160)+(VLOOKUP($V$2,Prices!$E$3:$F$17,2,FALSE)*Urban!V160)+(VLOOKUP($W$2,Prices!$E$3:$F$17,2,FALSE)*Urban!W160)+(VLOOKUP($X$2,Prices!$E$3:$F$17,2,FALSE)*Urban!X160)+(VLOOKUP($Y$2,Prices!$E$3:$F$17,2,FALSE)*Urban!Y160)+(VLOOKUP($Z$2,Prices!$E$3:$F$17,2,FALSE)*Urban!Z160)+(VLOOKUP($AA$2,Prices!$E$3:$F$17,2,FALSE)*Urban!AA160)+(VLOOKUP($AB$2,Prices!$E$3:$F$17,2,FALSE)*Urban!AB160)+M160</f>
        <v>17248000</v>
      </c>
      <c r="AD160" s="18"/>
      <c r="AE160" s="18"/>
      <c r="AF160" s="4">
        <f t="shared" si="8"/>
        <v>0</v>
      </c>
      <c r="AG160" s="4"/>
      <c r="AH160" s="16">
        <f t="shared" si="9"/>
        <v>0</v>
      </c>
      <c r="AI160" s="21">
        <f t="shared" si="10"/>
        <v>0</v>
      </c>
      <c r="AJ160" s="20">
        <f t="shared" si="11"/>
        <v>0</v>
      </c>
      <c r="AK160" s="9"/>
    </row>
    <row r="161" spans="1:37" hidden="1">
      <c r="A161" s="3">
        <v>159</v>
      </c>
      <c r="B161" s="12"/>
      <c r="C161" s="13"/>
      <c r="D161" s="13"/>
      <c r="E161" s="13"/>
      <c r="F161" s="13"/>
      <c r="G161" s="13"/>
      <c r="H161" s="28"/>
      <c r="I161" s="24" t="s">
        <v>171</v>
      </c>
      <c r="J161" s="24" t="s">
        <v>1388</v>
      </c>
      <c r="K161" s="26" t="s">
        <v>661</v>
      </c>
      <c r="L161" s="26" t="s">
        <v>485</v>
      </c>
      <c r="M161" s="66">
        <f>IFERROR(VLOOKUP($L161,[1]Consolidated!$C$9:$AC$341,27,0),0)</f>
        <v>40072500</v>
      </c>
      <c r="N161" s="66">
        <f>IFERROR(VLOOKUP($L161,[1]Consolidated!$C$9:$AC$341,5,0),0)</f>
        <v>185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4">
        <f>(VLOOKUP($O$2,Prices!$E$3:$F$17,2,FALSE)*Urban!O161)+(VLOOKUP($P$2,Prices!$E$3:$F$17,2,FALSE)*Urban!P161)+(VLOOKUP($Q$2,Prices!$E$3:$F$17,2,FALSE)*Urban!Q161)+(VLOOKUP($R$2,Prices!$E$3:$F$17,2,FALSE)*Urban!R161)+(VLOOKUP($S$2,Prices!$E$3:$F$17,2,FALSE)*Urban!S161)+(VLOOKUP($T$2,Prices!$E$3:$F$17,2,FALSE)*Urban!T161)+(VLOOKUP($U$2,Prices!$E$3:$F$17,2,FALSE)*Urban!U161)+(VLOOKUP($V$2,Prices!$E$3:$F$17,2,FALSE)*Urban!V161)+(VLOOKUP($W$2,Prices!$E$3:$F$17,2,FALSE)*Urban!W161)+(VLOOKUP($X$2,Prices!$E$3:$F$17,2,FALSE)*Urban!X161)+(VLOOKUP($Y$2,Prices!$E$3:$F$17,2,FALSE)*Urban!Y161)+(VLOOKUP($Z$2,Prices!$E$3:$F$17,2,FALSE)*Urban!Z161)+(VLOOKUP($AA$2,Prices!$E$3:$F$17,2,FALSE)*Urban!AA161)+(VLOOKUP($AB$2,Prices!$E$3:$F$17,2,FALSE)*Urban!AB161)+M161</f>
        <v>40072500</v>
      </c>
      <c r="AD161" s="18"/>
      <c r="AE161" s="18"/>
      <c r="AF161" s="4">
        <f t="shared" si="8"/>
        <v>0</v>
      </c>
      <c r="AG161" s="4"/>
      <c r="AH161" s="16">
        <f t="shared" si="9"/>
        <v>0</v>
      </c>
      <c r="AI161" s="21">
        <f t="shared" si="10"/>
        <v>0</v>
      </c>
      <c r="AJ161" s="20">
        <f t="shared" si="11"/>
        <v>0</v>
      </c>
      <c r="AK161" s="9"/>
    </row>
    <row r="162" spans="1:37" hidden="1">
      <c r="A162" s="3">
        <v>160</v>
      </c>
      <c r="B162" s="12"/>
      <c r="C162" s="13"/>
      <c r="D162" s="13"/>
      <c r="E162" s="13"/>
      <c r="F162" s="13"/>
      <c r="G162" s="13"/>
      <c r="H162" s="28"/>
      <c r="I162" s="24" t="s">
        <v>172</v>
      </c>
      <c r="J162" s="24" t="s">
        <v>1388</v>
      </c>
      <c r="K162" s="26" t="s">
        <v>661</v>
      </c>
      <c r="L162" s="26" t="s">
        <v>486</v>
      </c>
      <c r="M162" s="66">
        <f>IFERROR(VLOOKUP($L162,[1]Consolidated!$C$9:$AC$341,27,0),0)</f>
        <v>20742500</v>
      </c>
      <c r="N162" s="66">
        <f>IFERROR(VLOOKUP($L162,[1]Consolidated!$C$9:$AC$341,5,0),0)</f>
        <v>90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4">
        <f>(VLOOKUP($O$2,Prices!$E$3:$F$17,2,FALSE)*Urban!O162)+(VLOOKUP($P$2,Prices!$E$3:$F$17,2,FALSE)*Urban!P162)+(VLOOKUP($Q$2,Prices!$E$3:$F$17,2,FALSE)*Urban!Q162)+(VLOOKUP($R$2,Prices!$E$3:$F$17,2,FALSE)*Urban!R162)+(VLOOKUP($S$2,Prices!$E$3:$F$17,2,FALSE)*Urban!S162)+(VLOOKUP($T$2,Prices!$E$3:$F$17,2,FALSE)*Urban!T162)+(VLOOKUP($U$2,Prices!$E$3:$F$17,2,FALSE)*Urban!U162)+(VLOOKUP($V$2,Prices!$E$3:$F$17,2,FALSE)*Urban!V162)+(VLOOKUP($W$2,Prices!$E$3:$F$17,2,FALSE)*Urban!W162)+(VLOOKUP($X$2,Prices!$E$3:$F$17,2,FALSE)*Urban!X162)+(VLOOKUP($Y$2,Prices!$E$3:$F$17,2,FALSE)*Urban!Y162)+(VLOOKUP($Z$2,Prices!$E$3:$F$17,2,FALSE)*Urban!Z162)+(VLOOKUP($AA$2,Prices!$E$3:$F$17,2,FALSE)*Urban!AA162)+(VLOOKUP($AB$2,Prices!$E$3:$F$17,2,FALSE)*Urban!AB162)+M162</f>
        <v>20742500</v>
      </c>
      <c r="AD162" s="18"/>
      <c r="AE162" s="18"/>
      <c r="AF162" s="4">
        <f t="shared" si="8"/>
        <v>0</v>
      </c>
      <c r="AG162" s="4"/>
      <c r="AH162" s="16">
        <f t="shared" si="9"/>
        <v>0</v>
      </c>
      <c r="AI162" s="21">
        <f t="shared" si="10"/>
        <v>0</v>
      </c>
      <c r="AJ162" s="20">
        <f t="shared" si="11"/>
        <v>0</v>
      </c>
      <c r="AK162" s="9"/>
    </row>
    <row r="163" spans="1:37" hidden="1">
      <c r="A163" s="3">
        <v>161</v>
      </c>
      <c r="B163" s="12"/>
      <c r="C163" s="13"/>
      <c r="D163" s="13"/>
      <c r="E163" s="13"/>
      <c r="F163" s="13"/>
      <c r="G163" s="13"/>
      <c r="H163" s="28"/>
      <c r="I163" s="24" t="s">
        <v>173</v>
      </c>
      <c r="J163" s="24" t="s">
        <v>1388</v>
      </c>
      <c r="K163" s="26" t="s">
        <v>661</v>
      </c>
      <c r="L163" s="26" t="s">
        <v>487</v>
      </c>
      <c r="M163" s="66">
        <f>IFERROR(VLOOKUP($L163,[1]Consolidated!$C$9:$AC$341,27,0),0)</f>
        <v>24386500</v>
      </c>
      <c r="N163" s="66">
        <f>IFERROR(VLOOKUP($L163,[1]Consolidated!$C$9:$AC$341,5,0),0)</f>
        <v>120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4">
        <f>(VLOOKUP($O$2,Prices!$E$3:$F$17,2,FALSE)*Urban!O163)+(VLOOKUP($P$2,Prices!$E$3:$F$17,2,FALSE)*Urban!P163)+(VLOOKUP($Q$2,Prices!$E$3:$F$17,2,FALSE)*Urban!Q163)+(VLOOKUP($R$2,Prices!$E$3:$F$17,2,FALSE)*Urban!R163)+(VLOOKUP($S$2,Prices!$E$3:$F$17,2,FALSE)*Urban!S163)+(VLOOKUP($T$2,Prices!$E$3:$F$17,2,FALSE)*Urban!T163)+(VLOOKUP($U$2,Prices!$E$3:$F$17,2,FALSE)*Urban!U163)+(VLOOKUP($V$2,Prices!$E$3:$F$17,2,FALSE)*Urban!V163)+(VLOOKUP($W$2,Prices!$E$3:$F$17,2,FALSE)*Urban!W163)+(VLOOKUP($X$2,Prices!$E$3:$F$17,2,FALSE)*Urban!X163)+(VLOOKUP($Y$2,Prices!$E$3:$F$17,2,FALSE)*Urban!Y163)+(VLOOKUP($Z$2,Prices!$E$3:$F$17,2,FALSE)*Urban!Z163)+(VLOOKUP($AA$2,Prices!$E$3:$F$17,2,FALSE)*Urban!AA163)+(VLOOKUP($AB$2,Prices!$E$3:$F$17,2,FALSE)*Urban!AB163)+M163</f>
        <v>24386500</v>
      </c>
      <c r="AD163" s="18"/>
      <c r="AE163" s="18"/>
      <c r="AF163" s="4">
        <f t="shared" si="8"/>
        <v>0</v>
      </c>
      <c r="AG163" s="4"/>
      <c r="AH163" s="16">
        <f t="shared" si="9"/>
        <v>0</v>
      </c>
      <c r="AI163" s="21">
        <f t="shared" si="10"/>
        <v>0</v>
      </c>
      <c r="AJ163" s="20">
        <f t="shared" si="11"/>
        <v>0</v>
      </c>
      <c r="AK163" s="9"/>
    </row>
    <row r="164" spans="1:37" hidden="1">
      <c r="A164" s="3">
        <v>162</v>
      </c>
      <c r="B164" s="12"/>
      <c r="C164" s="13"/>
      <c r="D164" s="13"/>
      <c r="E164" s="13"/>
      <c r="F164" s="13"/>
      <c r="G164" s="13"/>
      <c r="H164" s="28"/>
      <c r="I164" s="39" t="s">
        <v>174</v>
      </c>
      <c r="J164" s="24" t="s">
        <v>1388</v>
      </c>
      <c r="K164" s="26" t="s">
        <v>661</v>
      </c>
      <c r="L164" s="26" t="s">
        <v>488</v>
      </c>
      <c r="M164" s="41">
        <f>IFERROR(VLOOKUP($L164,'[2]Top WH -National'!$D$9:$AC$124,26,0),0)</f>
        <v>71227000</v>
      </c>
      <c r="N164" s="41">
        <f>IFERROR(VLOOKUP($L164,'[2]Top WH -National'!$D$9:$AC$124,4,0),0)</f>
        <v>374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4">
        <f>(VLOOKUP($O$2,Prices!$E$3:$F$17,2,FALSE)*Urban!O164)+(VLOOKUP($P$2,Prices!$E$3:$F$17,2,FALSE)*Urban!P164)+(VLOOKUP($Q$2,Prices!$E$3:$F$17,2,FALSE)*Urban!Q164)+(VLOOKUP($R$2,Prices!$E$3:$F$17,2,FALSE)*Urban!R164)+(VLOOKUP($S$2,Prices!$E$3:$F$17,2,FALSE)*Urban!S164)+(VLOOKUP($T$2,Prices!$E$3:$F$17,2,FALSE)*Urban!T164)+(VLOOKUP($U$2,Prices!$E$3:$F$17,2,FALSE)*Urban!U164)+(VLOOKUP($V$2,Prices!$E$3:$F$17,2,FALSE)*Urban!V164)+(VLOOKUP($W$2,Prices!$E$3:$F$17,2,FALSE)*Urban!W164)+(VLOOKUP($X$2,Prices!$E$3:$F$17,2,FALSE)*Urban!X164)+(VLOOKUP($Y$2,Prices!$E$3:$F$17,2,FALSE)*Urban!Y164)+(VLOOKUP($Z$2,Prices!$E$3:$F$17,2,FALSE)*Urban!Z164)+(VLOOKUP($AA$2,Prices!$E$3:$F$17,2,FALSE)*Urban!AA164)+(VLOOKUP($AB$2,Prices!$E$3:$F$17,2,FALSE)*Urban!AB164)+M164</f>
        <v>71227000</v>
      </c>
      <c r="AD164" s="18"/>
      <c r="AE164" s="18"/>
      <c r="AF164" s="4">
        <f t="shared" si="8"/>
        <v>0</v>
      </c>
      <c r="AG164" s="4"/>
      <c r="AH164" s="16">
        <f t="shared" si="9"/>
        <v>0</v>
      </c>
      <c r="AI164" s="21">
        <f t="shared" si="10"/>
        <v>0</v>
      </c>
      <c r="AJ164" s="20">
        <f t="shared" si="11"/>
        <v>0</v>
      </c>
      <c r="AK164" s="19"/>
    </row>
    <row r="165" spans="1:37" hidden="1">
      <c r="A165" s="3">
        <v>163</v>
      </c>
      <c r="B165" s="12"/>
      <c r="C165" s="13"/>
      <c r="D165" s="13"/>
      <c r="E165" s="13"/>
      <c r="F165" s="13"/>
      <c r="G165" s="13"/>
      <c r="H165" s="28"/>
      <c r="I165" s="24" t="s">
        <v>175</v>
      </c>
      <c r="J165" s="24" t="s">
        <v>1388</v>
      </c>
      <c r="K165" s="26" t="s">
        <v>661</v>
      </c>
      <c r="L165" s="26" t="s">
        <v>489</v>
      </c>
      <c r="M165" s="66">
        <f>IFERROR(VLOOKUP($L165,[1]Consolidated!$C$9:$AC$341,27,0),0)</f>
        <v>18649000</v>
      </c>
      <c r="N165" s="66">
        <f>IFERROR(VLOOKUP($L165,[1]Consolidated!$C$9:$AC$341,5,0),0)</f>
        <v>80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4">
        <f>(VLOOKUP($O$2,Prices!$E$3:$F$17,2,FALSE)*Urban!O165)+(VLOOKUP($P$2,Prices!$E$3:$F$17,2,FALSE)*Urban!P165)+(VLOOKUP($Q$2,Prices!$E$3:$F$17,2,FALSE)*Urban!Q165)+(VLOOKUP($R$2,Prices!$E$3:$F$17,2,FALSE)*Urban!R165)+(VLOOKUP($S$2,Prices!$E$3:$F$17,2,FALSE)*Urban!S165)+(VLOOKUP($T$2,Prices!$E$3:$F$17,2,FALSE)*Urban!T165)+(VLOOKUP($U$2,Prices!$E$3:$F$17,2,FALSE)*Urban!U165)+(VLOOKUP($V$2,Prices!$E$3:$F$17,2,FALSE)*Urban!V165)+(VLOOKUP($W$2,Prices!$E$3:$F$17,2,FALSE)*Urban!W165)+(VLOOKUP($X$2,Prices!$E$3:$F$17,2,FALSE)*Urban!X165)+(VLOOKUP($Y$2,Prices!$E$3:$F$17,2,FALSE)*Urban!Y165)+(VLOOKUP($Z$2,Prices!$E$3:$F$17,2,FALSE)*Urban!Z165)+(VLOOKUP($AA$2,Prices!$E$3:$F$17,2,FALSE)*Urban!AA165)+(VLOOKUP($AB$2,Prices!$E$3:$F$17,2,FALSE)*Urban!AB165)+M165</f>
        <v>18649000</v>
      </c>
      <c r="AD165" s="18"/>
      <c r="AE165" s="18"/>
      <c r="AF165" s="4">
        <f t="shared" si="8"/>
        <v>0</v>
      </c>
      <c r="AG165" s="4"/>
      <c r="AH165" s="16">
        <f t="shared" si="9"/>
        <v>0</v>
      </c>
      <c r="AI165" s="21">
        <f t="shared" si="10"/>
        <v>0</v>
      </c>
      <c r="AJ165" s="20">
        <f t="shared" si="11"/>
        <v>0</v>
      </c>
      <c r="AK165" s="9"/>
    </row>
    <row r="166" spans="1:37" hidden="1">
      <c r="A166" s="3">
        <v>164</v>
      </c>
      <c r="B166" s="12"/>
      <c r="C166" s="13"/>
      <c r="D166" s="13"/>
      <c r="E166" s="13"/>
      <c r="F166" s="13"/>
      <c r="G166" s="13"/>
      <c r="H166" s="28"/>
      <c r="I166" s="39" t="s">
        <v>176</v>
      </c>
      <c r="J166" s="24" t="s">
        <v>1388</v>
      </c>
      <c r="K166" s="26" t="s">
        <v>20</v>
      </c>
      <c r="L166" s="26" t="s">
        <v>490</v>
      </c>
      <c r="M166" s="41">
        <f>IFERROR(VLOOKUP($L166,'[2]Top WH -National'!$D$9:$AC$124,26,0),0)</f>
        <v>78324000</v>
      </c>
      <c r="N166" s="41">
        <f>IFERROR(VLOOKUP($L166,'[2]Top WH -National'!$D$9:$AC$124,4,0),0)</f>
        <v>373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4">
        <f>(VLOOKUP($O$2,Prices!$E$3:$F$17,2,FALSE)*Urban!O166)+(VLOOKUP($P$2,Prices!$E$3:$F$17,2,FALSE)*Urban!P166)+(VLOOKUP($Q$2,Prices!$E$3:$F$17,2,FALSE)*Urban!Q166)+(VLOOKUP($R$2,Prices!$E$3:$F$17,2,FALSE)*Urban!R166)+(VLOOKUP($S$2,Prices!$E$3:$F$17,2,FALSE)*Urban!S166)+(VLOOKUP($T$2,Prices!$E$3:$F$17,2,FALSE)*Urban!T166)+(VLOOKUP($U$2,Prices!$E$3:$F$17,2,FALSE)*Urban!U166)+(VLOOKUP($V$2,Prices!$E$3:$F$17,2,FALSE)*Urban!V166)+(VLOOKUP($W$2,Prices!$E$3:$F$17,2,FALSE)*Urban!W166)+(VLOOKUP($X$2,Prices!$E$3:$F$17,2,FALSE)*Urban!X166)+(VLOOKUP($Y$2,Prices!$E$3:$F$17,2,FALSE)*Urban!Y166)+(VLOOKUP($Z$2,Prices!$E$3:$F$17,2,FALSE)*Urban!Z166)+(VLOOKUP($AA$2,Prices!$E$3:$F$17,2,FALSE)*Urban!AA166)+(VLOOKUP($AB$2,Prices!$E$3:$F$17,2,FALSE)*Urban!AB166)+M166</f>
        <v>78324000</v>
      </c>
      <c r="AD166" s="18"/>
      <c r="AE166" s="18"/>
      <c r="AF166" s="4">
        <f t="shared" si="8"/>
        <v>0</v>
      </c>
      <c r="AG166" s="4"/>
      <c r="AH166" s="16">
        <f t="shared" si="9"/>
        <v>0</v>
      </c>
      <c r="AI166" s="21">
        <f t="shared" si="10"/>
        <v>0</v>
      </c>
      <c r="AJ166" s="20">
        <f t="shared" si="11"/>
        <v>0</v>
      </c>
      <c r="AK166" s="9"/>
    </row>
    <row r="167" spans="1:37" hidden="1">
      <c r="A167" s="3">
        <v>165</v>
      </c>
      <c r="B167" s="12"/>
      <c r="C167" s="13"/>
      <c r="D167" s="13"/>
      <c r="E167" s="13"/>
      <c r="F167" s="13"/>
      <c r="G167" s="13"/>
      <c r="H167" s="28"/>
      <c r="I167" s="24" t="s">
        <v>177</v>
      </c>
      <c r="J167" s="24" t="s">
        <v>1388</v>
      </c>
      <c r="K167" s="26" t="s">
        <v>20</v>
      </c>
      <c r="L167" s="26" t="s">
        <v>491</v>
      </c>
      <c r="M167" s="66">
        <f>IFERROR(VLOOKUP($L167,[1]Consolidated!$C$9:$AC$341,27,0),0)</f>
        <v>32954500</v>
      </c>
      <c r="N167" s="66">
        <f>IFERROR(VLOOKUP($L167,[1]Consolidated!$C$9:$AC$341,5,0),0)</f>
        <v>150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4">
        <f>(VLOOKUP($O$2,Prices!$E$3:$F$17,2,FALSE)*Urban!O167)+(VLOOKUP($P$2,Prices!$E$3:$F$17,2,FALSE)*Urban!P167)+(VLOOKUP($Q$2,Prices!$E$3:$F$17,2,FALSE)*Urban!Q167)+(VLOOKUP($R$2,Prices!$E$3:$F$17,2,FALSE)*Urban!R167)+(VLOOKUP($S$2,Prices!$E$3:$F$17,2,FALSE)*Urban!S167)+(VLOOKUP($T$2,Prices!$E$3:$F$17,2,FALSE)*Urban!T167)+(VLOOKUP($U$2,Prices!$E$3:$F$17,2,FALSE)*Urban!U167)+(VLOOKUP($V$2,Prices!$E$3:$F$17,2,FALSE)*Urban!V167)+(VLOOKUP($W$2,Prices!$E$3:$F$17,2,FALSE)*Urban!W167)+(VLOOKUP($X$2,Prices!$E$3:$F$17,2,FALSE)*Urban!X167)+(VLOOKUP($Y$2,Prices!$E$3:$F$17,2,FALSE)*Urban!Y167)+(VLOOKUP($Z$2,Prices!$E$3:$F$17,2,FALSE)*Urban!Z167)+(VLOOKUP($AA$2,Prices!$E$3:$F$17,2,FALSE)*Urban!AA167)+(VLOOKUP($AB$2,Prices!$E$3:$F$17,2,FALSE)*Urban!AB167)+M167</f>
        <v>32954500</v>
      </c>
      <c r="AD167" s="18"/>
      <c r="AE167" s="18"/>
      <c r="AF167" s="4">
        <f t="shared" si="8"/>
        <v>0</v>
      </c>
      <c r="AG167" s="4"/>
      <c r="AH167" s="16">
        <f t="shared" si="9"/>
        <v>0</v>
      </c>
      <c r="AI167" s="21">
        <f t="shared" si="10"/>
        <v>0</v>
      </c>
      <c r="AJ167" s="20">
        <f t="shared" si="11"/>
        <v>0</v>
      </c>
      <c r="AK167" s="9"/>
    </row>
    <row r="168" spans="1:37" hidden="1">
      <c r="A168" s="3">
        <v>166</v>
      </c>
      <c r="B168" s="12"/>
      <c r="C168" s="13"/>
      <c r="D168" s="13"/>
      <c r="E168" s="13"/>
      <c r="F168" s="13"/>
      <c r="G168" s="13"/>
      <c r="H168" s="28"/>
      <c r="I168" s="39" t="s">
        <v>178</v>
      </c>
      <c r="J168" s="24" t="s">
        <v>1388</v>
      </c>
      <c r="K168" s="26" t="s">
        <v>20</v>
      </c>
      <c r="L168" s="26" t="s">
        <v>492</v>
      </c>
      <c r="M168" s="41">
        <f>IFERROR(VLOOKUP($L168,'[2]Top WH -National'!$D$9:$AC$124,26,0),0)</f>
        <v>148019000</v>
      </c>
      <c r="N168" s="41">
        <f>IFERROR(VLOOKUP($L168,'[2]Top WH -National'!$D$9:$AC$124,4,0),0)</f>
        <v>688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4">
        <f>(VLOOKUP($O$2,Prices!$E$3:$F$17,2,FALSE)*Urban!O168)+(VLOOKUP($P$2,Prices!$E$3:$F$17,2,FALSE)*Urban!P168)+(VLOOKUP($Q$2,Prices!$E$3:$F$17,2,FALSE)*Urban!Q168)+(VLOOKUP($R$2,Prices!$E$3:$F$17,2,FALSE)*Urban!R168)+(VLOOKUP($S$2,Prices!$E$3:$F$17,2,FALSE)*Urban!S168)+(VLOOKUP($T$2,Prices!$E$3:$F$17,2,FALSE)*Urban!T168)+(VLOOKUP($U$2,Prices!$E$3:$F$17,2,FALSE)*Urban!U168)+(VLOOKUP($V$2,Prices!$E$3:$F$17,2,FALSE)*Urban!V168)+(VLOOKUP($W$2,Prices!$E$3:$F$17,2,FALSE)*Urban!W168)+(VLOOKUP($X$2,Prices!$E$3:$F$17,2,FALSE)*Urban!X168)+(VLOOKUP($Y$2,Prices!$E$3:$F$17,2,FALSE)*Urban!Y168)+(VLOOKUP($Z$2,Prices!$E$3:$F$17,2,FALSE)*Urban!Z168)+(VLOOKUP($AA$2,Prices!$E$3:$F$17,2,FALSE)*Urban!AA168)+(VLOOKUP($AB$2,Prices!$E$3:$F$17,2,FALSE)*Urban!AB168)+M168</f>
        <v>148019000</v>
      </c>
      <c r="AD168" s="18"/>
      <c r="AE168" s="18"/>
      <c r="AF168" s="4">
        <f t="shared" si="8"/>
        <v>0</v>
      </c>
      <c r="AG168" s="4"/>
      <c r="AH168" s="16">
        <f t="shared" si="9"/>
        <v>0</v>
      </c>
      <c r="AI168" s="21">
        <f t="shared" si="10"/>
        <v>0</v>
      </c>
      <c r="AJ168" s="20">
        <f t="shared" si="11"/>
        <v>0</v>
      </c>
      <c r="AK168" s="9"/>
    </row>
    <row r="169" spans="1:37" hidden="1">
      <c r="A169" s="3">
        <v>167</v>
      </c>
      <c r="B169" s="12"/>
      <c r="C169" s="13"/>
      <c r="D169" s="13"/>
      <c r="E169" s="13"/>
      <c r="F169" s="13"/>
      <c r="G169" s="13"/>
      <c r="H169" s="28"/>
      <c r="I169" s="39" t="s">
        <v>18</v>
      </c>
      <c r="J169" s="24" t="s">
        <v>1388</v>
      </c>
      <c r="K169" s="26" t="s">
        <v>20</v>
      </c>
      <c r="L169" s="26" t="s">
        <v>19</v>
      </c>
      <c r="M169" s="41">
        <f>IFERROR(VLOOKUP($L169,'[2]Top WH -National'!$D$9:$AC$124,26,0),0)</f>
        <v>324042500</v>
      </c>
      <c r="N169" s="41">
        <f>IFERROR(VLOOKUP($L169,'[2]Top WH -National'!$D$9:$AC$124,4,0),0)</f>
        <v>1475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4">
        <f>(VLOOKUP($O$2,Prices!$E$3:$F$17,2,FALSE)*Urban!O169)+(VLOOKUP($P$2,Prices!$E$3:$F$17,2,FALSE)*Urban!P169)+(VLOOKUP($Q$2,Prices!$E$3:$F$17,2,FALSE)*Urban!Q169)+(VLOOKUP($R$2,Prices!$E$3:$F$17,2,FALSE)*Urban!R169)+(VLOOKUP($S$2,Prices!$E$3:$F$17,2,FALSE)*Urban!S169)+(VLOOKUP($T$2,Prices!$E$3:$F$17,2,FALSE)*Urban!T169)+(VLOOKUP($U$2,Prices!$E$3:$F$17,2,FALSE)*Urban!U169)+(VLOOKUP($V$2,Prices!$E$3:$F$17,2,FALSE)*Urban!V169)+(VLOOKUP($W$2,Prices!$E$3:$F$17,2,FALSE)*Urban!W169)+(VLOOKUP($X$2,Prices!$E$3:$F$17,2,FALSE)*Urban!X169)+(VLOOKUP($Y$2,Prices!$E$3:$F$17,2,FALSE)*Urban!Y169)+(VLOOKUP($Z$2,Prices!$E$3:$F$17,2,FALSE)*Urban!Z169)+(VLOOKUP($AA$2,Prices!$E$3:$F$17,2,FALSE)*Urban!AA169)+(VLOOKUP($AB$2,Prices!$E$3:$F$17,2,FALSE)*Urban!AB169)+M169</f>
        <v>324042500</v>
      </c>
      <c r="AD169" s="18"/>
      <c r="AE169" s="18"/>
      <c r="AF169" s="4">
        <f t="shared" si="8"/>
        <v>0</v>
      </c>
      <c r="AG169" s="4"/>
      <c r="AH169" s="16">
        <f t="shared" si="9"/>
        <v>0</v>
      </c>
      <c r="AI169" s="21">
        <f t="shared" si="10"/>
        <v>0</v>
      </c>
      <c r="AJ169" s="20">
        <f t="shared" si="11"/>
        <v>0</v>
      </c>
      <c r="AK169" s="9"/>
    </row>
    <row r="170" spans="1:37" hidden="1">
      <c r="A170" s="3">
        <v>168</v>
      </c>
      <c r="B170" s="12"/>
      <c r="C170" s="13"/>
      <c r="D170" s="13"/>
      <c r="E170" s="13"/>
      <c r="F170" s="13"/>
      <c r="G170" s="13"/>
      <c r="H170" s="28"/>
      <c r="I170" s="39" t="s">
        <v>179</v>
      </c>
      <c r="J170" s="24" t="s">
        <v>1388</v>
      </c>
      <c r="K170" s="26" t="s">
        <v>20</v>
      </c>
      <c r="L170" s="26" t="s">
        <v>493</v>
      </c>
      <c r="M170" s="41">
        <f>IFERROR(VLOOKUP($L170,'[2]Top WH -National'!$D$9:$AC$124,26,0),0)</f>
        <v>162327500</v>
      </c>
      <c r="N170" s="41">
        <f>IFERROR(VLOOKUP($L170,'[2]Top WH -National'!$D$9:$AC$124,4,0),0)</f>
        <v>741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4">
        <f>(VLOOKUP($O$2,Prices!$E$3:$F$17,2,FALSE)*Urban!O170)+(VLOOKUP($P$2,Prices!$E$3:$F$17,2,FALSE)*Urban!P170)+(VLOOKUP($Q$2,Prices!$E$3:$F$17,2,FALSE)*Urban!Q170)+(VLOOKUP($R$2,Prices!$E$3:$F$17,2,FALSE)*Urban!R170)+(VLOOKUP($S$2,Prices!$E$3:$F$17,2,FALSE)*Urban!S170)+(VLOOKUP($T$2,Prices!$E$3:$F$17,2,FALSE)*Urban!T170)+(VLOOKUP($U$2,Prices!$E$3:$F$17,2,FALSE)*Urban!U170)+(VLOOKUP($V$2,Prices!$E$3:$F$17,2,FALSE)*Urban!V170)+(VLOOKUP($W$2,Prices!$E$3:$F$17,2,FALSE)*Urban!W170)+(VLOOKUP($X$2,Prices!$E$3:$F$17,2,FALSE)*Urban!X170)+(VLOOKUP($Y$2,Prices!$E$3:$F$17,2,FALSE)*Urban!Y170)+(VLOOKUP($Z$2,Prices!$E$3:$F$17,2,FALSE)*Urban!Z170)+(VLOOKUP($AA$2,Prices!$E$3:$F$17,2,FALSE)*Urban!AA170)+(VLOOKUP($AB$2,Prices!$E$3:$F$17,2,FALSE)*Urban!AB170)+M170</f>
        <v>162327500</v>
      </c>
      <c r="AD170" s="18"/>
      <c r="AE170" s="18"/>
      <c r="AF170" s="4">
        <f t="shared" si="8"/>
        <v>0</v>
      </c>
      <c r="AG170" s="4"/>
      <c r="AH170" s="16">
        <f t="shared" si="9"/>
        <v>0</v>
      </c>
      <c r="AI170" s="21">
        <f t="shared" si="10"/>
        <v>0</v>
      </c>
      <c r="AJ170" s="20">
        <f t="shared" si="11"/>
        <v>0</v>
      </c>
      <c r="AK170" s="9"/>
    </row>
    <row r="171" spans="1:37" hidden="1">
      <c r="A171" s="3">
        <v>169</v>
      </c>
      <c r="B171" s="12"/>
      <c r="C171" s="13"/>
      <c r="D171" s="13"/>
      <c r="E171" s="13"/>
      <c r="F171" s="13"/>
      <c r="G171" s="13"/>
      <c r="H171" s="28"/>
      <c r="I171" s="40" t="s">
        <v>180</v>
      </c>
      <c r="J171" s="24" t="s">
        <v>1388</v>
      </c>
      <c r="K171" s="26" t="s">
        <v>20</v>
      </c>
      <c r="L171" s="26" t="s">
        <v>494</v>
      </c>
      <c r="M171" s="41">
        <f>IFERROR(VLOOKUP($L171,'[2]Top WH -National'!$D$9:$AC$124,26,0),0)</f>
        <v>206709000</v>
      </c>
      <c r="N171" s="41">
        <f>IFERROR(VLOOKUP($L171,'[2]Top WH -National'!$D$9:$AC$124,4,0),0)</f>
        <v>971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4">
        <f>(VLOOKUP($O$2,Prices!$E$3:$F$17,2,FALSE)*Urban!O171)+(VLOOKUP($P$2,Prices!$E$3:$F$17,2,FALSE)*Urban!P171)+(VLOOKUP($Q$2,Prices!$E$3:$F$17,2,FALSE)*Urban!Q171)+(VLOOKUP($R$2,Prices!$E$3:$F$17,2,FALSE)*Urban!R171)+(VLOOKUP($S$2,Prices!$E$3:$F$17,2,FALSE)*Urban!S171)+(VLOOKUP($T$2,Prices!$E$3:$F$17,2,FALSE)*Urban!T171)+(VLOOKUP($U$2,Prices!$E$3:$F$17,2,FALSE)*Urban!U171)+(VLOOKUP($V$2,Prices!$E$3:$F$17,2,FALSE)*Urban!V171)+(VLOOKUP($W$2,Prices!$E$3:$F$17,2,FALSE)*Urban!W171)+(VLOOKUP($X$2,Prices!$E$3:$F$17,2,FALSE)*Urban!X171)+(VLOOKUP($Y$2,Prices!$E$3:$F$17,2,FALSE)*Urban!Y171)+(VLOOKUP($Z$2,Prices!$E$3:$F$17,2,FALSE)*Urban!Z171)+(VLOOKUP($AA$2,Prices!$E$3:$F$17,2,FALSE)*Urban!AA171)+(VLOOKUP($AB$2,Prices!$E$3:$F$17,2,FALSE)*Urban!AB171)+M171</f>
        <v>206709000</v>
      </c>
      <c r="AD171" s="18"/>
      <c r="AE171" s="18"/>
      <c r="AF171" s="4">
        <f t="shared" si="8"/>
        <v>0</v>
      </c>
      <c r="AG171" s="4"/>
      <c r="AH171" s="16">
        <f t="shared" si="9"/>
        <v>0</v>
      </c>
      <c r="AI171" s="21">
        <f t="shared" si="10"/>
        <v>0</v>
      </c>
      <c r="AJ171" s="20">
        <f t="shared" si="11"/>
        <v>0</v>
      </c>
      <c r="AK171" s="9"/>
    </row>
    <row r="172" spans="1:37" hidden="1">
      <c r="A172" s="3">
        <v>170</v>
      </c>
      <c r="B172" s="12"/>
      <c r="C172" s="13"/>
      <c r="D172" s="13"/>
      <c r="E172" s="13"/>
      <c r="F172" s="13"/>
      <c r="G172" s="13"/>
      <c r="H172" s="28"/>
      <c r="I172" s="24" t="s">
        <v>219</v>
      </c>
      <c r="J172" s="24" t="s">
        <v>1388</v>
      </c>
      <c r="K172" s="26" t="s">
        <v>20</v>
      </c>
      <c r="L172" s="26" t="s">
        <v>532</v>
      </c>
      <c r="M172" s="66">
        <f>IFERROR(VLOOKUP($L172,[1]Consolidated!$C$9:$AC$341,27,0),0)</f>
        <v>20277500</v>
      </c>
      <c r="N172" s="66">
        <f>IFERROR(VLOOKUP($L172,[1]Consolidated!$C$9:$AC$341,5,0),0)</f>
        <v>100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4">
        <f>(VLOOKUP($O$2,Prices!$E$3:$F$17,2,FALSE)*Urban!O172)+(VLOOKUP($P$2,Prices!$E$3:$F$17,2,FALSE)*Urban!P172)+(VLOOKUP($Q$2,Prices!$E$3:$F$17,2,FALSE)*Urban!Q172)+(VLOOKUP($R$2,Prices!$E$3:$F$17,2,FALSE)*Urban!R172)+(VLOOKUP($S$2,Prices!$E$3:$F$17,2,FALSE)*Urban!S172)+(VLOOKUP($T$2,Prices!$E$3:$F$17,2,FALSE)*Urban!T172)+(VLOOKUP($U$2,Prices!$E$3:$F$17,2,FALSE)*Urban!U172)+(VLOOKUP($V$2,Prices!$E$3:$F$17,2,FALSE)*Urban!V172)+(VLOOKUP($W$2,Prices!$E$3:$F$17,2,FALSE)*Urban!W172)+(VLOOKUP($X$2,Prices!$E$3:$F$17,2,FALSE)*Urban!X172)+(VLOOKUP($Y$2,Prices!$E$3:$F$17,2,FALSE)*Urban!Y172)+(VLOOKUP($Z$2,Prices!$E$3:$F$17,2,FALSE)*Urban!Z172)+(VLOOKUP($AA$2,Prices!$E$3:$F$17,2,FALSE)*Urban!AA172)+(VLOOKUP($AB$2,Prices!$E$3:$F$17,2,FALSE)*Urban!AB172)+M172</f>
        <v>20277500</v>
      </c>
      <c r="AD172" s="18"/>
      <c r="AE172" s="18"/>
      <c r="AF172" s="4">
        <f t="shared" si="8"/>
        <v>0</v>
      </c>
      <c r="AG172" s="4"/>
      <c r="AH172" s="16">
        <f t="shared" si="9"/>
        <v>0</v>
      </c>
      <c r="AI172" s="21">
        <f t="shared" si="10"/>
        <v>0</v>
      </c>
      <c r="AJ172" s="20">
        <f t="shared" si="11"/>
        <v>0</v>
      </c>
      <c r="AK172" s="9"/>
    </row>
    <row r="173" spans="1:37" hidden="1">
      <c r="A173" s="3">
        <v>171</v>
      </c>
      <c r="B173" s="12"/>
      <c r="C173" s="13"/>
      <c r="D173" s="13"/>
      <c r="E173" s="13"/>
      <c r="F173" s="13"/>
      <c r="G173" s="13"/>
      <c r="H173" s="28"/>
      <c r="I173" s="24" t="s">
        <v>181</v>
      </c>
      <c r="J173" s="24" t="s">
        <v>1388</v>
      </c>
      <c r="K173" s="26" t="s">
        <v>20</v>
      </c>
      <c r="L173" s="26" t="s">
        <v>495</v>
      </c>
      <c r="M173" s="66">
        <f>IFERROR(VLOOKUP($L173,[1]Consolidated!$C$9:$AC$341,27,0),0)</f>
        <v>28626500</v>
      </c>
      <c r="N173" s="66">
        <f>IFERROR(VLOOKUP($L173,[1]Consolidated!$C$9:$AC$341,5,0),0)</f>
        <v>130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4">
        <f>(VLOOKUP($O$2,Prices!$E$3:$F$17,2,FALSE)*Urban!O173)+(VLOOKUP($P$2,Prices!$E$3:$F$17,2,FALSE)*Urban!P173)+(VLOOKUP($Q$2,Prices!$E$3:$F$17,2,FALSE)*Urban!Q173)+(VLOOKUP($R$2,Prices!$E$3:$F$17,2,FALSE)*Urban!R173)+(VLOOKUP($S$2,Prices!$E$3:$F$17,2,FALSE)*Urban!S173)+(VLOOKUP($T$2,Prices!$E$3:$F$17,2,FALSE)*Urban!T173)+(VLOOKUP($U$2,Prices!$E$3:$F$17,2,FALSE)*Urban!U173)+(VLOOKUP($V$2,Prices!$E$3:$F$17,2,FALSE)*Urban!V173)+(VLOOKUP($W$2,Prices!$E$3:$F$17,2,FALSE)*Urban!W173)+(VLOOKUP($X$2,Prices!$E$3:$F$17,2,FALSE)*Urban!X173)+(VLOOKUP($Y$2,Prices!$E$3:$F$17,2,FALSE)*Urban!Y173)+(VLOOKUP($Z$2,Prices!$E$3:$F$17,2,FALSE)*Urban!Z173)+(VLOOKUP($AA$2,Prices!$E$3:$F$17,2,FALSE)*Urban!AA173)+(VLOOKUP($AB$2,Prices!$E$3:$F$17,2,FALSE)*Urban!AB173)+M173</f>
        <v>28626500</v>
      </c>
      <c r="AD173" s="18"/>
      <c r="AE173" s="18"/>
      <c r="AF173" s="4">
        <f t="shared" si="8"/>
        <v>0</v>
      </c>
      <c r="AG173" s="4"/>
      <c r="AH173" s="16">
        <f t="shared" si="9"/>
        <v>0</v>
      </c>
      <c r="AI173" s="21">
        <f t="shared" si="10"/>
        <v>0</v>
      </c>
      <c r="AJ173" s="20">
        <f t="shared" si="11"/>
        <v>0</v>
      </c>
      <c r="AK173" s="9"/>
    </row>
    <row r="174" spans="1:37" hidden="1">
      <c r="A174" s="3">
        <v>172</v>
      </c>
      <c r="B174" s="12"/>
      <c r="C174" s="13"/>
      <c r="D174" s="13"/>
      <c r="E174" s="13"/>
      <c r="F174" s="13"/>
      <c r="G174" s="13"/>
      <c r="H174" s="28"/>
      <c r="I174" s="24" t="s">
        <v>182</v>
      </c>
      <c r="J174" s="68" t="s">
        <v>1388</v>
      </c>
      <c r="K174" s="26" t="s">
        <v>662</v>
      </c>
      <c r="L174" s="26" t="s">
        <v>496</v>
      </c>
      <c r="M174" s="66">
        <f>IFERROR(VLOOKUP($L174,[1]Consolidated!$C$9:$AC$341,27,0),0)</f>
        <v>22985500</v>
      </c>
      <c r="N174" s="66">
        <f>IFERROR(VLOOKUP($L174,[1]Consolidated!$C$9:$AC$341,5,0),0)</f>
        <v>120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4">
        <f>(VLOOKUP($O$2,Prices!$E$3:$F$17,2,FALSE)*Urban!O174)+(VLOOKUP($P$2,Prices!$E$3:$F$17,2,FALSE)*Urban!P174)+(VLOOKUP($Q$2,Prices!$E$3:$F$17,2,FALSE)*Urban!Q174)+(VLOOKUP($R$2,Prices!$E$3:$F$17,2,FALSE)*Urban!R174)+(VLOOKUP($S$2,Prices!$E$3:$F$17,2,FALSE)*Urban!S174)+(VLOOKUP($T$2,Prices!$E$3:$F$17,2,FALSE)*Urban!T174)+(VLOOKUP($U$2,Prices!$E$3:$F$17,2,FALSE)*Urban!U174)+(VLOOKUP($V$2,Prices!$E$3:$F$17,2,FALSE)*Urban!V174)+(VLOOKUP($W$2,Prices!$E$3:$F$17,2,FALSE)*Urban!W174)+(VLOOKUP($X$2,Prices!$E$3:$F$17,2,FALSE)*Urban!X174)+(VLOOKUP($Y$2,Prices!$E$3:$F$17,2,FALSE)*Urban!Y174)+(VLOOKUP($Z$2,Prices!$E$3:$F$17,2,FALSE)*Urban!Z174)+(VLOOKUP($AA$2,Prices!$E$3:$F$17,2,FALSE)*Urban!AA174)+(VLOOKUP($AB$2,Prices!$E$3:$F$17,2,FALSE)*Urban!AB174)+M174</f>
        <v>22985500</v>
      </c>
      <c r="AD174" s="18"/>
      <c r="AE174" s="18"/>
      <c r="AF174" s="4">
        <f t="shared" si="8"/>
        <v>0</v>
      </c>
      <c r="AG174" s="4"/>
      <c r="AH174" s="16">
        <f t="shared" si="9"/>
        <v>0</v>
      </c>
      <c r="AI174" s="21">
        <f t="shared" si="10"/>
        <v>0</v>
      </c>
      <c r="AJ174" s="20">
        <f t="shared" si="11"/>
        <v>0</v>
      </c>
      <c r="AK174" s="9"/>
    </row>
    <row r="175" spans="1:37" hidden="1">
      <c r="A175" s="3">
        <v>173</v>
      </c>
      <c r="B175" s="12"/>
      <c r="C175" s="13"/>
      <c r="D175" s="13"/>
      <c r="E175" s="13"/>
      <c r="F175" s="13"/>
      <c r="G175" s="13"/>
      <c r="H175" s="28"/>
      <c r="I175" s="39" t="s">
        <v>183</v>
      </c>
      <c r="J175" s="24" t="s">
        <v>1388</v>
      </c>
      <c r="K175" s="26" t="s">
        <v>662</v>
      </c>
      <c r="L175" s="26" t="s">
        <v>497</v>
      </c>
      <c r="M175" s="41">
        <f>IFERROR(VLOOKUP($L175,'[2]Top WH -National'!$D$9:$AC$124,26,0),0)</f>
        <v>174111000</v>
      </c>
      <c r="N175" s="41">
        <f>IFERROR(VLOOKUP($L175,'[2]Top WH -National'!$D$9:$AC$124,4,0),0)</f>
        <v>1042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4">
        <f>(VLOOKUP($O$2,Prices!$E$3:$F$17,2,FALSE)*Urban!O175)+(VLOOKUP($P$2,Prices!$E$3:$F$17,2,FALSE)*Urban!P175)+(VLOOKUP($Q$2,Prices!$E$3:$F$17,2,FALSE)*Urban!Q175)+(VLOOKUP($R$2,Prices!$E$3:$F$17,2,FALSE)*Urban!R175)+(VLOOKUP($S$2,Prices!$E$3:$F$17,2,FALSE)*Urban!S175)+(VLOOKUP($T$2,Prices!$E$3:$F$17,2,FALSE)*Urban!T175)+(VLOOKUP($U$2,Prices!$E$3:$F$17,2,FALSE)*Urban!U175)+(VLOOKUP($V$2,Prices!$E$3:$F$17,2,FALSE)*Urban!V175)+(VLOOKUP($W$2,Prices!$E$3:$F$17,2,FALSE)*Urban!W175)+(VLOOKUP($X$2,Prices!$E$3:$F$17,2,FALSE)*Urban!X175)+(VLOOKUP($Y$2,Prices!$E$3:$F$17,2,FALSE)*Urban!Y175)+(VLOOKUP($Z$2,Prices!$E$3:$F$17,2,FALSE)*Urban!Z175)+(VLOOKUP($AA$2,Prices!$E$3:$F$17,2,FALSE)*Urban!AA175)+(VLOOKUP($AB$2,Prices!$E$3:$F$17,2,FALSE)*Urban!AB175)+M175</f>
        <v>174111000</v>
      </c>
      <c r="AD175" s="18"/>
      <c r="AE175" s="18"/>
      <c r="AF175" s="4">
        <f t="shared" si="8"/>
        <v>0</v>
      </c>
      <c r="AG175" s="4"/>
      <c r="AH175" s="16">
        <f t="shared" si="9"/>
        <v>0</v>
      </c>
      <c r="AI175" s="21">
        <f t="shared" si="10"/>
        <v>0</v>
      </c>
      <c r="AJ175" s="20">
        <f t="shared" si="11"/>
        <v>0</v>
      </c>
      <c r="AK175" s="9"/>
    </row>
    <row r="176" spans="1:37" hidden="1">
      <c r="A176" s="3">
        <v>174</v>
      </c>
      <c r="B176" s="12"/>
      <c r="C176" s="13"/>
      <c r="D176" s="13"/>
      <c r="E176" s="13"/>
      <c r="F176" s="13"/>
      <c r="G176" s="13"/>
      <c r="H176" s="28"/>
      <c r="I176" s="24" t="s">
        <v>184</v>
      </c>
      <c r="J176" s="24" t="s">
        <v>1388</v>
      </c>
      <c r="K176" s="26" t="s">
        <v>662</v>
      </c>
      <c r="L176" s="26" t="s">
        <v>498</v>
      </c>
      <c r="M176" s="66">
        <f>IFERROR(VLOOKUP($L176,[1]Consolidated!$C$9:$AC$341,27,0),0)</f>
        <v>26555500</v>
      </c>
      <c r="N176" s="66">
        <f>IFERROR(VLOOKUP($L176,[1]Consolidated!$C$9:$AC$341,5,0),0)</f>
        <v>140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4">
        <f>(VLOOKUP($O$2,Prices!$E$3:$F$17,2,FALSE)*Urban!O176)+(VLOOKUP($P$2,Prices!$E$3:$F$17,2,FALSE)*Urban!P176)+(VLOOKUP($Q$2,Prices!$E$3:$F$17,2,FALSE)*Urban!Q176)+(VLOOKUP($R$2,Prices!$E$3:$F$17,2,FALSE)*Urban!R176)+(VLOOKUP($S$2,Prices!$E$3:$F$17,2,FALSE)*Urban!S176)+(VLOOKUP($T$2,Prices!$E$3:$F$17,2,FALSE)*Urban!T176)+(VLOOKUP($U$2,Prices!$E$3:$F$17,2,FALSE)*Urban!U176)+(VLOOKUP($V$2,Prices!$E$3:$F$17,2,FALSE)*Urban!V176)+(VLOOKUP($W$2,Prices!$E$3:$F$17,2,FALSE)*Urban!W176)+(VLOOKUP($X$2,Prices!$E$3:$F$17,2,FALSE)*Urban!X176)+(VLOOKUP($Y$2,Prices!$E$3:$F$17,2,FALSE)*Urban!Y176)+(VLOOKUP($Z$2,Prices!$E$3:$F$17,2,FALSE)*Urban!Z176)+(VLOOKUP($AA$2,Prices!$E$3:$F$17,2,FALSE)*Urban!AA176)+(VLOOKUP($AB$2,Prices!$E$3:$F$17,2,FALSE)*Urban!AB176)+M176</f>
        <v>26555500</v>
      </c>
      <c r="AD176" s="18"/>
      <c r="AE176" s="18"/>
      <c r="AF176" s="4">
        <f t="shared" si="8"/>
        <v>0</v>
      </c>
      <c r="AG176" s="4"/>
      <c r="AH176" s="16">
        <f t="shared" si="9"/>
        <v>0</v>
      </c>
      <c r="AI176" s="21">
        <f t="shared" si="10"/>
        <v>0</v>
      </c>
      <c r="AJ176" s="20">
        <f t="shared" si="11"/>
        <v>0</v>
      </c>
      <c r="AK176" s="19"/>
    </row>
    <row r="177" spans="1:37" hidden="1">
      <c r="A177" s="3">
        <v>175</v>
      </c>
      <c r="B177" s="12"/>
      <c r="C177" s="13"/>
      <c r="D177" s="13"/>
      <c r="E177" s="13"/>
      <c r="F177" s="13"/>
      <c r="G177" s="13"/>
      <c r="H177" s="28"/>
      <c r="I177" s="24" t="s">
        <v>185</v>
      </c>
      <c r="J177" s="24" t="s">
        <v>1388</v>
      </c>
      <c r="K177" s="26" t="s">
        <v>662</v>
      </c>
      <c r="L177" s="26" t="s">
        <v>499</v>
      </c>
      <c r="M177" s="66">
        <f>IFERROR(VLOOKUP($L177,[1]Consolidated!$C$9:$AC$341,27,0),0)</f>
        <v>33555500</v>
      </c>
      <c r="N177" s="66">
        <f>IFERROR(VLOOKUP($L177,[1]Consolidated!$C$9:$AC$341,5,0),0)</f>
        <v>160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4">
        <f>(VLOOKUP($O$2,Prices!$E$3:$F$17,2,FALSE)*Urban!O177)+(VLOOKUP($P$2,Prices!$E$3:$F$17,2,FALSE)*Urban!P177)+(VLOOKUP($Q$2,Prices!$E$3:$F$17,2,FALSE)*Urban!Q177)+(VLOOKUP($R$2,Prices!$E$3:$F$17,2,FALSE)*Urban!R177)+(VLOOKUP($S$2,Prices!$E$3:$F$17,2,FALSE)*Urban!S177)+(VLOOKUP($T$2,Prices!$E$3:$F$17,2,FALSE)*Urban!T177)+(VLOOKUP($U$2,Prices!$E$3:$F$17,2,FALSE)*Urban!U177)+(VLOOKUP($V$2,Prices!$E$3:$F$17,2,FALSE)*Urban!V177)+(VLOOKUP($W$2,Prices!$E$3:$F$17,2,FALSE)*Urban!W177)+(VLOOKUP($X$2,Prices!$E$3:$F$17,2,FALSE)*Urban!X177)+(VLOOKUP($Y$2,Prices!$E$3:$F$17,2,FALSE)*Urban!Y177)+(VLOOKUP($Z$2,Prices!$E$3:$F$17,2,FALSE)*Urban!Z177)+(VLOOKUP($AA$2,Prices!$E$3:$F$17,2,FALSE)*Urban!AA177)+(VLOOKUP($AB$2,Prices!$E$3:$F$17,2,FALSE)*Urban!AB177)+M177</f>
        <v>33555500</v>
      </c>
      <c r="AD177" s="18"/>
      <c r="AE177" s="18"/>
      <c r="AF177" s="4">
        <f t="shared" si="8"/>
        <v>0</v>
      </c>
      <c r="AG177" s="4"/>
      <c r="AH177" s="16">
        <f t="shared" si="9"/>
        <v>0</v>
      </c>
      <c r="AI177" s="21">
        <f t="shared" si="10"/>
        <v>0</v>
      </c>
      <c r="AJ177" s="20">
        <f t="shared" si="11"/>
        <v>0</v>
      </c>
      <c r="AK177" s="9"/>
    </row>
    <row r="178" spans="1:37" hidden="1">
      <c r="A178" s="3">
        <v>176</v>
      </c>
      <c r="B178" s="12"/>
      <c r="C178" s="13"/>
      <c r="D178" s="13"/>
      <c r="E178" s="13"/>
      <c r="F178" s="13"/>
      <c r="G178" s="13"/>
      <c r="H178" s="28"/>
      <c r="I178" s="24" t="s">
        <v>186</v>
      </c>
      <c r="J178" s="24" t="s">
        <v>1388</v>
      </c>
      <c r="K178" s="26" t="s">
        <v>662</v>
      </c>
      <c r="L178" s="26" t="s">
        <v>500</v>
      </c>
      <c r="M178" s="66">
        <f>IFERROR(VLOOKUP($L178,[1]Consolidated!$C$9:$AC$341,27,0),0)</f>
        <v>14587000</v>
      </c>
      <c r="N178" s="66">
        <f>IFERROR(VLOOKUP($L178,[1]Consolidated!$C$9:$AC$341,5,0),0)</f>
        <v>70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4">
        <f>(VLOOKUP($O$2,Prices!$E$3:$F$17,2,FALSE)*Urban!O178)+(VLOOKUP($P$2,Prices!$E$3:$F$17,2,FALSE)*Urban!P178)+(VLOOKUP($Q$2,Prices!$E$3:$F$17,2,FALSE)*Urban!Q178)+(VLOOKUP($R$2,Prices!$E$3:$F$17,2,FALSE)*Urban!R178)+(VLOOKUP($S$2,Prices!$E$3:$F$17,2,FALSE)*Urban!S178)+(VLOOKUP($T$2,Prices!$E$3:$F$17,2,FALSE)*Urban!T178)+(VLOOKUP($U$2,Prices!$E$3:$F$17,2,FALSE)*Urban!U178)+(VLOOKUP($V$2,Prices!$E$3:$F$17,2,FALSE)*Urban!V178)+(VLOOKUP($W$2,Prices!$E$3:$F$17,2,FALSE)*Urban!W178)+(VLOOKUP($X$2,Prices!$E$3:$F$17,2,FALSE)*Urban!X178)+(VLOOKUP($Y$2,Prices!$E$3:$F$17,2,FALSE)*Urban!Y178)+(VLOOKUP($Z$2,Prices!$E$3:$F$17,2,FALSE)*Urban!Z178)+(VLOOKUP($AA$2,Prices!$E$3:$F$17,2,FALSE)*Urban!AA178)+(VLOOKUP($AB$2,Prices!$E$3:$F$17,2,FALSE)*Urban!AB178)+M178</f>
        <v>14587000</v>
      </c>
      <c r="AD178" s="18"/>
      <c r="AE178" s="18"/>
      <c r="AF178" s="4">
        <f t="shared" si="8"/>
        <v>0</v>
      </c>
      <c r="AG178" s="4"/>
      <c r="AH178" s="16">
        <f t="shared" si="9"/>
        <v>0</v>
      </c>
      <c r="AI178" s="21">
        <f t="shared" si="10"/>
        <v>0</v>
      </c>
      <c r="AJ178" s="20">
        <f t="shared" si="11"/>
        <v>0</v>
      </c>
      <c r="AK178" s="9"/>
    </row>
    <row r="179" spans="1:37" hidden="1">
      <c r="A179" s="3">
        <v>177</v>
      </c>
      <c r="B179" s="12"/>
      <c r="C179" s="13"/>
      <c r="D179" s="13"/>
      <c r="E179" s="13"/>
      <c r="F179" s="13"/>
      <c r="G179" s="13"/>
      <c r="H179" s="28"/>
      <c r="I179" s="24" t="s">
        <v>187</v>
      </c>
      <c r="J179" s="24" t="s">
        <v>1388</v>
      </c>
      <c r="K179" s="26" t="s">
        <v>662</v>
      </c>
      <c r="L179" s="26" t="s">
        <v>501</v>
      </c>
      <c r="M179" s="66">
        <f>IFERROR(VLOOKUP($L179,[1]Consolidated!$C$9:$AC$341,27,0),0)</f>
        <v>43224500</v>
      </c>
      <c r="N179" s="66">
        <f>IFERROR(VLOOKUP($L179,[1]Consolidated!$C$9:$AC$341,5,0),0)</f>
        <v>200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4">
        <f>(VLOOKUP($O$2,Prices!$E$3:$F$17,2,FALSE)*Urban!O179)+(VLOOKUP($P$2,Prices!$E$3:$F$17,2,FALSE)*Urban!P179)+(VLOOKUP($Q$2,Prices!$E$3:$F$17,2,FALSE)*Urban!Q179)+(VLOOKUP($R$2,Prices!$E$3:$F$17,2,FALSE)*Urban!R179)+(VLOOKUP($S$2,Prices!$E$3:$F$17,2,FALSE)*Urban!S179)+(VLOOKUP($T$2,Prices!$E$3:$F$17,2,FALSE)*Urban!T179)+(VLOOKUP($U$2,Prices!$E$3:$F$17,2,FALSE)*Urban!U179)+(VLOOKUP($V$2,Prices!$E$3:$F$17,2,FALSE)*Urban!V179)+(VLOOKUP($W$2,Prices!$E$3:$F$17,2,FALSE)*Urban!W179)+(VLOOKUP($X$2,Prices!$E$3:$F$17,2,FALSE)*Urban!X179)+(VLOOKUP($Y$2,Prices!$E$3:$F$17,2,FALSE)*Urban!Y179)+(VLOOKUP($Z$2,Prices!$E$3:$F$17,2,FALSE)*Urban!Z179)+(VLOOKUP($AA$2,Prices!$E$3:$F$17,2,FALSE)*Urban!AA179)+(VLOOKUP($AB$2,Prices!$E$3:$F$17,2,FALSE)*Urban!AB179)+M179</f>
        <v>43224500</v>
      </c>
      <c r="AD179" s="18"/>
      <c r="AE179" s="18"/>
      <c r="AF179" s="4">
        <f t="shared" si="8"/>
        <v>0</v>
      </c>
      <c r="AG179" s="4"/>
      <c r="AH179" s="16">
        <f t="shared" si="9"/>
        <v>0</v>
      </c>
      <c r="AI179" s="21">
        <f t="shared" si="10"/>
        <v>0</v>
      </c>
      <c r="AJ179" s="20">
        <f t="shared" si="11"/>
        <v>0</v>
      </c>
      <c r="AK179" s="9"/>
    </row>
    <row r="180" spans="1:37" hidden="1">
      <c r="A180" s="3">
        <v>178</v>
      </c>
      <c r="B180" s="12"/>
      <c r="C180" s="13"/>
      <c r="D180" s="13"/>
      <c r="E180" s="13"/>
      <c r="F180" s="13"/>
      <c r="G180" s="13"/>
      <c r="H180" s="28"/>
      <c r="I180" s="24" t="s">
        <v>188</v>
      </c>
      <c r="J180" s="24" t="s">
        <v>1388</v>
      </c>
      <c r="K180" s="26" t="s">
        <v>662</v>
      </c>
      <c r="L180" s="26" t="s">
        <v>502</v>
      </c>
      <c r="M180" s="66">
        <f>IFERROR(VLOOKUP($L180,[1]Consolidated!$C$9:$AC$341,27,0),0)</f>
        <v>14583500</v>
      </c>
      <c r="N180" s="66">
        <f>IFERROR(VLOOKUP($L180,[1]Consolidated!$C$9:$AC$341,5,0),0)</f>
        <v>70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4">
        <f>(VLOOKUP($O$2,Prices!$E$3:$F$17,2,FALSE)*Urban!O180)+(VLOOKUP($P$2,Prices!$E$3:$F$17,2,FALSE)*Urban!P180)+(VLOOKUP($Q$2,Prices!$E$3:$F$17,2,FALSE)*Urban!Q180)+(VLOOKUP($R$2,Prices!$E$3:$F$17,2,FALSE)*Urban!R180)+(VLOOKUP($S$2,Prices!$E$3:$F$17,2,FALSE)*Urban!S180)+(VLOOKUP($T$2,Prices!$E$3:$F$17,2,FALSE)*Urban!T180)+(VLOOKUP($U$2,Prices!$E$3:$F$17,2,FALSE)*Urban!U180)+(VLOOKUP($V$2,Prices!$E$3:$F$17,2,FALSE)*Urban!V180)+(VLOOKUP($W$2,Prices!$E$3:$F$17,2,FALSE)*Urban!W180)+(VLOOKUP($X$2,Prices!$E$3:$F$17,2,FALSE)*Urban!X180)+(VLOOKUP($Y$2,Prices!$E$3:$F$17,2,FALSE)*Urban!Y180)+(VLOOKUP($Z$2,Prices!$E$3:$F$17,2,FALSE)*Urban!Z180)+(VLOOKUP($AA$2,Prices!$E$3:$F$17,2,FALSE)*Urban!AA180)+(VLOOKUP($AB$2,Prices!$E$3:$F$17,2,FALSE)*Urban!AB180)+M180</f>
        <v>14583500</v>
      </c>
      <c r="AD180" s="18"/>
      <c r="AE180" s="18"/>
      <c r="AF180" s="4">
        <f t="shared" si="8"/>
        <v>0</v>
      </c>
      <c r="AG180" s="4"/>
      <c r="AH180" s="16">
        <f t="shared" si="9"/>
        <v>0</v>
      </c>
      <c r="AI180" s="21">
        <f t="shared" si="10"/>
        <v>0</v>
      </c>
      <c r="AJ180" s="20">
        <f t="shared" si="11"/>
        <v>0</v>
      </c>
      <c r="AK180" s="9"/>
    </row>
    <row r="181" spans="1:37" hidden="1">
      <c r="A181" s="3">
        <v>179</v>
      </c>
      <c r="B181" s="12"/>
      <c r="C181" s="13"/>
      <c r="D181" s="13"/>
      <c r="E181" s="13"/>
      <c r="F181" s="13"/>
      <c r="G181" s="13"/>
      <c r="H181" s="28"/>
      <c r="I181" s="24" t="s">
        <v>189</v>
      </c>
      <c r="J181" s="24" t="s">
        <v>1388</v>
      </c>
      <c r="K181" s="26" t="s">
        <v>662</v>
      </c>
      <c r="L181" s="26" t="s">
        <v>503</v>
      </c>
      <c r="M181" s="66">
        <f>IFERROR(VLOOKUP($L181,[1]Consolidated!$C$9:$AC$341,27,0),0)</f>
        <v>20719500</v>
      </c>
      <c r="N181" s="66">
        <f>IFERROR(VLOOKUP($L181,[1]Consolidated!$C$9:$AC$341,5,0),0)</f>
        <v>100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4">
        <f>(VLOOKUP($O$2,Prices!$E$3:$F$17,2,FALSE)*Urban!O181)+(VLOOKUP($P$2,Prices!$E$3:$F$17,2,FALSE)*Urban!P181)+(VLOOKUP($Q$2,Prices!$E$3:$F$17,2,FALSE)*Urban!Q181)+(VLOOKUP($R$2,Prices!$E$3:$F$17,2,FALSE)*Urban!R181)+(VLOOKUP($S$2,Prices!$E$3:$F$17,2,FALSE)*Urban!S181)+(VLOOKUP($T$2,Prices!$E$3:$F$17,2,FALSE)*Urban!T181)+(VLOOKUP($U$2,Prices!$E$3:$F$17,2,FALSE)*Urban!U181)+(VLOOKUP($V$2,Prices!$E$3:$F$17,2,FALSE)*Urban!V181)+(VLOOKUP($W$2,Prices!$E$3:$F$17,2,FALSE)*Urban!W181)+(VLOOKUP($X$2,Prices!$E$3:$F$17,2,FALSE)*Urban!X181)+(VLOOKUP($Y$2,Prices!$E$3:$F$17,2,FALSE)*Urban!Y181)+(VLOOKUP($Z$2,Prices!$E$3:$F$17,2,FALSE)*Urban!Z181)+(VLOOKUP($AA$2,Prices!$E$3:$F$17,2,FALSE)*Urban!AA181)+(VLOOKUP($AB$2,Prices!$E$3:$F$17,2,FALSE)*Urban!AB181)+M181</f>
        <v>20719500</v>
      </c>
      <c r="AD181" s="18"/>
      <c r="AE181" s="18"/>
      <c r="AF181" s="4">
        <f t="shared" si="8"/>
        <v>0</v>
      </c>
      <c r="AG181" s="4"/>
      <c r="AH181" s="16">
        <f t="shared" si="9"/>
        <v>0</v>
      </c>
      <c r="AI181" s="21">
        <f t="shared" si="10"/>
        <v>0</v>
      </c>
      <c r="AJ181" s="20">
        <f t="shared" si="11"/>
        <v>0</v>
      </c>
      <c r="AK181" s="9"/>
    </row>
    <row r="182" spans="1:37" hidden="1">
      <c r="A182" s="3">
        <v>180</v>
      </c>
      <c r="B182" s="12"/>
      <c r="C182" s="13"/>
      <c r="D182" s="13"/>
      <c r="E182" s="13"/>
      <c r="F182" s="13"/>
      <c r="G182" s="13"/>
      <c r="H182" s="28"/>
      <c r="I182" s="24" t="s">
        <v>190</v>
      </c>
      <c r="J182" s="24" t="s">
        <v>1388</v>
      </c>
      <c r="K182" s="26" t="s">
        <v>662</v>
      </c>
      <c r="L182" s="26" t="s">
        <v>504</v>
      </c>
      <c r="M182" s="66">
        <f>IFERROR(VLOOKUP($L182,[1]Consolidated!$C$9:$AC$341,27,0),0)</f>
        <v>44531500</v>
      </c>
      <c r="N182" s="66">
        <f>IFERROR(VLOOKUP($L182,[1]Consolidated!$C$9:$AC$341,5,0),0)</f>
        <v>200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4">
        <f>(VLOOKUP($O$2,Prices!$E$3:$F$17,2,FALSE)*Urban!O182)+(VLOOKUP($P$2,Prices!$E$3:$F$17,2,FALSE)*Urban!P182)+(VLOOKUP($Q$2,Prices!$E$3:$F$17,2,FALSE)*Urban!Q182)+(VLOOKUP($R$2,Prices!$E$3:$F$17,2,FALSE)*Urban!R182)+(VLOOKUP($S$2,Prices!$E$3:$F$17,2,FALSE)*Urban!S182)+(VLOOKUP($T$2,Prices!$E$3:$F$17,2,FALSE)*Urban!T182)+(VLOOKUP($U$2,Prices!$E$3:$F$17,2,FALSE)*Urban!U182)+(VLOOKUP($V$2,Prices!$E$3:$F$17,2,FALSE)*Urban!V182)+(VLOOKUP($W$2,Prices!$E$3:$F$17,2,FALSE)*Urban!W182)+(VLOOKUP($X$2,Prices!$E$3:$F$17,2,FALSE)*Urban!X182)+(VLOOKUP($Y$2,Prices!$E$3:$F$17,2,FALSE)*Urban!Y182)+(VLOOKUP($Z$2,Prices!$E$3:$F$17,2,FALSE)*Urban!Z182)+(VLOOKUP($AA$2,Prices!$E$3:$F$17,2,FALSE)*Urban!AA182)+(VLOOKUP($AB$2,Prices!$E$3:$F$17,2,FALSE)*Urban!AB182)+M182</f>
        <v>44531500</v>
      </c>
      <c r="AD182" s="18"/>
      <c r="AE182" s="18"/>
      <c r="AF182" s="4">
        <f t="shared" si="8"/>
        <v>0</v>
      </c>
      <c r="AG182" s="4"/>
      <c r="AH182" s="16">
        <f t="shared" si="9"/>
        <v>0</v>
      </c>
      <c r="AI182" s="21">
        <f t="shared" si="10"/>
        <v>0</v>
      </c>
      <c r="AJ182" s="20">
        <f t="shared" si="11"/>
        <v>0</v>
      </c>
      <c r="AK182" s="9"/>
    </row>
    <row r="183" spans="1:37" hidden="1">
      <c r="A183" s="3">
        <v>181</v>
      </c>
      <c r="B183" s="12"/>
      <c r="C183" s="13"/>
      <c r="D183" s="13"/>
      <c r="E183" s="13"/>
      <c r="F183" s="13"/>
      <c r="G183" s="13"/>
      <c r="H183" s="28"/>
      <c r="I183" s="39" t="s">
        <v>191</v>
      </c>
      <c r="J183" s="24" t="s">
        <v>1388</v>
      </c>
      <c r="K183" s="26" t="s">
        <v>662</v>
      </c>
      <c r="L183" s="26" t="s">
        <v>505</v>
      </c>
      <c r="M183" s="41">
        <f>IFERROR(VLOOKUP($L183,'[2]Top WH -National'!$D$9:$AC$124,26,0),0)</f>
        <v>69660500</v>
      </c>
      <c r="N183" s="41">
        <f>IFERROR(VLOOKUP($L183,'[2]Top WH -National'!$D$9:$AC$124,4,0),0)</f>
        <v>320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4">
        <f>(VLOOKUP($O$2,Prices!$E$3:$F$17,2,FALSE)*Urban!O183)+(VLOOKUP($P$2,Prices!$E$3:$F$17,2,FALSE)*Urban!P183)+(VLOOKUP($Q$2,Prices!$E$3:$F$17,2,FALSE)*Urban!Q183)+(VLOOKUP($R$2,Prices!$E$3:$F$17,2,FALSE)*Urban!R183)+(VLOOKUP($S$2,Prices!$E$3:$F$17,2,FALSE)*Urban!S183)+(VLOOKUP($T$2,Prices!$E$3:$F$17,2,FALSE)*Urban!T183)+(VLOOKUP($U$2,Prices!$E$3:$F$17,2,FALSE)*Urban!U183)+(VLOOKUP($V$2,Prices!$E$3:$F$17,2,FALSE)*Urban!V183)+(VLOOKUP($W$2,Prices!$E$3:$F$17,2,FALSE)*Urban!W183)+(VLOOKUP($X$2,Prices!$E$3:$F$17,2,FALSE)*Urban!X183)+(VLOOKUP($Y$2,Prices!$E$3:$F$17,2,FALSE)*Urban!Y183)+(VLOOKUP($Z$2,Prices!$E$3:$F$17,2,FALSE)*Urban!Z183)+(VLOOKUP($AA$2,Prices!$E$3:$F$17,2,FALSE)*Urban!AA183)+(VLOOKUP($AB$2,Prices!$E$3:$F$17,2,FALSE)*Urban!AB183)+M183</f>
        <v>69660500</v>
      </c>
      <c r="AD183" s="18"/>
      <c r="AE183" s="18"/>
      <c r="AF183" s="4">
        <f t="shared" si="8"/>
        <v>0</v>
      </c>
      <c r="AG183" s="4"/>
      <c r="AH183" s="16">
        <f t="shared" si="9"/>
        <v>0</v>
      </c>
      <c r="AI183" s="21">
        <f t="shared" si="10"/>
        <v>0</v>
      </c>
      <c r="AJ183" s="20">
        <f t="shared" si="11"/>
        <v>0</v>
      </c>
      <c r="AK183" s="9"/>
    </row>
    <row r="184" spans="1:37" hidden="1">
      <c r="A184" s="3">
        <v>182</v>
      </c>
      <c r="B184" s="12"/>
      <c r="C184" s="13"/>
      <c r="D184" s="13"/>
      <c r="E184" s="13"/>
      <c r="F184" s="13"/>
      <c r="G184" s="13"/>
      <c r="H184" s="28"/>
      <c r="I184" s="24" t="s">
        <v>192</v>
      </c>
      <c r="J184" s="24" t="s">
        <v>1388</v>
      </c>
      <c r="K184" s="26" t="s">
        <v>662</v>
      </c>
      <c r="L184" s="26" t="s">
        <v>506</v>
      </c>
      <c r="M184" s="66">
        <f>IFERROR(VLOOKUP($L184,[1]Consolidated!$C$9:$AC$341,27,0),0)</f>
        <v>29713000</v>
      </c>
      <c r="N184" s="66">
        <f>IFERROR(VLOOKUP($L184,[1]Consolidated!$C$9:$AC$341,5,0),0)</f>
        <v>140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4">
        <f>(VLOOKUP($O$2,Prices!$E$3:$F$17,2,FALSE)*Urban!O184)+(VLOOKUP($P$2,Prices!$E$3:$F$17,2,FALSE)*Urban!P184)+(VLOOKUP($Q$2,Prices!$E$3:$F$17,2,FALSE)*Urban!Q184)+(VLOOKUP($R$2,Prices!$E$3:$F$17,2,FALSE)*Urban!R184)+(VLOOKUP($S$2,Prices!$E$3:$F$17,2,FALSE)*Urban!S184)+(VLOOKUP($T$2,Prices!$E$3:$F$17,2,FALSE)*Urban!T184)+(VLOOKUP($U$2,Prices!$E$3:$F$17,2,FALSE)*Urban!U184)+(VLOOKUP($V$2,Prices!$E$3:$F$17,2,FALSE)*Urban!V184)+(VLOOKUP($W$2,Prices!$E$3:$F$17,2,FALSE)*Urban!W184)+(VLOOKUP($X$2,Prices!$E$3:$F$17,2,FALSE)*Urban!X184)+(VLOOKUP($Y$2,Prices!$E$3:$F$17,2,FALSE)*Urban!Y184)+(VLOOKUP($Z$2,Prices!$E$3:$F$17,2,FALSE)*Urban!Z184)+(VLOOKUP($AA$2,Prices!$E$3:$F$17,2,FALSE)*Urban!AA184)+(VLOOKUP($AB$2,Prices!$E$3:$F$17,2,FALSE)*Urban!AB184)+M184</f>
        <v>29713000</v>
      </c>
      <c r="AD184" s="18"/>
      <c r="AE184" s="18"/>
      <c r="AF184" s="4">
        <f t="shared" si="8"/>
        <v>0</v>
      </c>
      <c r="AG184" s="4"/>
      <c r="AH184" s="16">
        <f t="shared" si="9"/>
        <v>0</v>
      </c>
      <c r="AI184" s="21">
        <f t="shared" si="10"/>
        <v>0</v>
      </c>
      <c r="AJ184" s="20">
        <f t="shared" si="11"/>
        <v>0</v>
      </c>
      <c r="AK184" s="9"/>
    </row>
    <row r="185" spans="1:37" hidden="1">
      <c r="A185" s="3">
        <v>183</v>
      </c>
      <c r="B185" s="12"/>
      <c r="C185" s="13"/>
      <c r="D185" s="13"/>
      <c r="E185" s="13"/>
      <c r="F185" s="13"/>
      <c r="G185" s="13"/>
      <c r="H185" s="28"/>
      <c r="I185" s="24" t="s">
        <v>193</v>
      </c>
      <c r="J185" s="24" t="s">
        <v>1388</v>
      </c>
      <c r="K185" s="26" t="s">
        <v>662</v>
      </c>
      <c r="L185" s="26" t="s">
        <v>507</v>
      </c>
      <c r="M185" s="66">
        <f>IFERROR(VLOOKUP($L185,[1]Consolidated!$C$9:$AC$341,27,0),0)</f>
        <v>0</v>
      </c>
      <c r="N185" s="66">
        <f>IFERROR(VLOOKUP($L185,[1]Consolidated!$C$9:$AC$341,5,0),0)</f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4">
        <f>(VLOOKUP($O$2,Prices!$E$3:$F$17,2,FALSE)*Urban!O185)+(VLOOKUP($P$2,Prices!$E$3:$F$17,2,FALSE)*Urban!P185)+(VLOOKUP($Q$2,Prices!$E$3:$F$17,2,FALSE)*Urban!Q185)+(VLOOKUP($R$2,Prices!$E$3:$F$17,2,FALSE)*Urban!R185)+(VLOOKUP($S$2,Prices!$E$3:$F$17,2,FALSE)*Urban!S185)+(VLOOKUP($T$2,Prices!$E$3:$F$17,2,FALSE)*Urban!T185)+(VLOOKUP($U$2,Prices!$E$3:$F$17,2,FALSE)*Urban!U185)+(VLOOKUP($V$2,Prices!$E$3:$F$17,2,FALSE)*Urban!V185)+(VLOOKUP($W$2,Prices!$E$3:$F$17,2,FALSE)*Urban!W185)+(VLOOKUP($X$2,Prices!$E$3:$F$17,2,FALSE)*Urban!X185)+(VLOOKUP($Y$2,Prices!$E$3:$F$17,2,FALSE)*Urban!Y185)+(VLOOKUP($Z$2,Prices!$E$3:$F$17,2,FALSE)*Urban!Z185)+(VLOOKUP($AA$2,Prices!$E$3:$F$17,2,FALSE)*Urban!AA185)+(VLOOKUP($AB$2,Prices!$E$3:$F$17,2,FALSE)*Urban!AB185)+M185</f>
        <v>0</v>
      </c>
      <c r="AD185" s="18"/>
      <c r="AE185" s="18"/>
      <c r="AF185" s="4">
        <f t="shared" si="8"/>
        <v>0</v>
      </c>
      <c r="AG185" s="4"/>
      <c r="AH185" s="16">
        <f t="shared" si="9"/>
        <v>0</v>
      </c>
      <c r="AI185" s="21" t="e">
        <f t="shared" si="10"/>
        <v>#DIV/0!</v>
      </c>
      <c r="AJ185" s="20" t="e">
        <f t="shared" si="11"/>
        <v>#DIV/0!</v>
      </c>
      <c r="AK185" s="19"/>
    </row>
    <row r="186" spans="1:37" hidden="1">
      <c r="A186" s="3">
        <v>184</v>
      </c>
      <c r="B186" s="12"/>
      <c r="C186" s="13"/>
      <c r="D186" s="13"/>
      <c r="E186" s="13"/>
      <c r="F186" s="13"/>
      <c r="G186" s="13"/>
      <c r="H186" s="28"/>
      <c r="I186" s="24" t="s">
        <v>194</v>
      </c>
      <c r="J186" s="24" t="s">
        <v>1388</v>
      </c>
      <c r="K186" s="26" t="s">
        <v>663</v>
      </c>
      <c r="L186" s="26" t="s">
        <v>508</v>
      </c>
      <c r="M186" s="66">
        <f>IFERROR(VLOOKUP($L186,[1]Consolidated!$C$9:$AC$341,27,0),0)</f>
        <v>22739500</v>
      </c>
      <c r="N186" s="66">
        <f>IFERROR(VLOOKUP($L186,[1]Consolidated!$C$9:$AC$341,5,0),0)</f>
        <v>120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4">
        <f>(VLOOKUP($O$2,Prices!$E$3:$F$17,2,FALSE)*Urban!O186)+(VLOOKUP($P$2,Prices!$E$3:$F$17,2,FALSE)*Urban!P186)+(VLOOKUP($Q$2,Prices!$E$3:$F$17,2,FALSE)*Urban!Q186)+(VLOOKUP($R$2,Prices!$E$3:$F$17,2,FALSE)*Urban!R186)+(VLOOKUP($S$2,Prices!$E$3:$F$17,2,FALSE)*Urban!S186)+(VLOOKUP($T$2,Prices!$E$3:$F$17,2,FALSE)*Urban!T186)+(VLOOKUP($U$2,Prices!$E$3:$F$17,2,FALSE)*Urban!U186)+(VLOOKUP($V$2,Prices!$E$3:$F$17,2,FALSE)*Urban!V186)+(VLOOKUP($W$2,Prices!$E$3:$F$17,2,FALSE)*Urban!W186)+(VLOOKUP($X$2,Prices!$E$3:$F$17,2,FALSE)*Urban!X186)+(VLOOKUP($Y$2,Prices!$E$3:$F$17,2,FALSE)*Urban!Y186)+(VLOOKUP($Z$2,Prices!$E$3:$F$17,2,FALSE)*Urban!Z186)+(VLOOKUP($AA$2,Prices!$E$3:$F$17,2,FALSE)*Urban!AA186)+(VLOOKUP($AB$2,Prices!$E$3:$F$17,2,FALSE)*Urban!AB186)+M186</f>
        <v>22739500</v>
      </c>
      <c r="AD186" s="18"/>
      <c r="AE186" s="18"/>
      <c r="AF186" s="4">
        <f t="shared" si="8"/>
        <v>0</v>
      </c>
      <c r="AG186" s="4"/>
      <c r="AH186" s="16">
        <f t="shared" si="9"/>
        <v>0</v>
      </c>
      <c r="AI186" s="21">
        <f t="shared" si="10"/>
        <v>0</v>
      </c>
      <c r="AJ186" s="20">
        <f t="shared" si="11"/>
        <v>0</v>
      </c>
      <c r="AK186" s="9"/>
    </row>
    <row r="187" spans="1:37" hidden="1">
      <c r="A187" s="3">
        <v>185</v>
      </c>
      <c r="B187" s="12"/>
      <c r="C187" s="13"/>
      <c r="D187" s="13"/>
      <c r="E187" s="13"/>
      <c r="F187" s="13"/>
      <c r="G187" s="13"/>
      <c r="H187" s="28"/>
      <c r="I187" s="24" t="s">
        <v>195</v>
      </c>
      <c r="J187" s="24" t="s">
        <v>1388</v>
      </c>
      <c r="K187" s="26" t="s">
        <v>663</v>
      </c>
      <c r="L187" s="26" t="s">
        <v>509</v>
      </c>
      <c r="M187" s="66">
        <f>IFERROR(VLOOKUP($L187,[1]Consolidated!$C$9:$AC$341,27,0),0)</f>
        <v>22810500</v>
      </c>
      <c r="N187" s="66">
        <f>IFERROR(VLOOKUP($L187,[1]Consolidated!$C$9:$AC$341,5,0),0)</f>
        <v>120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4">
        <f>(VLOOKUP($O$2,Prices!$E$3:$F$17,2,FALSE)*Urban!O187)+(VLOOKUP($P$2,Prices!$E$3:$F$17,2,FALSE)*Urban!P187)+(VLOOKUP($Q$2,Prices!$E$3:$F$17,2,FALSE)*Urban!Q187)+(VLOOKUP($R$2,Prices!$E$3:$F$17,2,FALSE)*Urban!R187)+(VLOOKUP($S$2,Prices!$E$3:$F$17,2,FALSE)*Urban!S187)+(VLOOKUP($T$2,Prices!$E$3:$F$17,2,FALSE)*Urban!T187)+(VLOOKUP($U$2,Prices!$E$3:$F$17,2,FALSE)*Urban!U187)+(VLOOKUP($V$2,Prices!$E$3:$F$17,2,FALSE)*Urban!V187)+(VLOOKUP($W$2,Prices!$E$3:$F$17,2,FALSE)*Urban!W187)+(VLOOKUP($X$2,Prices!$E$3:$F$17,2,FALSE)*Urban!X187)+(VLOOKUP($Y$2,Prices!$E$3:$F$17,2,FALSE)*Urban!Y187)+(VLOOKUP($Z$2,Prices!$E$3:$F$17,2,FALSE)*Urban!Z187)+(VLOOKUP($AA$2,Prices!$E$3:$F$17,2,FALSE)*Urban!AA187)+(VLOOKUP($AB$2,Prices!$E$3:$F$17,2,FALSE)*Urban!AB187)+M187</f>
        <v>22810500</v>
      </c>
      <c r="AD187" s="18"/>
      <c r="AE187" s="18"/>
      <c r="AF187" s="4">
        <f t="shared" si="8"/>
        <v>0</v>
      </c>
      <c r="AG187" s="4"/>
      <c r="AH187" s="16">
        <f t="shared" si="9"/>
        <v>0</v>
      </c>
      <c r="AI187" s="21">
        <f t="shared" si="10"/>
        <v>0</v>
      </c>
      <c r="AJ187" s="20">
        <f t="shared" si="11"/>
        <v>0</v>
      </c>
      <c r="AK187" s="9"/>
    </row>
    <row r="188" spans="1:37" hidden="1">
      <c r="A188" s="3">
        <v>186</v>
      </c>
      <c r="B188" s="12"/>
      <c r="C188" s="13"/>
      <c r="D188" s="13"/>
      <c r="E188" s="13"/>
      <c r="F188" s="13"/>
      <c r="G188" s="13"/>
      <c r="H188" s="28"/>
      <c r="I188" s="24" t="s">
        <v>196</v>
      </c>
      <c r="J188" s="24" t="s">
        <v>1388</v>
      </c>
      <c r="K188" s="26" t="s">
        <v>663</v>
      </c>
      <c r="L188" s="26" t="s">
        <v>510</v>
      </c>
      <c r="M188" s="66">
        <f>IFERROR(VLOOKUP($L188,[1]Consolidated!$C$9:$AC$341,27,0),0)</f>
        <v>29046000</v>
      </c>
      <c r="N188" s="66">
        <f>IFERROR(VLOOKUP($L188,[1]Consolidated!$C$9:$AC$341,5,0),0)</f>
        <v>150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4">
        <f>(VLOOKUP($O$2,Prices!$E$3:$F$17,2,FALSE)*Urban!O188)+(VLOOKUP($P$2,Prices!$E$3:$F$17,2,FALSE)*Urban!P188)+(VLOOKUP($Q$2,Prices!$E$3:$F$17,2,FALSE)*Urban!Q188)+(VLOOKUP($R$2,Prices!$E$3:$F$17,2,FALSE)*Urban!R188)+(VLOOKUP($S$2,Prices!$E$3:$F$17,2,FALSE)*Urban!S188)+(VLOOKUP($T$2,Prices!$E$3:$F$17,2,FALSE)*Urban!T188)+(VLOOKUP($U$2,Prices!$E$3:$F$17,2,FALSE)*Urban!U188)+(VLOOKUP($V$2,Prices!$E$3:$F$17,2,FALSE)*Urban!V188)+(VLOOKUP($W$2,Prices!$E$3:$F$17,2,FALSE)*Urban!W188)+(VLOOKUP($X$2,Prices!$E$3:$F$17,2,FALSE)*Urban!X188)+(VLOOKUP($Y$2,Prices!$E$3:$F$17,2,FALSE)*Urban!Y188)+(VLOOKUP($Z$2,Prices!$E$3:$F$17,2,FALSE)*Urban!Z188)+(VLOOKUP($AA$2,Prices!$E$3:$F$17,2,FALSE)*Urban!AA188)+(VLOOKUP($AB$2,Prices!$E$3:$F$17,2,FALSE)*Urban!AB188)+M188</f>
        <v>29046000</v>
      </c>
      <c r="AD188" s="18"/>
      <c r="AE188" s="18"/>
      <c r="AF188" s="4">
        <f t="shared" si="8"/>
        <v>0</v>
      </c>
      <c r="AG188" s="4"/>
      <c r="AH188" s="16">
        <f t="shared" si="9"/>
        <v>0</v>
      </c>
      <c r="AI188" s="21">
        <f t="shared" si="10"/>
        <v>0</v>
      </c>
      <c r="AJ188" s="20">
        <f t="shared" si="11"/>
        <v>0</v>
      </c>
      <c r="AK188" s="9"/>
    </row>
    <row r="189" spans="1:37" hidden="1">
      <c r="A189" s="3">
        <v>187</v>
      </c>
      <c r="B189" s="12"/>
      <c r="C189" s="13"/>
      <c r="D189" s="13"/>
      <c r="E189" s="13"/>
      <c r="F189" s="13"/>
      <c r="G189" s="13"/>
      <c r="H189" s="28"/>
      <c r="I189" s="24" t="s">
        <v>197</v>
      </c>
      <c r="J189" s="24" t="s">
        <v>1388</v>
      </c>
      <c r="K189" s="26" t="s">
        <v>663</v>
      </c>
      <c r="L189" s="26" t="s">
        <v>511</v>
      </c>
      <c r="M189" s="66">
        <f>IFERROR(VLOOKUP($L189,[1]Consolidated!$C$9:$AC$341,27,0),0)</f>
        <v>17911000</v>
      </c>
      <c r="N189" s="66">
        <f>IFERROR(VLOOKUP($L189,[1]Consolidated!$C$9:$AC$341,5,0),0)</f>
        <v>100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4">
        <f>(VLOOKUP($O$2,Prices!$E$3:$F$17,2,FALSE)*Urban!O189)+(VLOOKUP($P$2,Prices!$E$3:$F$17,2,FALSE)*Urban!P189)+(VLOOKUP($Q$2,Prices!$E$3:$F$17,2,FALSE)*Urban!Q189)+(VLOOKUP($R$2,Prices!$E$3:$F$17,2,FALSE)*Urban!R189)+(VLOOKUP($S$2,Prices!$E$3:$F$17,2,FALSE)*Urban!S189)+(VLOOKUP($T$2,Prices!$E$3:$F$17,2,FALSE)*Urban!T189)+(VLOOKUP($U$2,Prices!$E$3:$F$17,2,FALSE)*Urban!U189)+(VLOOKUP($V$2,Prices!$E$3:$F$17,2,FALSE)*Urban!V189)+(VLOOKUP($W$2,Prices!$E$3:$F$17,2,FALSE)*Urban!W189)+(VLOOKUP($X$2,Prices!$E$3:$F$17,2,FALSE)*Urban!X189)+(VLOOKUP($Y$2,Prices!$E$3:$F$17,2,FALSE)*Urban!Y189)+(VLOOKUP($Z$2,Prices!$E$3:$F$17,2,FALSE)*Urban!Z189)+(VLOOKUP($AA$2,Prices!$E$3:$F$17,2,FALSE)*Urban!AA189)+(VLOOKUP($AB$2,Prices!$E$3:$F$17,2,FALSE)*Urban!AB189)+M189</f>
        <v>17911000</v>
      </c>
      <c r="AD189" s="18"/>
      <c r="AE189" s="18"/>
      <c r="AF189" s="4">
        <f t="shared" si="8"/>
        <v>0</v>
      </c>
      <c r="AG189" s="4"/>
      <c r="AH189" s="16">
        <f t="shared" si="9"/>
        <v>0</v>
      </c>
      <c r="AI189" s="21">
        <f t="shared" si="10"/>
        <v>0</v>
      </c>
      <c r="AJ189" s="20">
        <f t="shared" si="11"/>
        <v>0</v>
      </c>
      <c r="AK189" s="9"/>
    </row>
    <row r="190" spans="1:37" hidden="1">
      <c r="A190" s="3">
        <v>188</v>
      </c>
      <c r="B190" s="12"/>
      <c r="C190" s="13"/>
      <c r="D190" s="13"/>
      <c r="E190" s="13"/>
      <c r="F190" s="13"/>
      <c r="G190" s="13"/>
      <c r="H190" s="28"/>
      <c r="I190" s="39" t="s">
        <v>198</v>
      </c>
      <c r="J190" s="24" t="s">
        <v>1388</v>
      </c>
      <c r="K190" s="26" t="s">
        <v>663</v>
      </c>
      <c r="L190" s="26" t="s">
        <v>512</v>
      </c>
      <c r="M190" s="41">
        <f>IFERROR(VLOOKUP($L190,'[2]Top WH -National'!$D$9:$AC$124,26,0),0)</f>
        <v>43567000</v>
      </c>
      <c r="N190" s="41">
        <f>IFERROR(VLOOKUP($L190,'[2]Top WH -National'!$D$9:$AC$124,4,0),0)</f>
        <v>305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4">
        <f>(VLOOKUP($O$2,Prices!$E$3:$F$17,2,FALSE)*Urban!O190)+(VLOOKUP($P$2,Prices!$E$3:$F$17,2,FALSE)*Urban!P190)+(VLOOKUP($Q$2,Prices!$E$3:$F$17,2,FALSE)*Urban!Q190)+(VLOOKUP($R$2,Prices!$E$3:$F$17,2,FALSE)*Urban!R190)+(VLOOKUP($S$2,Prices!$E$3:$F$17,2,FALSE)*Urban!S190)+(VLOOKUP($T$2,Prices!$E$3:$F$17,2,FALSE)*Urban!T190)+(VLOOKUP($U$2,Prices!$E$3:$F$17,2,FALSE)*Urban!U190)+(VLOOKUP($V$2,Prices!$E$3:$F$17,2,FALSE)*Urban!V190)+(VLOOKUP($W$2,Prices!$E$3:$F$17,2,FALSE)*Urban!W190)+(VLOOKUP($X$2,Prices!$E$3:$F$17,2,FALSE)*Urban!X190)+(VLOOKUP($Y$2,Prices!$E$3:$F$17,2,FALSE)*Urban!Y190)+(VLOOKUP($Z$2,Prices!$E$3:$F$17,2,FALSE)*Urban!Z190)+(VLOOKUP($AA$2,Prices!$E$3:$F$17,2,FALSE)*Urban!AA190)+(VLOOKUP($AB$2,Prices!$E$3:$F$17,2,FALSE)*Urban!AB190)+M190</f>
        <v>43567000</v>
      </c>
      <c r="AD190" s="18"/>
      <c r="AE190" s="18"/>
      <c r="AF190" s="4">
        <f t="shared" si="8"/>
        <v>0</v>
      </c>
      <c r="AG190" s="4"/>
      <c r="AH190" s="16">
        <f t="shared" si="9"/>
        <v>0</v>
      </c>
      <c r="AI190" s="21">
        <f t="shared" si="10"/>
        <v>0</v>
      </c>
      <c r="AJ190" s="20">
        <f t="shared" si="11"/>
        <v>0</v>
      </c>
      <c r="AK190" s="9"/>
    </row>
    <row r="191" spans="1:37" hidden="1">
      <c r="A191" s="3">
        <v>189</v>
      </c>
      <c r="B191" s="12"/>
      <c r="C191" s="13"/>
      <c r="D191" s="13"/>
      <c r="E191" s="13"/>
      <c r="F191" s="13"/>
      <c r="G191" s="13"/>
      <c r="H191" s="28"/>
      <c r="I191" s="24" t="s">
        <v>199</v>
      </c>
      <c r="J191" s="24" t="s">
        <v>1388</v>
      </c>
      <c r="K191" s="26" t="s">
        <v>663</v>
      </c>
      <c r="L191" s="26" t="s">
        <v>513</v>
      </c>
      <c r="M191" s="66">
        <f>IFERROR(VLOOKUP($L191,[1]Consolidated!$C$9:$AC$341,27,0),0)</f>
        <v>13134500</v>
      </c>
      <c r="N191" s="66">
        <f>IFERROR(VLOOKUP($L191,[1]Consolidated!$C$9:$AC$341,5,0),0)</f>
        <v>74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4">
        <f>(VLOOKUP($O$2,Prices!$E$3:$F$17,2,FALSE)*Urban!O191)+(VLOOKUP($P$2,Prices!$E$3:$F$17,2,FALSE)*Urban!P191)+(VLOOKUP($Q$2,Prices!$E$3:$F$17,2,FALSE)*Urban!Q191)+(VLOOKUP($R$2,Prices!$E$3:$F$17,2,FALSE)*Urban!R191)+(VLOOKUP($S$2,Prices!$E$3:$F$17,2,FALSE)*Urban!S191)+(VLOOKUP($T$2,Prices!$E$3:$F$17,2,FALSE)*Urban!T191)+(VLOOKUP($U$2,Prices!$E$3:$F$17,2,FALSE)*Urban!U191)+(VLOOKUP($V$2,Prices!$E$3:$F$17,2,FALSE)*Urban!V191)+(VLOOKUP($W$2,Prices!$E$3:$F$17,2,FALSE)*Urban!W191)+(VLOOKUP($X$2,Prices!$E$3:$F$17,2,FALSE)*Urban!X191)+(VLOOKUP($Y$2,Prices!$E$3:$F$17,2,FALSE)*Urban!Y191)+(VLOOKUP($Z$2,Prices!$E$3:$F$17,2,FALSE)*Urban!Z191)+(VLOOKUP($AA$2,Prices!$E$3:$F$17,2,FALSE)*Urban!AA191)+(VLOOKUP($AB$2,Prices!$E$3:$F$17,2,FALSE)*Urban!AB191)+M191</f>
        <v>13134500</v>
      </c>
      <c r="AD191" s="18"/>
      <c r="AE191" s="18"/>
      <c r="AF191" s="4">
        <f t="shared" si="8"/>
        <v>0</v>
      </c>
      <c r="AG191" s="4"/>
      <c r="AH191" s="16">
        <f t="shared" si="9"/>
        <v>0</v>
      </c>
      <c r="AI191" s="21">
        <f t="shared" si="10"/>
        <v>0</v>
      </c>
      <c r="AJ191" s="20">
        <f t="shared" si="11"/>
        <v>0</v>
      </c>
      <c r="AK191" s="9"/>
    </row>
    <row r="192" spans="1:37" hidden="1">
      <c r="A192" s="3">
        <v>190</v>
      </c>
      <c r="B192" s="12"/>
      <c r="C192" s="13"/>
      <c r="D192" s="13"/>
      <c r="E192" s="13"/>
      <c r="F192" s="13"/>
      <c r="G192" s="13"/>
      <c r="H192" s="28"/>
      <c r="I192" s="25" t="s">
        <v>200</v>
      </c>
      <c r="J192" s="24" t="s">
        <v>1388</v>
      </c>
      <c r="K192" s="26" t="s">
        <v>663</v>
      </c>
      <c r="L192" s="26" t="s">
        <v>514</v>
      </c>
      <c r="M192" s="66">
        <f>IFERROR(VLOOKUP($L192,[1]Consolidated!$C$9:$AC$341,27,0),0)</f>
        <v>0</v>
      </c>
      <c r="N192" s="66">
        <f>IFERROR(VLOOKUP($L192,[1]Consolidated!$C$9:$AC$341,5,0),0)</f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4">
        <f>(VLOOKUP($O$2,Prices!$E$3:$F$17,2,FALSE)*Urban!O192)+(VLOOKUP($P$2,Prices!$E$3:$F$17,2,FALSE)*Urban!P192)+(VLOOKUP($Q$2,Prices!$E$3:$F$17,2,FALSE)*Urban!Q192)+(VLOOKUP($R$2,Prices!$E$3:$F$17,2,FALSE)*Urban!R192)+(VLOOKUP($S$2,Prices!$E$3:$F$17,2,FALSE)*Urban!S192)+(VLOOKUP($T$2,Prices!$E$3:$F$17,2,FALSE)*Urban!T192)+(VLOOKUP($U$2,Prices!$E$3:$F$17,2,FALSE)*Urban!U192)+(VLOOKUP($V$2,Prices!$E$3:$F$17,2,FALSE)*Urban!V192)+(VLOOKUP($W$2,Prices!$E$3:$F$17,2,FALSE)*Urban!W192)+(VLOOKUP($X$2,Prices!$E$3:$F$17,2,FALSE)*Urban!X192)+(VLOOKUP($Y$2,Prices!$E$3:$F$17,2,FALSE)*Urban!Y192)+(VLOOKUP($Z$2,Prices!$E$3:$F$17,2,FALSE)*Urban!Z192)+(VLOOKUP($AA$2,Prices!$E$3:$F$17,2,FALSE)*Urban!AA192)+(VLOOKUP($AB$2,Prices!$E$3:$F$17,2,FALSE)*Urban!AB192)+M192</f>
        <v>0</v>
      </c>
      <c r="AD192" s="18"/>
      <c r="AE192" s="18"/>
      <c r="AF192" s="4">
        <f t="shared" si="8"/>
        <v>0</v>
      </c>
      <c r="AG192" s="4"/>
      <c r="AH192" s="16">
        <f t="shared" si="9"/>
        <v>0</v>
      </c>
      <c r="AI192" s="21" t="e">
        <f t="shared" si="10"/>
        <v>#DIV/0!</v>
      </c>
      <c r="AJ192" s="20" t="e">
        <f t="shared" si="11"/>
        <v>#DIV/0!</v>
      </c>
      <c r="AK192" s="9"/>
    </row>
    <row r="193" spans="1:37" hidden="1">
      <c r="A193" s="3">
        <v>191</v>
      </c>
      <c r="B193" s="12"/>
      <c r="C193" s="13"/>
      <c r="D193" s="13"/>
      <c r="E193" s="13"/>
      <c r="F193" s="13"/>
      <c r="G193" s="13"/>
      <c r="H193" s="28"/>
      <c r="I193" s="24" t="s">
        <v>201</v>
      </c>
      <c r="J193" s="24" t="s">
        <v>1388</v>
      </c>
      <c r="K193" s="26" t="s">
        <v>663</v>
      </c>
      <c r="L193" s="26" t="s">
        <v>515</v>
      </c>
      <c r="M193" s="66">
        <f>IFERROR(VLOOKUP($L193,[1]Consolidated!$C$9:$AC$341,27,0),0)</f>
        <v>38258000</v>
      </c>
      <c r="N193" s="66">
        <f>IFERROR(VLOOKUP($L193,[1]Consolidated!$C$9:$AC$341,5,0),0)</f>
        <v>200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4">
        <f>(VLOOKUP($O$2,Prices!$E$3:$F$17,2,FALSE)*Urban!O193)+(VLOOKUP($P$2,Prices!$E$3:$F$17,2,FALSE)*Urban!P193)+(VLOOKUP($Q$2,Prices!$E$3:$F$17,2,FALSE)*Urban!Q193)+(VLOOKUP($R$2,Prices!$E$3:$F$17,2,FALSE)*Urban!R193)+(VLOOKUP($S$2,Prices!$E$3:$F$17,2,FALSE)*Urban!S193)+(VLOOKUP($T$2,Prices!$E$3:$F$17,2,FALSE)*Urban!T193)+(VLOOKUP($U$2,Prices!$E$3:$F$17,2,FALSE)*Urban!U193)+(VLOOKUP($V$2,Prices!$E$3:$F$17,2,FALSE)*Urban!V193)+(VLOOKUP($W$2,Prices!$E$3:$F$17,2,FALSE)*Urban!W193)+(VLOOKUP($X$2,Prices!$E$3:$F$17,2,FALSE)*Urban!X193)+(VLOOKUP($Y$2,Prices!$E$3:$F$17,2,FALSE)*Urban!Y193)+(VLOOKUP($Z$2,Prices!$E$3:$F$17,2,FALSE)*Urban!Z193)+(VLOOKUP($AA$2,Prices!$E$3:$F$17,2,FALSE)*Urban!AA193)+(VLOOKUP($AB$2,Prices!$E$3:$F$17,2,FALSE)*Urban!AB193)+M193</f>
        <v>38258000</v>
      </c>
      <c r="AD193" s="18"/>
      <c r="AE193" s="18"/>
      <c r="AF193" s="4">
        <f t="shared" si="8"/>
        <v>0</v>
      </c>
      <c r="AG193" s="4"/>
      <c r="AH193" s="16">
        <f t="shared" si="9"/>
        <v>0</v>
      </c>
      <c r="AI193" s="21">
        <f t="shared" si="10"/>
        <v>0</v>
      </c>
      <c r="AJ193" s="20">
        <f t="shared" si="11"/>
        <v>0</v>
      </c>
      <c r="AK193" s="9"/>
    </row>
    <row r="194" spans="1:37" hidden="1">
      <c r="A194" s="3">
        <v>192</v>
      </c>
      <c r="B194" s="12"/>
      <c r="C194" s="13"/>
      <c r="D194" s="13"/>
      <c r="E194" s="13"/>
      <c r="F194" s="13"/>
      <c r="G194" s="13"/>
      <c r="H194" s="28"/>
      <c r="I194" s="39" t="s">
        <v>202</v>
      </c>
      <c r="J194" s="24" t="s">
        <v>1388</v>
      </c>
      <c r="K194" s="26" t="s">
        <v>663</v>
      </c>
      <c r="L194" s="26" t="s">
        <v>516</v>
      </c>
      <c r="M194" s="41">
        <f>IFERROR(VLOOKUP($L194,'[2]Top WH -National'!$D$9:$AC$124,26,0),0)</f>
        <v>163300000</v>
      </c>
      <c r="N194" s="41">
        <f>IFERROR(VLOOKUP($L194,'[2]Top WH -National'!$D$9:$AC$124,4,0),0)</f>
        <v>1156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4">
        <f>(VLOOKUP($O$2,Prices!$E$3:$F$17,2,FALSE)*Urban!O194)+(VLOOKUP($P$2,Prices!$E$3:$F$17,2,FALSE)*Urban!P194)+(VLOOKUP($Q$2,Prices!$E$3:$F$17,2,FALSE)*Urban!Q194)+(VLOOKUP($R$2,Prices!$E$3:$F$17,2,FALSE)*Urban!R194)+(VLOOKUP($S$2,Prices!$E$3:$F$17,2,FALSE)*Urban!S194)+(VLOOKUP($T$2,Prices!$E$3:$F$17,2,FALSE)*Urban!T194)+(VLOOKUP($U$2,Prices!$E$3:$F$17,2,FALSE)*Urban!U194)+(VLOOKUP($V$2,Prices!$E$3:$F$17,2,FALSE)*Urban!V194)+(VLOOKUP($W$2,Prices!$E$3:$F$17,2,FALSE)*Urban!W194)+(VLOOKUP($X$2,Prices!$E$3:$F$17,2,FALSE)*Urban!X194)+(VLOOKUP($Y$2,Prices!$E$3:$F$17,2,FALSE)*Urban!Y194)+(VLOOKUP($Z$2,Prices!$E$3:$F$17,2,FALSE)*Urban!Z194)+(VLOOKUP($AA$2,Prices!$E$3:$F$17,2,FALSE)*Urban!AA194)+(VLOOKUP($AB$2,Prices!$E$3:$F$17,2,FALSE)*Urban!AB194)+M194</f>
        <v>163300000</v>
      </c>
      <c r="AD194" s="18"/>
      <c r="AE194" s="18"/>
      <c r="AF194" s="4">
        <f t="shared" si="8"/>
        <v>0</v>
      </c>
      <c r="AG194" s="4"/>
      <c r="AH194" s="16">
        <f t="shared" si="9"/>
        <v>0</v>
      </c>
      <c r="AI194" s="21">
        <f t="shared" si="10"/>
        <v>0</v>
      </c>
      <c r="AJ194" s="20">
        <f t="shared" si="11"/>
        <v>0</v>
      </c>
      <c r="AK194" s="9"/>
    </row>
    <row r="195" spans="1:37" hidden="1">
      <c r="A195" s="3">
        <v>193</v>
      </c>
      <c r="B195" s="12"/>
      <c r="C195" s="13"/>
      <c r="D195" s="13"/>
      <c r="E195" s="13"/>
      <c r="F195" s="13"/>
      <c r="G195" s="13"/>
      <c r="H195" s="28"/>
      <c r="I195" s="24" t="s">
        <v>203</v>
      </c>
      <c r="J195" s="24" t="s">
        <v>1388</v>
      </c>
      <c r="K195" s="26" t="s">
        <v>663</v>
      </c>
      <c r="L195" s="26" t="s">
        <v>517</v>
      </c>
      <c r="M195" s="66">
        <f>IFERROR(VLOOKUP($L195,[1]Consolidated!$C$9:$AC$341,27,0),0)</f>
        <v>15914500</v>
      </c>
      <c r="N195" s="66">
        <f>IFERROR(VLOOKUP($L195,[1]Consolidated!$C$9:$AC$341,5,0),0)</f>
        <v>100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4">
        <f>(VLOOKUP($O$2,Prices!$E$3:$F$17,2,FALSE)*Urban!O195)+(VLOOKUP($P$2,Prices!$E$3:$F$17,2,FALSE)*Urban!P195)+(VLOOKUP($Q$2,Prices!$E$3:$F$17,2,FALSE)*Urban!Q195)+(VLOOKUP($R$2,Prices!$E$3:$F$17,2,FALSE)*Urban!R195)+(VLOOKUP($S$2,Prices!$E$3:$F$17,2,FALSE)*Urban!S195)+(VLOOKUP($T$2,Prices!$E$3:$F$17,2,FALSE)*Urban!T195)+(VLOOKUP($U$2,Prices!$E$3:$F$17,2,FALSE)*Urban!U195)+(VLOOKUP($V$2,Prices!$E$3:$F$17,2,FALSE)*Urban!V195)+(VLOOKUP($W$2,Prices!$E$3:$F$17,2,FALSE)*Urban!W195)+(VLOOKUP($X$2,Prices!$E$3:$F$17,2,FALSE)*Urban!X195)+(VLOOKUP($Y$2,Prices!$E$3:$F$17,2,FALSE)*Urban!Y195)+(VLOOKUP($Z$2,Prices!$E$3:$F$17,2,FALSE)*Urban!Z195)+(VLOOKUP($AA$2,Prices!$E$3:$F$17,2,FALSE)*Urban!AA195)+(VLOOKUP($AB$2,Prices!$E$3:$F$17,2,FALSE)*Urban!AB195)+M195</f>
        <v>15914500</v>
      </c>
      <c r="AD195" s="18"/>
      <c r="AE195" s="18"/>
      <c r="AF195" s="4">
        <f t="shared" ref="AF195:AF258" si="12">AD195-AE195</f>
        <v>0</v>
      </c>
      <c r="AG195" s="4"/>
      <c r="AH195" s="16">
        <f t="shared" ref="AH195:AH258" si="13">AD195+AG195</f>
        <v>0</v>
      </c>
      <c r="AI195" s="21">
        <f t="shared" ref="AI195:AI258" si="14">AH195/M195</f>
        <v>0</v>
      </c>
      <c r="AJ195" s="20">
        <f t="shared" ref="AJ195:AJ258" si="15">AH195/AC195</f>
        <v>0</v>
      </c>
      <c r="AK195" s="9"/>
    </row>
    <row r="196" spans="1:37" hidden="1">
      <c r="A196" s="3">
        <v>194</v>
      </c>
      <c r="B196" s="12"/>
      <c r="C196" s="13"/>
      <c r="D196" s="13"/>
      <c r="E196" s="13"/>
      <c r="F196" s="13"/>
      <c r="G196" s="13"/>
      <c r="H196" s="28"/>
      <c r="I196" s="39" t="s">
        <v>204</v>
      </c>
      <c r="J196" s="24" t="s">
        <v>1388</v>
      </c>
      <c r="K196" s="26" t="s">
        <v>663</v>
      </c>
      <c r="L196" s="26" t="s">
        <v>518</v>
      </c>
      <c r="M196" s="66">
        <f>IFERROR(VLOOKUP($L196,[1]Consolidated!$C$9:$AC$341,27,0),0)</f>
        <v>44146000</v>
      </c>
      <c r="N196" s="66">
        <f>IFERROR(VLOOKUP($L196,[1]Consolidated!$C$9:$AC$341,5,0),0)</f>
        <v>250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4">
        <f>(VLOOKUP($O$2,Prices!$E$3:$F$17,2,FALSE)*Urban!O196)+(VLOOKUP($P$2,Prices!$E$3:$F$17,2,FALSE)*Urban!P196)+(VLOOKUP($Q$2,Prices!$E$3:$F$17,2,FALSE)*Urban!Q196)+(VLOOKUP($R$2,Prices!$E$3:$F$17,2,FALSE)*Urban!R196)+(VLOOKUP($S$2,Prices!$E$3:$F$17,2,FALSE)*Urban!S196)+(VLOOKUP($T$2,Prices!$E$3:$F$17,2,FALSE)*Urban!T196)+(VLOOKUP($U$2,Prices!$E$3:$F$17,2,FALSE)*Urban!U196)+(VLOOKUP($V$2,Prices!$E$3:$F$17,2,FALSE)*Urban!V196)+(VLOOKUP($W$2,Prices!$E$3:$F$17,2,FALSE)*Urban!W196)+(VLOOKUP($X$2,Prices!$E$3:$F$17,2,FALSE)*Urban!X196)+(VLOOKUP($Y$2,Prices!$E$3:$F$17,2,FALSE)*Urban!Y196)+(VLOOKUP($Z$2,Prices!$E$3:$F$17,2,FALSE)*Urban!Z196)+(VLOOKUP($AA$2,Prices!$E$3:$F$17,2,FALSE)*Urban!AA196)+(VLOOKUP($AB$2,Prices!$E$3:$F$17,2,FALSE)*Urban!AB196)+M196</f>
        <v>44146000</v>
      </c>
      <c r="AD196" s="18"/>
      <c r="AE196" s="18"/>
      <c r="AF196" s="4">
        <f t="shared" si="12"/>
        <v>0</v>
      </c>
      <c r="AG196" s="4"/>
      <c r="AH196" s="16">
        <f t="shared" si="13"/>
        <v>0</v>
      </c>
      <c r="AI196" s="21">
        <f t="shared" si="14"/>
        <v>0</v>
      </c>
      <c r="AJ196" s="20">
        <f t="shared" si="15"/>
        <v>0</v>
      </c>
      <c r="AK196" s="9"/>
    </row>
    <row r="197" spans="1:37" hidden="1">
      <c r="A197" s="3">
        <v>195</v>
      </c>
      <c r="B197" s="12"/>
      <c r="C197" s="13"/>
      <c r="D197" s="13"/>
      <c r="E197" s="13"/>
      <c r="F197" s="13"/>
      <c r="G197" s="13"/>
      <c r="H197" s="28"/>
      <c r="I197" s="39" t="s">
        <v>205</v>
      </c>
      <c r="J197" s="24" t="s">
        <v>1388</v>
      </c>
      <c r="K197" s="26" t="s">
        <v>663</v>
      </c>
      <c r="L197" s="26" t="s">
        <v>519</v>
      </c>
      <c r="M197" s="41">
        <f>IFERROR(VLOOKUP($L197,'[2]Top WH -National'!$D$9:$AC$124,26,0),0)</f>
        <v>47785500</v>
      </c>
      <c r="N197" s="41">
        <f>IFERROR(VLOOKUP($L197,'[2]Top WH -National'!$D$9:$AC$124,4,0),0)</f>
        <v>340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4">
        <f>(VLOOKUP($O$2,Prices!$E$3:$F$17,2,FALSE)*Urban!O197)+(VLOOKUP($P$2,Prices!$E$3:$F$17,2,FALSE)*Urban!P197)+(VLOOKUP($Q$2,Prices!$E$3:$F$17,2,FALSE)*Urban!Q197)+(VLOOKUP($R$2,Prices!$E$3:$F$17,2,FALSE)*Urban!R197)+(VLOOKUP($S$2,Prices!$E$3:$F$17,2,FALSE)*Urban!S197)+(VLOOKUP($T$2,Prices!$E$3:$F$17,2,FALSE)*Urban!T197)+(VLOOKUP($U$2,Prices!$E$3:$F$17,2,FALSE)*Urban!U197)+(VLOOKUP($V$2,Prices!$E$3:$F$17,2,FALSE)*Urban!V197)+(VLOOKUP($W$2,Prices!$E$3:$F$17,2,FALSE)*Urban!W197)+(VLOOKUP($X$2,Prices!$E$3:$F$17,2,FALSE)*Urban!X197)+(VLOOKUP($Y$2,Prices!$E$3:$F$17,2,FALSE)*Urban!Y197)+(VLOOKUP($Z$2,Prices!$E$3:$F$17,2,FALSE)*Urban!Z197)+(VLOOKUP($AA$2,Prices!$E$3:$F$17,2,FALSE)*Urban!AA197)+(VLOOKUP($AB$2,Prices!$E$3:$F$17,2,FALSE)*Urban!AB197)+M197</f>
        <v>47785500</v>
      </c>
      <c r="AD197" s="18"/>
      <c r="AE197" s="18"/>
      <c r="AF197" s="4">
        <f t="shared" si="12"/>
        <v>0</v>
      </c>
      <c r="AG197" s="4"/>
      <c r="AH197" s="16">
        <f t="shared" si="13"/>
        <v>0</v>
      </c>
      <c r="AI197" s="21">
        <f t="shared" si="14"/>
        <v>0</v>
      </c>
      <c r="AJ197" s="20">
        <f t="shared" si="15"/>
        <v>0</v>
      </c>
      <c r="AK197" s="19"/>
    </row>
    <row r="198" spans="1:37" hidden="1">
      <c r="A198" s="3">
        <v>196</v>
      </c>
      <c r="B198" s="12"/>
      <c r="C198" s="13"/>
      <c r="D198" s="13"/>
      <c r="E198" s="13"/>
      <c r="F198" s="13"/>
      <c r="G198" s="13"/>
      <c r="H198" s="28"/>
      <c r="I198" s="24" t="s">
        <v>220</v>
      </c>
      <c r="J198" s="24" t="s">
        <v>1388</v>
      </c>
      <c r="K198" s="26" t="s">
        <v>663</v>
      </c>
      <c r="L198" s="26" t="s">
        <v>534</v>
      </c>
      <c r="M198" s="66">
        <f>IFERROR(VLOOKUP($L198,[1]Consolidated!$C$9:$AC$341,27,0),0)</f>
        <v>0</v>
      </c>
      <c r="N198" s="66">
        <f>IFERROR(VLOOKUP($L198,[1]Consolidated!$C$9:$AC$341,5,0),0)</f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4">
        <f>(VLOOKUP($O$2,Prices!$E$3:$F$17,2,FALSE)*Urban!O198)+(VLOOKUP($P$2,Prices!$E$3:$F$17,2,FALSE)*Urban!P198)+(VLOOKUP($Q$2,Prices!$E$3:$F$17,2,FALSE)*Urban!Q198)+(VLOOKUP($R$2,Prices!$E$3:$F$17,2,FALSE)*Urban!R198)+(VLOOKUP($S$2,Prices!$E$3:$F$17,2,FALSE)*Urban!S198)+(VLOOKUP($T$2,Prices!$E$3:$F$17,2,FALSE)*Urban!T198)+(VLOOKUP($U$2,Prices!$E$3:$F$17,2,FALSE)*Urban!U198)+(VLOOKUP($V$2,Prices!$E$3:$F$17,2,FALSE)*Urban!V198)+(VLOOKUP($W$2,Prices!$E$3:$F$17,2,FALSE)*Urban!W198)+(VLOOKUP($X$2,Prices!$E$3:$F$17,2,FALSE)*Urban!X198)+(VLOOKUP($Y$2,Prices!$E$3:$F$17,2,FALSE)*Urban!Y198)+(VLOOKUP($Z$2,Prices!$E$3:$F$17,2,FALSE)*Urban!Z198)+(VLOOKUP($AA$2,Prices!$E$3:$F$17,2,FALSE)*Urban!AA198)+(VLOOKUP($AB$2,Prices!$E$3:$F$17,2,FALSE)*Urban!AB198)+M198</f>
        <v>0</v>
      </c>
      <c r="AD198" s="18"/>
      <c r="AE198" s="18"/>
      <c r="AF198" s="4">
        <f t="shared" si="12"/>
        <v>0</v>
      </c>
      <c r="AG198" s="4"/>
      <c r="AH198" s="16">
        <f t="shared" si="13"/>
        <v>0</v>
      </c>
      <c r="AI198" s="21" t="e">
        <f t="shared" si="14"/>
        <v>#DIV/0!</v>
      </c>
      <c r="AJ198" s="20" t="e">
        <f t="shared" si="15"/>
        <v>#DIV/0!</v>
      </c>
      <c r="AK198" s="9"/>
    </row>
    <row r="199" spans="1:37" hidden="1">
      <c r="A199" s="3">
        <v>197</v>
      </c>
      <c r="B199" s="12"/>
      <c r="C199" s="13"/>
      <c r="D199" s="13"/>
      <c r="E199" s="13"/>
      <c r="F199" s="13"/>
      <c r="G199" s="13"/>
      <c r="H199" s="28"/>
      <c r="I199" s="39" t="s">
        <v>206</v>
      </c>
      <c r="J199" s="24" t="s">
        <v>1388</v>
      </c>
      <c r="K199" s="26" t="s">
        <v>663</v>
      </c>
      <c r="L199" s="26" t="s">
        <v>520</v>
      </c>
      <c r="M199" s="41">
        <f>IFERROR(VLOOKUP($L199,'[2]Top WH -National'!$D$9:$AC$124,26,0),0)</f>
        <v>181156000</v>
      </c>
      <c r="N199" s="41">
        <f>IFERROR(VLOOKUP($L199,'[2]Top WH -National'!$D$9:$AC$124,4,0),0)</f>
        <v>1271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4">
        <f>(VLOOKUP($O$2,Prices!$E$3:$F$17,2,FALSE)*Urban!O199)+(VLOOKUP($P$2,Prices!$E$3:$F$17,2,FALSE)*Urban!P199)+(VLOOKUP($Q$2,Prices!$E$3:$F$17,2,FALSE)*Urban!Q199)+(VLOOKUP($R$2,Prices!$E$3:$F$17,2,FALSE)*Urban!R199)+(VLOOKUP($S$2,Prices!$E$3:$F$17,2,FALSE)*Urban!S199)+(VLOOKUP($T$2,Prices!$E$3:$F$17,2,FALSE)*Urban!T199)+(VLOOKUP($U$2,Prices!$E$3:$F$17,2,FALSE)*Urban!U199)+(VLOOKUP($V$2,Prices!$E$3:$F$17,2,FALSE)*Urban!V199)+(VLOOKUP($W$2,Prices!$E$3:$F$17,2,FALSE)*Urban!W199)+(VLOOKUP($X$2,Prices!$E$3:$F$17,2,FALSE)*Urban!X199)+(VLOOKUP($Y$2,Prices!$E$3:$F$17,2,FALSE)*Urban!Y199)+(VLOOKUP($Z$2,Prices!$E$3:$F$17,2,FALSE)*Urban!Z199)+(VLOOKUP($AA$2,Prices!$E$3:$F$17,2,FALSE)*Urban!AA199)+(VLOOKUP($AB$2,Prices!$E$3:$F$17,2,FALSE)*Urban!AB199)+M199</f>
        <v>181156000</v>
      </c>
      <c r="AD199" s="18"/>
      <c r="AE199" s="18"/>
      <c r="AF199" s="4">
        <f t="shared" si="12"/>
        <v>0</v>
      </c>
      <c r="AG199" s="4"/>
      <c r="AH199" s="16">
        <f t="shared" si="13"/>
        <v>0</v>
      </c>
      <c r="AI199" s="21">
        <f t="shared" si="14"/>
        <v>0</v>
      </c>
      <c r="AJ199" s="20">
        <f t="shared" si="15"/>
        <v>0</v>
      </c>
      <c r="AK199" s="9"/>
    </row>
    <row r="200" spans="1:37" hidden="1">
      <c r="A200" s="3">
        <v>198</v>
      </c>
      <c r="B200" s="12"/>
      <c r="C200" s="13"/>
      <c r="D200" s="13"/>
      <c r="E200" s="13"/>
      <c r="F200" s="13"/>
      <c r="G200" s="13"/>
      <c r="H200" s="28"/>
      <c r="I200" s="24" t="s">
        <v>207</v>
      </c>
      <c r="J200" s="24" t="s">
        <v>1388</v>
      </c>
      <c r="K200" s="26" t="s">
        <v>664</v>
      </c>
      <c r="L200" s="26" t="s">
        <v>521</v>
      </c>
      <c r="M200" s="66">
        <f>IFERROR(VLOOKUP($L200,[1]Consolidated!$C$9:$AC$341,27,0),0)</f>
        <v>24220500</v>
      </c>
      <c r="N200" s="66">
        <f>IFERROR(VLOOKUP($L200,[1]Consolidated!$C$9:$AC$341,5,0),0)</f>
        <v>120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4">
        <f>(VLOOKUP($O$2,Prices!$E$3:$F$17,2,FALSE)*Urban!O200)+(VLOOKUP($P$2,Prices!$E$3:$F$17,2,FALSE)*Urban!P200)+(VLOOKUP($Q$2,Prices!$E$3:$F$17,2,FALSE)*Urban!Q200)+(VLOOKUP($R$2,Prices!$E$3:$F$17,2,FALSE)*Urban!R200)+(VLOOKUP($S$2,Prices!$E$3:$F$17,2,FALSE)*Urban!S200)+(VLOOKUP($T$2,Prices!$E$3:$F$17,2,FALSE)*Urban!T200)+(VLOOKUP($U$2,Prices!$E$3:$F$17,2,FALSE)*Urban!U200)+(VLOOKUP($V$2,Prices!$E$3:$F$17,2,FALSE)*Urban!V200)+(VLOOKUP($W$2,Prices!$E$3:$F$17,2,FALSE)*Urban!W200)+(VLOOKUP($X$2,Prices!$E$3:$F$17,2,FALSE)*Urban!X200)+(VLOOKUP($Y$2,Prices!$E$3:$F$17,2,FALSE)*Urban!Y200)+(VLOOKUP($Z$2,Prices!$E$3:$F$17,2,FALSE)*Urban!Z200)+(VLOOKUP($AA$2,Prices!$E$3:$F$17,2,FALSE)*Urban!AA200)+(VLOOKUP($AB$2,Prices!$E$3:$F$17,2,FALSE)*Urban!AB200)+M200</f>
        <v>24220500</v>
      </c>
      <c r="AD200" s="18"/>
      <c r="AE200" s="18"/>
      <c r="AF200" s="4">
        <f t="shared" si="12"/>
        <v>0</v>
      </c>
      <c r="AG200" s="4"/>
      <c r="AH200" s="16">
        <f t="shared" si="13"/>
        <v>0</v>
      </c>
      <c r="AI200" s="21">
        <f t="shared" si="14"/>
        <v>0</v>
      </c>
      <c r="AJ200" s="20">
        <f t="shared" si="15"/>
        <v>0</v>
      </c>
      <c r="AK200" s="9"/>
    </row>
    <row r="201" spans="1:37" hidden="1">
      <c r="A201" s="3">
        <v>199</v>
      </c>
      <c r="B201" s="12"/>
      <c r="C201" s="13"/>
      <c r="D201" s="13"/>
      <c r="E201" s="13"/>
      <c r="F201" s="13"/>
      <c r="G201" s="13"/>
      <c r="H201" s="28"/>
      <c r="I201" s="24" t="s">
        <v>208</v>
      </c>
      <c r="J201" s="24" t="s">
        <v>1388</v>
      </c>
      <c r="K201" s="26" t="s">
        <v>664</v>
      </c>
      <c r="L201" s="26" t="s">
        <v>522</v>
      </c>
      <c r="M201" s="66">
        <f>IFERROR(VLOOKUP($L201,[1]Consolidated!$C$9:$AC$341,27,0),0)</f>
        <v>24545500</v>
      </c>
      <c r="N201" s="66">
        <f>IFERROR(VLOOKUP($L201,[1]Consolidated!$C$9:$AC$341,5,0),0)</f>
        <v>120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4">
        <f>(VLOOKUP($O$2,Prices!$E$3:$F$17,2,FALSE)*Urban!O201)+(VLOOKUP($P$2,Prices!$E$3:$F$17,2,FALSE)*Urban!P201)+(VLOOKUP($Q$2,Prices!$E$3:$F$17,2,FALSE)*Urban!Q201)+(VLOOKUP($R$2,Prices!$E$3:$F$17,2,FALSE)*Urban!R201)+(VLOOKUP($S$2,Prices!$E$3:$F$17,2,FALSE)*Urban!S201)+(VLOOKUP($T$2,Prices!$E$3:$F$17,2,FALSE)*Urban!T201)+(VLOOKUP($U$2,Prices!$E$3:$F$17,2,FALSE)*Urban!U201)+(VLOOKUP($V$2,Prices!$E$3:$F$17,2,FALSE)*Urban!V201)+(VLOOKUP($W$2,Prices!$E$3:$F$17,2,FALSE)*Urban!W201)+(VLOOKUP($X$2,Prices!$E$3:$F$17,2,FALSE)*Urban!X201)+(VLOOKUP($Y$2,Prices!$E$3:$F$17,2,FALSE)*Urban!Y201)+(VLOOKUP($Z$2,Prices!$E$3:$F$17,2,FALSE)*Urban!Z201)+(VLOOKUP($AA$2,Prices!$E$3:$F$17,2,FALSE)*Urban!AA201)+(VLOOKUP($AB$2,Prices!$E$3:$F$17,2,FALSE)*Urban!AB201)+M201</f>
        <v>24545500</v>
      </c>
      <c r="AD201" s="18"/>
      <c r="AE201" s="18"/>
      <c r="AF201" s="4">
        <f t="shared" si="12"/>
        <v>0</v>
      </c>
      <c r="AG201" s="4"/>
      <c r="AH201" s="16">
        <f t="shared" si="13"/>
        <v>0</v>
      </c>
      <c r="AI201" s="21">
        <f t="shared" si="14"/>
        <v>0</v>
      </c>
      <c r="AJ201" s="20">
        <f t="shared" si="15"/>
        <v>0</v>
      </c>
      <c r="AK201" s="9"/>
    </row>
    <row r="202" spans="1:37" hidden="1">
      <c r="A202" s="3">
        <v>200</v>
      </c>
      <c r="B202" s="12"/>
      <c r="C202" s="13"/>
      <c r="D202" s="13"/>
      <c r="E202" s="13"/>
      <c r="F202" s="13"/>
      <c r="G202" s="13"/>
      <c r="H202" s="28"/>
      <c r="I202" s="39" t="s">
        <v>209</v>
      </c>
      <c r="J202" s="24" t="s">
        <v>1388</v>
      </c>
      <c r="K202" s="26" t="s">
        <v>664</v>
      </c>
      <c r="L202" s="26" t="s">
        <v>523</v>
      </c>
      <c r="M202" s="41">
        <f>IFERROR(VLOOKUP($L202,'[2]Top WH -National'!$D$9:$AC$124,26,0),0)</f>
        <v>63619500</v>
      </c>
      <c r="N202" s="41">
        <f>IFERROR(VLOOKUP($L202,'[2]Top WH -National'!$D$9:$AC$124,4,0),0)</f>
        <v>310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4">
        <f>(VLOOKUP($O$2,Prices!$E$3:$F$17,2,FALSE)*Urban!O202)+(VLOOKUP($P$2,Prices!$E$3:$F$17,2,FALSE)*Urban!P202)+(VLOOKUP($Q$2,Prices!$E$3:$F$17,2,FALSE)*Urban!Q202)+(VLOOKUP($R$2,Prices!$E$3:$F$17,2,FALSE)*Urban!R202)+(VLOOKUP($S$2,Prices!$E$3:$F$17,2,FALSE)*Urban!S202)+(VLOOKUP($T$2,Prices!$E$3:$F$17,2,FALSE)*Urban!T202)+(VLOOKUP($U$2,Prices!$E$3:$F$17,2,FALSE)*Urban!U202)+(VLOOKUP($V$2,Prices!$E$3:$F$17,2,FALSE)*Urban!V202)+(VLOOKUP($W$2,Prices!$E$3:$F$17,2,FALSE)*Urban!W202)+(VLOOKUP($X$2,Prices!$E$3:$F$17,2,FALSE)*Urban!X202)+(VLOOKUP($Y$2,Prices!$E$3:$F$17,2,FALSE)*Urban!Y202)+(VLOOKUP($Z$2,Prices!$E$3:$F$17,2,FALSE)*Urban!Z202)+(VLOOKUP($AA$2,Prices!$E$3:$F$17,2,FALSE)*Urban!AA202)+(VLOOKUP($AB$2,Prices!$E$3:$F$17,2,FALSE)*Urban!AB202)+M202</f>
        <v>63619500</v>
      </c>
      <c r="AD202" s="18"/>
      <c r="AE202" s="18"/>
      <c r="AF202" s="4">
        <f t="shared" si="12"/>
        <v>0</v>
      </c>
      <c r="AG202" s="4"/>
      <c r="AH202" s="16">
        <f t="shared" si="13"/>
        <v>0</v>
      </c>
      <c r="AI202" s="21">
        <f t="shared" si="14"/>
        <v>0</v>
      </c>
      <c r="AJ202" s="20">
        <f t="shared" si="15"/>
        <v>0</v>
      </c>
      <c r="AK202" s="9"/>
    </row>
    <row r="203" spans="1:37" hidden="1">
      <c r="A203" s="3">
        <v>201</v>
      </c>
      <c r="B203" s="12"/>
      <c r="C203" s="13"/>
      <c r="D203" s="13"/>
      <c r="E203" s="13"/>
      <c r="F203" s="13"/>
      <c r="G203" s="13"/>
      <c r="H203" s="28"/>
      <c r="I203" s="39" t="s">
        <v>210</v>
      </c>
      <c r="J203" s="24" t="s">
        <v>1388</v>
      </c>
      <c r="K203" s="26" t="s">
        <v>664</v>
      </c>
      <c r="L203" s="26" t="s">
        <v>524</v>
      </c>
      <c r="M203" s="41">
        <f>IFERROR(VLOOKUP($L203,'[2]Top WH -National'!$D$9:$AC$124,26,0),0)</f>
        <v>105302500</v>
      </c>
      <c r="N203" s="41">
        <f>IFERROR(VLOOKUP($L203,'[2]Top WH -National'!$D$9:$AC$124,4,0),0)</f>
        <v>523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4">
        <f>(VLOOKUP($O$2,Prices!$E$3:$F$17,2,FALSE)*Urban!O203)+(VLOOKUP($P$2,Prices!$E$3:$F$17,2,FALSE)*Urban!P203)+(VLOOKUP($Q$2,Prices!$E$3:$F$17,2,FALSE)*Urban!Q203)+(VLOOKUP($R$2,Prices!$E$3:$F$17,2,FALSE)*Urban!R203)+(VLOOKUP($S$2,Prices!$E$3:$F$17,2,FALSE)*Urban!S203)+(VLOOKUP($T$2,Prices!$E$3:$F$17,2,FALSE)*Urban!T203)+(VLOOKUP($U$2,Prices!$E$3:$F$17,2,FALSE)*Urban!U203)+(VLOOKUP($V$2,Prices!$E$3:$F$17,2,FALSE)*Urban!V203)+(VLOOKUP($W$2,Prices!$E$3:$F$17,2,FALSE)*Urban!W203)+(VLOOKUP($X$2,Prices!$E$3:$F$17,2,FALSE)*Urban!X203)+(VLOOKUP($Y$2,Prices!$E$3:$F$17,2,FALSE)*Urban!Y203)+(VLOOKUP($Z$2,Prices!$E$3:$F$17,2,FALSE)*Urban!Z203)+(VLOOKUP($AA$2,Prices!$E$3:$F$17,2,FALSE)*Urban!AA203)+(VLOOKUP($AB$2,Prices!$E$3:$F$17,2,FALSE)*Urban!AB203)+M203</f>
        <v>105302500</v>
      </c>
      <c r="AD203" s="18"/>
      <c r="AE203" s="18"/>
      <c r="AF203" s="4">
        <f t="shared" si="12"/>
        <v>0</v>
      </c>
      <c r="AG203" s="4"/>
      <c r="AH203" s="16">
        <f t="shared" si="13"/>
        <v>0</v>
      </c>
      <c r="AI203" s="21">
        <f t="shared" si="14"/>
        <v>0</v>
      </c>
      <c r="AJ203" s="20">
        <f t="shared" si="15"/>
        <v>0</v>
      </c>
      <c r="AK203" s="9"/>
    </row>
    <row r="204" spans="1:37" hidden="1">
      <c r="A204" s="3">
        <v>202</v>
      </c>
      <c r="B204" s="12"/>
      <c r="C204" s="13"/>
      <c r="D204" s="13"/>
      <c r="E204" s="13"/>
      <c r="F204" s="13"/>
      <c r="G204" s="13"/>
      <c r="H204" s="28"/>
      <c r="I204" s="39" t="s">
        <v>211</v>
      </c>
      <c r="J204" s="24" t="s">
        <v>1388</v>
      </c>
      <c r="K204" s="26" t="s">
        <v>664</v>
      </c>
      <c r="L204" s="26" t="s">
        <v>525</v>
      </c>
      <c r="M204" s="41">
        <f>IFERROR(VLOOKUP($L204,'[2]Top WH -National'!$D$9:$AC$124,26,0),0)</f>
        <v>118587000</v>
      </c>
      <c r="N204" s="41">
        <f>IFERROR(VLOOKUP($L204,'[2]Top WH -National'!$D$9:$AC$124,4,0),0)</f>
        <v>585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4">
        <f>(VLOOKUP($O$2,Prices!$E$3:$F$17,2,FALSE)*Urban!O204)+(VLOOKUP($P$2,Prices!$E$3:$F$17,2,FALSE)*Urban!P204)+(VLOOKUP($Q$2,Prices!$E$3:$F$17,2,FALSE)*Urban!Q204)+(VLOOKUP($R$2,Prices!$E$3:$F$17,2,FALSE)*Urban!R204)+(VLOOKUP($S$2,Prices!$E$3:$F$17,2,FALSE)*Urban!S204)+(VLOOKUP($T$2,Prices!$E$3:$F$17,2,FALSE)*Urban!T204)+(VLOOKUP($U$2,Prices!$E$3:$F$17,2,FALSE)*Urban!U204)+(VLOOKUP($V$2,Prices!$E$3:$F$17,2,FALSE)*Urban!V204)+(VLOOKUP($W$2,Prices!$E$3:$F$17,2,FALSE)*Urban!W204)+(VLOOKUP($X$2,Prices!$E$3:$F$17,2,FALSE)*Urban!X204)+(VLOOKUP($Y$2,Prices!$E$3:$F$17,2,FALSE)*Urban!Y204)+(VLOOKUP($Z$2,Prices!$E$3:$F$17,2,FALSE)*Urban!Z204)+(VLOOKUP($AA$2,Prices!$E$3:$F$17,2,FALSE)*Urban!AA204)+(VLOOKUP($AB$2,Prices!$E$3:$F$17,2,FALSE)*Urban!AB204)+M204</f>
        <v>118587000</v>
      </c>
      <c r="AD204" s="18"/>
      <c r="AE204" s="18"/>
      <c r="AF204" s="4">
        <f t="shared" si="12"/>
        <v>0</v>
      </c>
      <c r="AG204" s="4"/>
      <c r="AH204" s="16">
        <f t="shared" si="13"/>
        <v>0</v>
      </c>
      <c r="AI204" s="21">
        <f t="shared" si="14"/>
        <v>0</v>
      </c>
      <c r="AJ204" s="20">
        <f t="shared" si="15"/>
        <v>0</v>
      </c>
      <c r="AK204" s="9"/>
    </row>
    <row r="205" spans="1:37" hidden="1">
      <c r="A205" s="3">
        <v>203</v>
      </c>
      <c r="B205" s="12"/>
      <c r="C205" s="13"/>
      <c r="D205" s="13"/>
      <c r="E205" s="13"/>
      <c r="F205" s="13"/>
      <c r="G205" s="13"/>
      <c r="H205" s="28"/>
      <c r="I205" s="24" t="s">
        <v>212</v>
      </c>
      <c r="J205" s="24" t="s">
        <v>1388</v>
      </c>
      <c r="K205" s="26" t="s">
        <v>664</v>
      </c>
      <c r="L205" s="26" t="s">
        <v>526</v>
      </c>
      <c r="M205" s="66">
        <f>IFERROR(VLOOKUP($L205,[1]Consolidated!$C$9:$AC$341,27,0),0)</f>
        <v>26048000</v>
      </c>
      <c r="N205" s="66">
        <f>IFERROR(VLOOKUP($L205,[1]Consolidated!$C$9:$AC$341,5,0),0)</f>
        <v>120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4">
        <f>(VLOOKUP($O$2,Prices!$E$3:$F$17,2,FALSE)*Urban!O205)+(VLOOKUP($P$2,Prices!$E$3:$F$17,2,FALSE)*Urban!P205)+(VLOOKUP($Q$2,Prices!$E$3:$F$17,2,FALSE)*Urban!Q205)+(VLOOKUP($R$2,Prices!$E$3:$F$17,2,FALSE)*Urban!R205)+(VLOOKUP($S$2,Prices!$E$3:$F$17,2,FALSE)*Urban!S205)+(VLOOKUP($T$2,Prices!$E$3:$F$17,2,FALSE)*Urban!T205)+(VLOOKUP($U$2,Prices!$E$3:$F$17,2,FALSE)*Urban!U205)+(VLOOKUP($V$2,Prices!$E$3:$F$17,2,FALSE)*Urban!V205)+(VLOOKUP($W$2,Prices!$E$3:$F$17,2,FALSE)*Urban!W205)+(VLOOKUP($X$2,Prices!$E$3:$F$17,2,FALSE)*Urban!X205)+(VLOOKUP($Y$2,Prices!$E$3:$F$17,2,FALSE)*Urban!Y205)+(VLOOKUP($Z$2,Prices!$E$3:$F$17,2,FALSE)*Urban!Z205)+(VLOOKUP($AA$2,Prices!$E$3:$F$17,2,FALSE)*Urban!AA205)+(VLOOKUP($AB$2,Prices!$E$3:$F$17,2,FALSE)*Urban!AB205)+M205</f>
        <v>26048000</v>
      </c>
      <c r="AD205" s="18"/>
      <c r="AE205" s="18"/>
      <c r="AF205" s="4">
        <f t="shared" si="12"/>
        <v>0</v>
      </c>
      <c r="AG205" s="4"/>
      <c r="AH205" s="16">
        <f t="shared" si="13"/>
        <v>0</v>
      </c>
      <c r="AI205" s="21">
        <f t="shared" si="14"/>
        <v>0</v>
      </c>
      <c r="AJ205" s="20">
        <f t="shared" si="15"/>
        <v>0</v>
      </c>
      <c r="AK205" s="9"/>
    </row>
    <row r="206" spans="1:37" hidden="1">
      <c r="A206" s="3">
        <v>204</v>
      </c>
      <c r="B206" s="12"/>
      <c r="C206" s="13"/>
      <c r="D206" s="13"/>
      <c r="E206" s="13"/>
      <c r="F206" s="13"/>
      <c r="G206" s="13"/>
      <c r="H206" s="28"/>
      <c r="I206" s="39" t="s">
        <v>213</v>
      </c>
      <c r="J206" s="24" t="s">
        <v>1388</v>
      </c>
      <c r="K206" s="26" t="s">
        <v>664</v>
      </c>
      <c r="L206" s="26" t="s">
        <v>527</v>
      </c>
      <c r="M206" s="41">
        <f>IFERROR(VLOOKUP($L206,'[2]Top WH -National'!$D$9:$AC$124,26,0),0)</f>
        <v>56470500</v>
      </c>
      <c r="N206" s="41">
        <f>IFERROR(VLOOKUP($L206,'[2]Top WH -National'!$D$9:$AC$124,4,0),0)</f>
        <v>305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4">
        <f>(VLOOKUP($O$2,Prices!$E$3:$F$17,2,FALSE)*Urban!O206)+(VLOOKUP($P$2,Prices!$E$3:$F$17,2,FALSE)*Urban!P206)+(VLOOKUP($Q$2,Prices!$E$3:$F$17,2,FALSE)*Urban!Q206)+(VLOOKUP($R$2,Prices!$E$3:$F$17,2,FALSE)*Urban!R206)+(VLOOKUP($S$2,Prices!$E$3:$F$17,2,FALSE)*Urban!S206)+(VLOOKUP($T$2,Prices!$E$3:$F$17,2,FALSE)*Urban!T206)+(VLOOKUP($U$2,Prices!$E$3:$F$17,2,FALSE)*Urban!U206)+(VLOOKUP($V$2,Prices!$E$3:$F$17,2,FALSE)*Urban!V206)+(VLOOKUP($W$2,Prices!$E$3:$F$17,2,FALSE)*Urban!W206)+(VLOOKUP($X$2,Prices!$E$3:$F$17,2,FALSE)*Urban!X206)+(VLOOKUP($Y$2,Prices!$E$3:$F$17,2,FALSE)*Urban!Y206)+(VLOOKUP($Z$2,Prices!$E$3:$F$17,2,FALSE)*Urban!Z206)+(VLOOKUP($AA$2,Prices!$E$3:$F$17,2,FALSE)*Urban!AA206)+(VLOOKUP($AB$2,Prices!$E$3:$F$17,2,FALSE)*Urban!AB206)+M206</f>
        <v>56470500</v>
      </c>
      <c r="AD206" s="18"/>
      <c r="AE206" s="18"/>
      <c r="AF206" s="4">
        <f t="shared" si="12"/>
        <v>0</v>
      </c>
      <c r="AG206" s="4"/>
      <c r="AH206" s="16">
        <f t="shared" si="13"/>
        <v>0</v>
      </c>
      <c r="AI206" s="21">
        <f t="shared" si="14"/>
        <v>0</v>
      </c>
      <c r="AJ206" s="20">
        <f t="shared" si="15"/>
        <v>0</v>
      </c>
      <c r="AK206" s="19"/>
    </row>
    <row r="207" spans="1:37" hidden="1">
      <c r="A207" s="3">
        <v>205</v>
      </c>
      <c r="B207" s="12"/>
      <c r="C207" s="13"/>
      <c r="D207" s="13"/>
      <c r="E207" s="13"/>
      <c r="F207" s="13"/>
      <c r="G207" s="13"/>
      <c r="H207" s="28"/>
      <c r="I207" s="24" t="s">
        <v>214</v>
      </c>
      <c r="J207" s="24" t="s">
        <v>1388</v>
      </c>
      <c r="K207" s="26" t="s">
        <v>664</v>
      </c>
      <c r="L207" s="26" t="s">
        <v>528</v>
      </c>
      <c r="M207" s="66">
        <f>IFERROR(VLOOKUP($L207,[1]Consolidated!$C$9:$AC$341,27,0),0)</f>
        <v>20707500</v>
      </c>
      <c r="N207" s="66">
        <f>IFERROR(VLOOKUP($L207,[1]Consolidated!$C$9:$AC$341,5,0),0)</f>
        <v>100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4">
        <f>(VLOOKUP($O$2,Prices!$E$3:$F$17,2,FALSE)*Urban!O207)+(VLOOKUP($P$2,Prices!$E$3:$F$17,2,FALSE)*Urban!P207)+(VLOOKUP($Q$2,Prices!$E$3:$F$17,2,FALSE)*Urban!Q207)+(VLOOKUP($R$2,Prices!$E$3:$F$17,2,FALSE)*Urban!R207)+(VLOOKUP($S$2,Prices!$E$3:$F$17,2,FALSE)*Urban!S207)+(VLOOKUP($T$2,Prices!$E$3:$F$17,2,FALSE)*Urban!T207)+(VLOOKUP($U$2,Prices!$E$3:$F$17,2,FALSE)*Urban!U207)+(VLOOKUP($V$2,Prices!$E$3:$F$17,2,FALSE)*Urban!V207)+(VLOOKUP($W$2,Prices!$E$3:$F$17,2,FALSE)*Urban!W207)+(VLOOKUP($X$2,Prices!$E$3:$F$17,2,FALSE)*Urban!X207)+(VLOOKUP($Y$2,Prices!$E$3:$F$17,2,FALSE)*Urban!Y207)+(VLOOKUP($Z$2,Prices!$E$3:$F$17,2,FALSE)*Urban!Z207)+(VLOOKUP($AA$2,Prices!$E$3:$F$17,2,FALSE)*Urban!AA207)+(VLOOKUP($AB$2,Prices!$E$3:$F$17,2,FALSE)*Urban!AB207)+M207</f>
        <v>20707500</v>
      </c>
      <c r="AD207" s="18"/>
      <c r="AE207" s="18"/>
      <c r="AF207" s="4">
        <f t="shared" si="12"/>
        <v>0</v>
      </c>
      <c r="AG207" s="4"/>
      <c r="AH207" s="16">
        <f t="shared" si="13"/>
        <v>0</v>
      </c>
      <c r="AI207" s="21">
        <f t="shared" si="14"/>
        <v>0</v>
      </c>
      <c r="AJ207" s="20">
        <f t="shared" si="15"/>
        <v>0</v>
      </c>
      <c r="AK207" s="9"/>
    </row>
    <row r="208" spans="1:37" hidden="1">
      <c r="A208" s="3">
        <v>206</v>
      </c>
      <c r="B208" s="12"/>
      <c r="C208" s="13"/>
      <c r="D208" s="13"/>
      <c r="E208" s="13"/>
      <c r="F208" s="13"/>
      <c r="G208" s="13"/>
      <c r="H208" s="28"/>
      <c r="I208" s="39" t="s">
        <v>215</v>
      </c>
      <c r="J208" s="24" t="s">
        <v>1388</v>
      </c>
      <c r="K208" s="26" t="s">
        <v>664</v>
      </c>
      <c r="L208" s="26" t="s">
        <v>529</v>
      </c>
      <c r="M208" s="41">
        <f>IFERROR(VLOOKUP($L208,'[2]Top WH -National'!$D$9:$AC$124,26,0),0)</f>
        <v>57097500</v>
      </c>
      <c r="N208" s="41">
        <f>IFERROR(VLOOKUP($L208,'[2]Top WH -National'!$D$9:$AC$124,4,0),0)</f>
        <v>305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4">
        <f>(VLOOKUP($O$2,Prices!$E$3:$F$17,2,FALSE)*Urban!O208)+(VLOOKUP($P$2,Prices!$E$3:$F$17,2,FALSE)*Urban!P208)+(VLOOKUP($Q$2,Prices!$E$3:$F$17,2,FALSE)*Urban!Q208)+(VLOOKUP($R$2,Prices!$E$3:$F$17,2,FALSE)*Urban!R208)+(VLOOKUP($S$2,Prices!$E$3:$F$17,2,FALSE)*Urban!S208)+(VLOOKUP($T$2,Prices!$E$3:$F$17,2,FALSE)*Urban!T208)+(VLOOKUP($U$2,Prices!$E$3:$F$17,2,FALSE)*Urban!U208)+(VLOOKUP($V$2,Prices!$E$3:$F$17,2,FALSE)*Urban!V208)+(VLOOKUP($W$2,Prices!$E$3:$F$17,2,FALSE)*Urban!W208)+(VLOOKUP($X$2,Prices!$E$3:$F$17,2,FALSE)*Urban!X208)+(VLOOKUP($Y$2,Prices!$E$3:$F$17,2,FALSE)*Urban!Y208)+(VLOOKUP($Z$2,Prices!$E$3:$F$17,2,FALSE)*Urban!Z208)+(VLOOKUP($AA$2,Prices!$E$3:$F$17,2,FALSE)*Urban!AA208)+(VLOOKUP($AB$2,Prices!$E$3:$F$17,2,FALSE)*Urban!AB208)+M208</f>
        <v>57097500</v>
      </c>
      <c r="AD208" s="18"/>
      <c r="AE208" s="18"/>
      <c r="AF208" s="4">
        <f t="shared" si="12"/>
        <v>0</v>
      </c>
      <c r="AG208" s="4"/>
      <c r="AH208" s="16">
        <f t="shared" si="13"/>
        <v>0</v>
      </c>
      <c r="AI208" s="21">
        <f t="shared" si="14"/>
        <v>0</v>
      </c>
      <c r="AJ208" s="20">
        <f t="shared" si="15"/>
        <v>0</v>
      </c>
      <c r="AK208" s="9"/>
    </row>
    <row r="209" spans="1:37" hidden="1">
      <c r="A209" s="3">
        <v>207</v>
      </c>
      <c r="B209" s="12"/>
      <c r="C209" s="13"/>
      <c r="D209" s="13"/>
      <c r="E209" s="13"/>
      <c r="F209" s="13"/>
      <c r="G209" s="13"/>
      <c r="H209" s="28"/>
      <c r="I209" s="39" t="s">
        <v>216</v>
      </c>
      <c r="J209" s="24" t="s">
        <v>1388</v>
      </c>
      <c r="K209" s="26" t="s">
        <v>664</v>
      </c>
      <c r="L209" s="26" t="s">
        <v>530</v>
      </c>
      <c r="M209" s="41">
        <f>IFERROR(VLOOKUP($L209,'[2]Top WH -National'!$D$9:$AC$124,26,0),0)</f>
        <v>130541500</v>
      </c>
      <c r="N209" s="41">
        <f>IFERROR(VLOOKUP($L209,'[2]Top WH -National'!$D$9:$AC$124,4,0),0)</f>
        <v>656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4">
        <f>(VLOOKUP($O$2,Prices!$E$3:$F$17,2,FALSE)*Urban!O209)+(VLOOKUP($P$2,Prices!$E$3:$F$17,2,FALSE)*Urban!P209)+(VLOOKUP($Q$2,Prices!$E$3:$F$17,2,FALSE)*Urban!Q209)+(VLOOKUP($R$2,Prices!$E$3:$F$17,2,FALSE)*Urban!R209)+(VLOOKUP($S$2,Prices!$E$3:$F$17,2,FALSE)*Urban!S209)+(VLOOKUP($T$2,Prices!$E$3:$F$17,2,FALSE)*Urban!T209)+(VLOOKUP($U$2,Prices!$E$3:$F$17,2,FALSE)*Urban!U209)+(VLOOKUP($V$2,Prices!$E$3:$F$17,2,FALSE)*Urban!V209)+(VLOOKUP($W$2,Prices!$E$3:$F$17,2,FALSE)*Urban!W209)+(VLOOKUP($X$2,Prices!$E$3:$F$17,2,FALSE)*Urban!X209)+(VLOOKUP($Y$2,Prices!$E$3:$F$17,2,FALSE)*Urban!Y209)+(VLOOKUP($Z$2,Prices!$E$3:$F$17,2,FALSE)*Urban!Z209)+(VLOOKUP($AA$2,Prices!$E$3:$F$17,2,FALSE)*Urban!AA209)+(VLOOKUP($AB$2,Prices!$E$3:$F$17,2,FALSE)*Urban!AB209)+M209</f>
        <v>130541500</v>
      </c>
      <c r="AD209" s="18"/>
      <c r="AE209" s="18"/>
      <c r="AF209" s="4">
        <f t="shared" si="12"/>
        <v>0</v>
      </c>
      <c r="AG209" s="4"/>
      <c r="AH209" s="16">
        <f t="shared" si="13"/>
        <v>0</v>
      </c>
      <c r="AI209" s="21">
        <f t="shared" si="14"/>
        <v>0</v>
      </c>
      <c r="AJ209" s="20">
        <f t="shared" si="15"/>
        <v>0</v>
      </c>
      <c r="AK209" s="9"/>
    </row>
    <row r="210" spans="1:37" hidden="1">
      <c r="A210" s="3">
        <v>208</v>
      </c>
      <c r="B210" s="12"/>
      <c r="C210" s="13"/>
      <c r="D210" s="13"/>
      <c r="E210" s="13"/>
      <c r="F210" s="13"/>
      <c r="G210" s="13"/>
      <c r="H210" s="28"/>
      <c r="I210" s="24" t="s">
        <v>217</v>
      </c>
      <c r="J210" s="24" t="s">
        <v>1388</v>
      </c>
      <c r="K210" s="26" t="s">
        <v>664</v>
      </c>
      <c r="L210" s="26" t="s">
        <v>531</v>
      </c>
      <c r="M210" s="66">
        <f>IFERROR(VLOOKUP($L210,[1]Consolidated!$C$9:$AC$341,27,0),0)</f>
        <v>13920500</v>
      </c>
      <c r="N210" s="66">
        <f>IFERROR(VLOOKUP($L210,[1]Consolidated!$C$9:$AC$341,5,0),0)</f>
        <v>70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4">
        <f>(VLOOKUP($O$2,Prices!$E$3:$F$17,2,FALSE)*Urban!O210)+(VLOOKUP($P$2,Prices!$E$3:$F$17,2,FALSE)*Urban!P210)+(VLOOKUP($Q$2,Prices!$E$3:$F$17,2,FALSE)*Urban!Q210)+(VLOOKUP($R$2,Prices!$E$3:$F$17,2,FALSE)*Urban!R210)+(VLOOKUP($S$2,Prices!$E$3:$F$17,2,FALSE)*Urban!S210)+(VLOOKUP($T$2,Prices!$E$3:$F$17,2,FALSE)*Urban!T210)+(VLOOKUP($U$2,Prices!$E$3:$F$17,2,FALSE)*Urban!U210)+(VLOOKUP($V$2,Prices!$E$3:$F$17,2,FALSE)*Urban!V210)+(VLOOKUP($W$2,Prices!$E$3:$F$17,2,FALSE)*Urban!W210)+(VLOOKUP($X$2,Prices!$E$3:$F$17,2,FALSE)*Urban!X210)+(VLOOKUP($Y$2,Prices!$E$3:$F$17,2,FALSE)*Urban!Y210)+(VLOOKUP($Z$2,Prices!$E$3:$F$17,2,FALSE)*Urban!Z210)+(VLOOKUP($AA$2,Prices!$E$3:$F$17,2,FALSE)*Urban!AA210)+(VLOOKUP($AB$2,Prices!$E$3:$F$17,2,FALSE)*Urban!AB210)+M210</f>
        <v>13920500</v>
      </c>
      <c r="AD210" s="18"/>
      <c r="AE210" s="18"/>
      <c r="AF210" s="4">
        <f t="shared" si="12"/>
        <v>0</v>
      </c>
      <c r="AG210" s="4"/>
      <c r="AH210" s="16">
        <f t="shared" si="13"/>
        <v>0</v>
      </c>
      <c r="AI210" s="21">
        <f t="shared" si="14"/>
        <v>0</v>
      </c>
      <c r="AJ210" s="20">
        <f t="shared" si="15"/>
        <v>0</v>
      </c>
      <c r="AK210" s="9"/>
    </row>
    <row r="211" spans="1:37" hidden="1">
      <c r="A211" s="3">
        <v>209</v>
      </c>
      <c r="B211" s="12"/>
      <c r="C211" s="13"/>
      <c r="D211" s="13"/>
      <c r="E211" s="13"/>
      <c r="F211" s="13"/>
      <c r="G211" s="13"/>
      <c r="H211" s="28"/>
      <c r="I211" s="24" t="s">
        <v>1317</v>
      </c>
      <c r="J211" s="24" t="s">
        <v>1388</v>
      </c>
      <c r="K211" s="26" t="s">
        <v>664</v>
      </c>
      <c r="L211" s="26" t="s">
        <v>533</v>
      </c>
      <c r="M211" s="66">
        <f>IFERROR(VLOOKUP($L211,[1]Consolidated!$C$9:$AC$341,27,0),0)</f>
        <v>22404000</v>
      </c>
      <c r="N211" s="66">
        <f>IFERROR(VLOOKUP($L211,[1]Consolidated!$C$9:$AC$341,5,0),0)</f>
        <v>100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4">
        <f>(VLOOKUP($O$2,Prices!$E$3:$F$17,2,FALSE)*Urban!O211)+(VLOOKUP($P$2,Prices!$E$3:$F$17,2,FALSE)*Urban!P211)+(VLOOKUP($Q$2,Prices!$E$3:$F$17,2,FALSE)*Urban!Q211)+(VLOOKUP($R$2,Prices!$E$3:$F$17,2,FALSE)*Urban!R211)+(VLOOKUP($S$2,Prices!$E$3:$F$17,2,FALSE)*Urban!S211)+(VLOOKUP($T$2,Prices!$E$3:$F$17,2,FALSE)*Urban!T211)+(VLOOKUP($U$2,Prices!$E$3:$F$17,2,FALSE)*Urban!U211)+(VLOOKUP($V$2,Prices!$E$3:$F$17,2,FALSE)*Urban!V211)+(VLOOKUP($W$2,Prices!$E$3:$F$17,2,FALSE)*Urban!W211)+(VLOOKUP($X$2,Prices!$E$3:$F$17,2,FALSE)*Urban!X211)+(VLOOKUP($Y$2,Prices!$E$3:$F$17,2,FALSE)*Urban!Y211)+(VLOOKUP($Z$2,Prices!$E$3:$F$17,2,FALSE)*Urban!Z211)+(VLOOKUP($AA$2,Prices!$E$3:$F$17,2,FALSE)*Urban!AA211)+(VLOOKUP($AB$2,Prices!$E$3:$F$17,2,FALSE)*Urban!AB211)+M211</f>
        <v>22404000</v>
      </c>
      <c r="AD211" s="18"/>
      <c r="AE211" s="18"/>
      <c r="AF211" s="4">
        <f t="shared" si="12"/>
        <v>0</v>
      </c>
      <c r="AG211" s="4"/>
      <c r="AH211" s="16">
        <f t="shared" si="13"/>
        <v>0</v>
      </c>
      <c r="AI211" s="21">
        <f t="shared" si="14"/>
        <v>0</v>
      </c>
      <c r="AJ211" s="20">
        <f t="shared" si="15"/>
        <v>0</v>
      </c>
      <c r="AK211" s="9"/>
    </row>
    <row r="212" spans="1:37" hidden="1">
      <c r="A212" s="3">
        <v>210</v>
      </c>
      <c r="B212" s="12"/>
      <c r="C212" s="13"/>
      <c r="D212" s="13"/>
      <c r="E212" s="13"/>
      <c r="F212" s="13"/>
      <c r="G212" s="13"/>
      <c r="H212" s="28"/>
      <c r="I212" s="39" t="s">
        <v>221</v>
      </c>
      <c r="J212" s="24" t="s">
        <v>1389</v>
      </c>
      <c r="K212" s="26" t="s">
        <v>665</v>
      </c>
      <c r="L212" s="26" t="s">
        <v>535</v>
      </c>
      <c r="M212" s="41">
        <f>IFERROR(VLOOKUP($L212,'[2]Top WH -National'!$D$9:$AC$124,26,0),0)</f>
        <v>47410000</v>
      </c>
      <c r="N212" s="41">
        <f>IFERROR(VLOOKUP($L212,'[2]Top WH -National'!$D$9:$AC$124,4,0),0)</f>
        <v>310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4">
        <f>(VLOOKUP($O$2,Prices!$E$3:$F$17,2,FALSE)*Urban!O212)+(VLOOKUP($P$2,Prices!$E$3:$F$17,2,FALSE)*Urban!P212)+(VLOOKUP($Q$2,Prices!$E$3:$F$17,2,FALSE)*Urban!Q212)+(VLOOKUP($R$2,Prices!$E$3:$F$17,2,FALSE)*Urban!R212)+(VLOOKUP($S$2,Prices!$E$3:$F$17,2,FALSE)*Urban!S212)+(VLOOKUP($T$2,Prices!$E$3:$F$17,2,FALSE)*Urban!T212)+(VLOOKUP($U$2,Prices!$E$3:$F$17,2,FALSE)*Urban!U212)+(VLOOKUP($V$2,Prices!$E$3:$F$17,2,FALSE)*Urban!V212)+(VLOOKUP($W$2,Prices!$E$3:$F$17,2,FALSE)*Urban!W212)+(VLOOKUP($X$2,Prices!$E$3:$F$17,2,FALSE)*Urban!X212)+(VLOOKUP($Y$2,Prices!$E$3:$F$17,2,FALSE)*Urban!Y212)+(VLOOKUP($Z$2,Prices!$E$3:$F$17,2,FALSE)*Urban!Z212)+(VLOOKUP($AA$2,Prices!$E$3:$F$17,2,FALSE)*Urban!AA212)+(VLOOKUP($AB$2,Prices!$E$3:$F$17,2,FALSE)*Urban!AB212)+M212</f>
        <v>47410000</v>
      </c>
      <c r="AD212" s="18"/>
      <c r="AE212" s="18"/>
      <c r="AF212" s="4">
        <f t="shared" si="12"/>
        <v>0</v>
      </c>
      <c r="AG212" s="4"/>
      <c r="AH212" s="16">
        <f t="shared" si="13"/>
        <v>0</v>
      </c>
      <c r="AI212" s="21">
        <f t="shared" si="14"/>
        <v>0</v>
      </c>
      <c r="AJ212" s="20">
        <f t="shared" si="15"/>
        <v>0</v>
      </c>
      <c r="AK212" s="9"/>
    </row>
    <row r="213" spans="1:37" hidden="1">
      <c r="A213" s="3">
        <v>211</v>
      </c>
      <c r="B213" s="12"/>
      <c r="C213" s="13"/>
      <c r="D213" s="13"/>
      <c r="E213" s="13"/>
      <c r="F213" s="13"/>
      <c r="G213" s="13"/>
      <c r="H213" s="28"/>
      <c r="I213" s="25" t="s">
        <v>222</v>
      </c>
      <c r="J213" s="24" t="s">
        <v>1389</v>
      </c>
      <c r="K213" s="26" t="s">
        <v>665</v>
      </c>
      <c r="L213" s="26" t="s">
        <v>536</v>
      </c>
      <c r="M213" s="66">
        <f>IFERROR(VLOOKUP($L213,[1]Consolidated!$C$9:$AC$341,27,0),0)</f>
        <v>9857000</v>
      </c>
      <c r="N213" s="66">
        <f>IFERROR(VLOOKUP($L213,[1]Consolidated!$C$9:$AC$341,5,0),0)</f>
        <v>70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4">
        <f>(VLOOKUP($O$2,Prices!$E$3:$F$17,2,FALSE)*Urban!O213)+(VLOOKUP($P$2,Prices!$E$3:$F$17,2,FALSE)*Urban!P213)+(VLOOKUP($Q$2,Prices!$E$3:$F$17,2,FALSE)*Urban!Q213)+(VLOOKUP($R$2,Prices!$E$3:$F$17,2,FALSE)*Urban!R213)+(VLOOKUP($S$2,Prices!$E$3:$F$17,2,FALSE)*Urban!S213)+(VLOOKUP($T$2,Prices!$E$3:$F$17,2,FALSE)*Urban!T213)+(VLOOKUP($U$2,Prices!$E$3:$F$17,2,FALSE)*Urban!U213)+(VLOOKUP($V$2,Prices!$E$3:$F$17,2,FALSE)*Urban!V213)+(VLOOKUP($W$2,Prices!$E$3:$F$17,2,FALSE)*Urban!W213)+(VLOOKUP($X$2,Prices!$E$3:$F$17,2,FALSE)*Urban!X213)+(VLOOKUP($Y$2,Prices!$E$3:$F$17,2,FALSE)*Urban!Y213)+(VLOOKUP($Z$2,Prices!$E$3:$F$17,2,FALSE)*Urban!Z213)+(VLOOKUP($AA$2,Prices!$E$3:$F$17,2,FALSE)*Urban!AA213)+(VLOOKUP($AB$2,Prices!$E$3:$F$17,2,FALSE)*Urban!AB213)+M213</f>
        <v>9857000</v>
      </c>
      <c r="AD213" s="18"/>
      <c r="AE213" s="18"/>
      <c r="AF213" s="4">
        <f t="shared" si="12"/>
        <v>0</v>
      </c>
      <c r="AG213" s="4"/>
      <c r="AH213" s="16">
        <f t="shared" si="13"/>
        <v>0</v>
      </c>
      <c r="AI213" s="21">
        <f t="shared" si="14"/>
        <v>0</v>
      </c>
      <c r="AJ213" s="20">
        <f t="shared" si="15"/>
        <v>0</v>
      </c>
      <c r="AK213" s="9"/>
    </row>
    <row r="214" spans="1:37" hidden="1">
      <c r="A214" s="3">
        <v>212</v>
      </c>
      <c r="B214" s="12"/>
      <c r="C214" s="13"/>
      <c r="D214" s="13"/>
      <c r="E214" s="13"/>
      <c r="F214" s="13"/>
      <c r="G214" s="13"/>
      <c r="H214" s="28"/>
      <c r="I214" s="24" t="s">
        <v>223</v>
      </c>
      <c r="J214" s="24" t="s">
        <v>1389</v>
      </c>
      <c r="K214" s="26" t="s">
        <v>665</v>
      </c>
      <c r="L214" s="26" t="s">
        <v>537</v>
      </c>
      <c r="M214" s="66">
        <f>IFERROR(VLOOKUP($L214,[1]Consolidated!$C$9:$AC$341,27,0),0)</f>
        <v>0</v>
      </c>
      <c r="N214" s="66">
        <f>IFERROR(VLOOKUP($L214,[1]Consolidated!$C$9:$AC$341,5,0),0)</f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4">
        <f>(VLOOKUP($O$2,Prices!$E$3:$F$17,2,FALSE)*Urban!O214)+(VLOOKUP($P$2,Prices!$E$3:$F$17,2,FALSE)*Urban!P214)+(VLOOKUP($Q$2,Prices!$E$3:$F$17,2,FALSE)*Urban!Q214)+(VLOOKUP($R$2,Prices!$E$3:$F$17,2,FALSE)*Urban!R214)+(VLOOKUP($S$2,Prices!$E$3:$F$17,2,FALSE)*Urban!S214)+(VLOOKUP($T$2,Prices!$E$3:$F$17,2,FALSE)*Urban!T214)+(VLOOKUP($U$2,Prices!$E$3:$F$17,2,FALSE)*Urban!U214)+(VLOOKUP($V$2,Prices!$E$3:$F$17,2,FALSE)*Urban!V214)+(VLOOKUP($W$2,Prices!$E$3:$F$17,2,FALSE)*Urban!W214)+(VLOOKUP($X$2,Prices!$E$3:$F$17,2,FALSE)*Urban!X214)+(VLOOKUP($Y$2,Prices!$E$3:$F$17,2,FALSE)*Urban!Y214)+(VLOOKUP($Z$2,Prices!$E$3:$F$17,2,FALSE)*Urban!Z214)+(VLOOKUP($AA$2,Prices!$E$3:$F$17,2,FALSE)*Urban!AA214)+(VLOOKUP($AB$2,Prices!$E$3:$F$17,2,FALSE)*Urban!AB214)+M214</f>
        <v>0</v>
      </c>
      <c r="AD214" s="18"/>
      <c r="AE214" s="18"/>
      <c r="AF214" s="4">
        <f t="shared" si="12"/>
        <v>0</v>
      </c>
      <c r="AG214" s="4"/>
      <c r="AH214" s="16">
        <f t="shared" si="13"/>
        <v>0</v>
      </c>
      <c r="AI214" s="21" t="e">
        <f t="shared" si="14"/>
        <v>#DIV/0!</v>
      </c>
      <c r="AJ214" s="20" t="e">
        <f t="shared" si="15"/>
        <v>#DIV/0!</v>
      </c>
      <c r="AK214" s="9"/>
    </row>
    <row r="215" spans="1:37" hidden="1">
      <c r="A215" s="3">
        <v>213</v>
      </c>
      <c r="B215" s="12"/>
      <c r="C215" s="13"/>
      <c r="D215" s="13"/>
      <c r="E215" s="13"/>
      <c r="F215" s="13"/>
      <c r="G215" s="13"/>
      <c r="H215" s="28"/>
      <c r="I215" s="24" t="s">
        <v>224</v>
      </c>
      <c r="J215" s="24" t="s">
        <v>1389</v>
      </c>
      <c r="K215" s="26" t="s">
        <v>665</v>
      </c>
      <c r="L215" s="26" t="s">
        <v>538</v>
      </c>
      <c r="M215" s="66">
        <f>IFERROR(VLOOKUP($L215,[1]Consolidated!$C$9:$AC$341,27,0),0)</f>
        <v>9857000</v>
      </c>
      <c r="N215" s="66">
        <f>IFERROR(VLOOKUP($L215,[1]Consolidated!$C$9:$AC$341,5,0),0)</f>
        <v>70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4">
        <f>(VLOOKUP($O$2,Prices!$E$3:$F$17,2,FALSE)*Urban!O215)+(VLOOKUP($P$2,Prices!$E$3:$F$17,2,FALSE)*Urban!P215)+(VLOOKUP($Q$2,Prices!$E$3:$F$17,2,FALSE)*Urban!Q215)+(VLOOKUP($R$2,Prices!$E$3:$F$17,2,FALSE)*Urban!R215)+(VLOOKUP($S$2,Prices!$E$3:$F$17,2,FALSE)*Urban!S215)+(VLOOKUP($T$2,Prices!$E$3:$F$17,2,FALSE)*Urban!T215)+(VLOOKUP($U$2,Prices!$E$3:$F$17,2,FALSE)*Urban!U215)+(VLOOKUP($V$2,Prices!$E$3:$F$17,2,FALSE)*Urban!V215)+(VLOOKUP($W$2,Prices!$E$3:$F$17,2,FALSE)*Urban!W215)+(VLOOKUP($X$2,Prices!$E$3:$F$17,2,FALSE)*Urban!X215)+(VLOOKUP($Y$2,Prices!$E$3:$F$17,2,FALSE)*Urban!Y215)+(VLOOKUP($Z$2,Prices!$E$3:$F$17,2,FALSE)*Urban!Z215)+(VLOOKUP($AA$2,Prices!$E$3:$F$17,2,FALSE)*Urban!AA215)+(VLOOKUP($AB$2,Prices!$E$3:$F$17,2,FALSE)*Urban!AB215)+M215</f>
        <v>9857000</v>
      </c>
      <c r="AD215" s="18"/>
      <c r="AE215" s="18"/>
      <c r="AF215" s="4">
        <f t="shared" si="12"/>
        <v>0</v>
      </c>
      <c r="AG215" s="4"/>
      <c r="AH215" s="16">
        <f t="shared" si="13"/>
        <v>0</v>
      </c>
      <c r="AI215" s="21">
        <f t="shared" si="14"/>
        <v>0</v>
      </c>
      <c r="AJ215" s="20">
        <f t="shared" si="15"/>
        <v>0</v>
      </c>
      <c r="AK215" s="9"/>
    </row>
    <row r="216" spans="1:37" hidden="1">
      <c r="A216" s="3">
        <v>214</v>
      </c>
      <c r="B216" s="12"/>
      <c r="C216" s="13"/>
      <c r="D216" s="13"/>
      <c r="E216" s="13"/>
      <c r="F216" s="13"/>
      <c r="G216" s="13"/>
      <c r="H216" s="28"/>
      <c r="I216" s="24" t="s">
        <v>225</v>
      </c>
      <c r="J216" s="24" t="s">
        <v>1389</v>
      </c>
      <c r="K216" s="26" t="s">
        <v>665</v>
      </c>
      <c r="L216" s="26" t="s">
        <v>539</v>
      </c>
      <c r="M216" s="66">
        <f>IFERROR(VLOOKUP($L216,[1]Consolidated!$C$9:$AC$341,27,0),0)</f>
        <v>22850000</v>
      </c>
      <c r="N216" s="66">
        <f>IFERROR(VLOOKUP($L216,[1]Consolidated!$C$9:$AC$341,5,0),0)</f>
        <v>150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4">
        <f>(VLOOKUP($O$2,Prices!$E$3:$F$17,2,FALSE)*Urban!O216)+(VLOOKUP($P$2,Prices!$E$3:$F$17,2,FALSE)*Urban!P216)+(VLOOKUP($Q$2,Prices!$E$3:$F$17,2,FALSE)*Urban!Q216)+(VLOOKUP($R$2,Prices!$E$3:$F$17,2,FALSE)*Urban!R216)+(VLOOKUP($S$2,Prices!$E$3:$F$17,2,FALSE)*Urban!S216)+(VLOOKUP($T$2,Prices!$E$3:$F$17,2,FALSE)*Urban!T216)+(VLOOKUP($U$2,Prices!$E$3:$F$17,2,FALSE)*Urban!U216)+(VLOOKUP($V$2,Prices!$E$3:$F$17,2,FALSE)*Urban!V216)+(VLOOKUP($W$2,Prices!$E$3:$F$17,2,FALSE)*Urban!W216)+(VLOOKUP($X$2,Prices!$E$3:$F$17,2,FALSE)*Urban!X216)+(VLOOKUP($Y$2,Prices!$E$3:$F$17,2,FALSE)*Urban!Y216)+(VLOOKUP($Z$2,Prices!$E$3:$F$17,2,FALSE)*Urban!Z216)+(VLOOKUP($AA$2,Prices!$E$3:$F$17,2,FALSE)*Urban!AA216)+(VLOOKUP($AB$2,Prices!$E$3:$F$17,2,FALSE)*Urban!AB216)+M216</f>
        <v>22850000</v>
      </c>
      <c r="AD216" s="18"/>
      <c r="AE216" s="18"/>
      <c r="AF216" s="4">
        <f t="shared" si="12"/>
        <v>0</v>
      </c>
      <c r="AG216" s="4"/>
      <c r="AH216" s="16">
        <f t="shared" si="13"/>
        <v>0</v>
      </c>
      <c r="AI216" s="21">
        <f t="shared" si="14"/>
        <v>0</v>
      </c>
      <c r="AJ216" s="20">
        <f t="shared" si="15"/>
        <v>0</v>
      </c>
      <c r="AK216" s="9"/>
    </row>
    <row r="217" spans="1:37" hidden="1">
      <c r="A217" s="3">
        <v>215</v>
      </c>
      <c r="B217" s="12"/>
      <c r="C217" s="13"/>
      <c r="D217" s="13"/>
      <c r="E217" s="13"/>
      <c r="F217" s="13"/>
      <c r="G217" s="13"/>
      <c r="H217" s="28"/>
      <c r="I217" s="24" t="s">
        <v>226</v>
      </c>
      <c r="J217" s="24" t="s">
        <v>1389</v>
      </c>
      <c r="K217" s="26" t="s">
        <v>665</v>
      </c>
      <c r="L217" s="26" t="s">
        <v>540</v>
      </c>
      <c r="M217" s="66">
        <f>IFERROR(VLOOKUP($L217,[1]Consolidated!$C$9:$AC$341,27,0),0)</f>
        <v>19600000</v>
      </c>
      <c r="N217" s="66">
        <f>IFERROR(VLOOKUP($L217,[1]Consolidated!$C$9:$AC$341,5,0),0)</f>
        <v>130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4">
        <f>(VLOOKUP($O$2,Prices!$E$3:$F$17,2,FALSE)*Urban!O217)+(VLOOKUP($P$2,Prices!$E$3:$F$17,2,FALSE)*Urban!P217)+(VLOOKUP($Q$2,Prices!$E$3:$F$17,2,FALSE)*Urban!Q217)+(VLOOKUP($R$2,Prices!$E$3:$F$17,2,FALSE)*Urban!R217)+(VLOOKUP($S$2,Prices!$E$3:$F$17,2,FALSE)*Urban!S217)+(VLOOKUP($T$2,Prices!$E$3:$F$17,2,FALSE)*Urban!T217)+(VLOOKUP($U$2,Prices!$E$3:$F$17,2,FALSE)*Urban!U217)+(VLOOKUP($V$2,Prices!$E$3:$F$17,2,FALSE)*Urban!V217)+(VLOOKUP($W$2,Prices!$E$3:$F$17,2,FALSE)*Urban!W217)+(VLOOKUP($X$2,Prices!$E$3:$F$17,2,FALSE)*Urban!X217)+(VLOOKUP($Y$2,Prices!$E$3:$F$17,2,FALSE)*Urban!Y217)+(VLOOKUP($Z$2,Prices!$E$3:$F$17,2,FALSE)*Urban!Z217)+(VLOOKUP($AA$2,Prices!$E$3:$F$17,2,FALSE)*Urban!AA217)+(VLOOKUP($AB$2,Prices!$E$3:$F$17,2,FALSE)*Urban!AB217)+M217</f>
        <v>19600000</v>
      </c>
      <c r="AD217" s="18"/>
      <c r="AE217" s="18"/>
      <c r="AF217" s="4">
        <f t="shared" si="12"/>
        <v>0</v>
      </c>
      <c r="AG217" s="4"/>
      <c r="AH217" s="16">
        <f t="shared" si="13"/>
        <v>0</v>
      </c>
      <c r="AI217" s="21">
        <f t="shared" si="14"/>
        <v>0</v>
      </c>
      <c r="AJ217" s="20">
        <f t="shared" si="15"/>
        <v>0</v>
      </c>
      <c r="AK217" s="9"/>
    </row>
    <row r="218" spans="1:37" hidden="1">
      <c r="A218" s="3">
        <v>216</v>
      </c>
      <c r="B218" s="12"/>
      <c r="C218" s="13"/>
      <c r="D218" s="13"/>
      <c r="E218" s="13"/>
      <c r="F218" s="13"/>
      <c r="G218" s="13"/>
      <c r="H218" s="28"/>
      <c r="I218" s="39" t="s">
        <v>227</v>
      </c>
      <c r="J218" s="24" t="s">
        <v>1389</v>
      </c>
      <c r="K218" s="26" t="s">
        <v>665</v>
      </c>
      <c r="L218" s="26" t="s">
        <v>541</v>
      </c>
      <c r="M218" s="41">
        <f>IFERROR(VLOOKUP($L218,'[2]Top WH -National'!$D$9:$AC$124,26,0),0)</f>
        <v>60530000</v>
      </c>
      <c r="N218" s="41">
        <f>IFERROR(VLOOKUP($L218,'[2]Top WH -National'!$D$9:$AC$124,4,0),0)</f>
        <v>310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4">
        <f>(VLOOKUP($O$2,Prices!$E$3:$F$17,2,FALSE)*Urban!O218)+(VLOOKUP($P$2,Prices!$E$3:$F$17,2,FALSE)*Urban!P218)+(VLOOKUP($Q$2,Prices!$E$3:$F$17,2,FALSE)*Urban!Q218)+(VLOOKUP($R$2,Prices!$E$3:$F$17,2,FALSE)*Urban!R218)+(VLOOKUP($S$2,Prices!$E$3:$F$17,2,FALSE)*Urban!S218)+(VLOOKUP($T$2,Prices!$E$3:$F$17,2,FALSE)*Urban!T218)+(VLOOKUP($U$2,Prices!$E$3:$F$17,2,FALSE)*Urban!U218)+(VLOOKUP($V$2,Prices!$E$3:$F$17,2,FALSE)*Urban!V218)+(VLOOKUP($W$2,Prices!$E$3:$F$17,2,FALSE)*Urban!W218)+(VLOOKUP($X$2,Prices!$E$3:$F$17,2,FALSE)*Urban!X218)+(VLOOKUP($Y$2,Prices!$E$3:$F$17,2,FALSE)*Urban!Y218)+(VLOOKUP($Z$2,Prices!$E$3:$F$17,2,FALSE)*Urban!Z218)+(VLOOKUP($AA$2,Prices!$E$3:$F$17,2,FALSE)*Urban!AA218)+(VLOOKUP($AB$2,Prices!$E$3:$F$17,2,FALSE)*Urban!AB218)+M218</f>
        <v>60530000</v>
      </c>
      <c r="AD218" s="18"/>
      <c r="AE218" s="18"/>
      <c r="AF218" s="4">
        <f t="shared" si="12"/>
        <v>0</v>
      </c>
      <c r="AG218" s="4"/>
      <c r="AH218" s="16">
        <f t="shared" si="13"/>
        <v>0</v>
      </c>
      <c r="AI218" s="21">
        <f t="shared" si="14"/>
        <v>0</v>
      </c>
      <c r="AJ218" s="20">
        <f t="shared" si="15"/>
        <v>0</v>
      </c>
      <c r="AK218" s="19"/>
    </row>
    <row r="219" spans="1:37" hidden="1">
      <c r="A219" s="3">
        <v>217</v>
      </c>
      <c r="B219" s="12"/>
      <c r="C219" s="13"/>
      <c r="D219" s="13"/>
      <c r="E219" s="13"/>
      <c r="F219" s="13"/>
      <c r="G219" s="13"/>
      <c r="H219" s="28"/>
      <c r="I219" s="39" t="s">
        <v>228</v>
      </c>
      <c r="J219" s="24" t="s">
        <v>1389</v>
      </c>
      <c r="K219" s="26" t="s">
        <v>665</v>
      </c>
      <c r="L219" s="26" t="s">
        <v>542</v>
      </c>
      <c r="M219" s="41">
        <f>IFERROR(VLOOKUP($L219,'[2]Top WH -National'!$D$9:$AC$124,26,0),0)</f>
        <v>126800000</v>
      </c>
      <c r="N219" s="41">
        <f>IFERROR(VLOOKUP($L219,'[2]Top WH -National'!$D$9:$AC$124,4,0),0)</f>
        <v>700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4">
        <f>(VLOOKUP($O$2,Prices!$E$3:$F$17,2,FALSE)*Urban!O219)+(VLOOKUP($P$2,Prices!$E$3:$F$17,2,FALSE)*Urban!P219)+(VLOOKUP($Q$2,Prices!$E$3:$F$17,2,FALSE)*Urban!Q219)+(VLOOKUP($R$2,Prices!$E$3:$F$17,2,FALSE)*Urban!R219)+(VLOOKUP($S$2,Prices!$E$3:$F$17,2,FALSE)*Urban!S219)+(VLOOKUP($T$2,Prices!$E$3:$F$17,2,FALSE)*Urban!T219)+(VLOOKUP($U$2,Prices!$E$3:$F$17,2,FALSE)*Urban!U219)+(VLOOKUP($V$2,Prices!$E$3:$F$17,2,FALSE)*Urban!V219)+(VLOOKUP($W$2,Prices!$E$3:$F$17,2,FALSE)*Urban!W219)+(VLOOKUP($X$2,Prices!$E$3:$F$17,2,FALSE)*Urban!X219)+(VLOOKUP($Y$2,Prices!$E$3:$F$17,2,FALSE)*Urban!Y219)+(VLOOKUP($Z$2,Prices!$E$3:$F$17,2,FALSE)*Urban!Z219)+(VLOOKUP($AA$2,Prices!$E$3:$F$17,2,FALSE)*Urban!AA219)+(VLOOKUP($AB$2,Prices!$E$3:$F$17,2,FALSE)*Urban!AB219)+M219</f>
        <v>126800000</v>
      </c>
      <c r="AD219" s="18"/>
      <c r="AE219" s="18"/>
      <c r="AF219" s="4">
        <f t="shared" si="12"/>
        <v>0</v>
      </c>
      <c r="AG219" s="4"/>
      <c r="AH219" s="16">
        <f t="shared" si="13"/>
        <v>0</v>
      </c>
      <c r="AI219" s="21">
        <f t="shared" si="14"/>
        <v>0</v>
      </c>
      <c r="AJ219" s="20">
        <f t="shared" si="15"/>
        <v>0</v>
      </c>
      <c r="AK219" s="9"/>
    </row>
    <row r="220" spans="1:37" hidden="1">
      <c r="A220" s="3">
        <v>218</v>
      </c>
      <c r="B220" s="12"/>
      <c r="C220" s="13"/>
      <c r="D220" s="13"/>
      <c r="E220" s="13"/>
      <c r="F220" s="13"/>
      <c r="G220" s="13"/>
      <c r="H220" s="28"/>
      <c r="I220" s="39" t="s">
        <v>229</v>
      </c>
      <c r="J220" s="24" t="s">
        <v>1389</v>
      </c>
      <c r="K220" s="26" t="s">
        <v>665</v>
      </c>
      <c r="L220" s="26" t="s">
        <v>543</v>
      </c>
      <c r="M220" s="41">
        <f>IFERROR(VLOOKUP($L220,'[2]Top WH -National'!$D$9:$AC$124,26,0),0)</f>
        <v>58180000</v>
      </c>
      <c r="N220" s="41">
        <f>IFERROR(VLOOKUP($L220,'[2]Top WH -National'!$D$9:$AC$124,4,0),0)</f>
        <v>330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4">
        <f>(VLOOKUP($O$2,Prices!$E$3:$F$17,2,FALSE)*Urban!O220)+(VLOOKUP($P$2,Prices!$E$3:$F$17,2,FALSE)*Urban!P220)+(VLOOKUP($Q$2,Prices!$E$3:$F$17,2,FALSE)*Urban!Q220)+(VLOOKUP($R$2,Prices!$E$3:$F$17,2,FALSE)*Urban!R220)+(VLOOKUP($S$2,Prices!$E$3:$F$17,2,FALSE)*Urban!S220)+(VLOOKUP($T$2,Prices!$E$3:$F$17,2,FALSE)*Urban!T220)+(VLOOKUP($U$2,Prices!$E$3:$F$17,2,FALSE)*Urban!U220)+(VLOOKUP($V$2,Prices!$E$3:$F$17,2,FALSE)*Urban!V220)+(VLOOKUP($W$2,Prices!$E$3:$F$17,2,FALSE)*Urban!W220)+(VLOOKUP($X$2,Prices!$E$3:$F$17,2,FALSE)*Urban!X220)+(VLOOKUP($Y$2,Prices!$E$3:$F$17,2,FALSE)*Urban!Y220)+(VLOOKUP($Z$2,Prices!$E$3:$F$17,2,FALSE)*Urban!Z220)+(VLOOKUP($AA$2,Prices!$E$3:$F$17,2,FALSE)*Urban!AA220)+(VLOOKUP($AB$2,Prices!$E$3:$F$17,2,FALSE)*Urban!AB220)+M220</f>
        <v>58180000</v>
      </c>
      <c r="AD220" s="18"/>
      <c r="AE220" s="18"/>
      <c r="AF220" s="4">
        <f t="shared" si="12"/>
        <v>0</v>
      </c>
      <c r="AG220" s="4"/>
      <c r="AH220" s="16">
        <f t="shared" si="13"/>
        <v>0</v>
      </c>
      <c r="AI220" s="21">
        <f t="shared" si="14"/>
        <v>0</v>
      </c>
      <c r="AJ220" s="20">
        <f t="shared" si="15"/>
        <v>0</v>
      </c>
      <c r="AK220" s="9"/>
    </row>
    <row r="221" spans="1:37" hidden="1">
      <c r="A221" s="3">
        <v>219</v>
      </c>
      <c r="B221" s="12"/>
      <c r="C221" s="13"/>
      <c r="D221" s="13"/>
      <c r="E221" s="13"/>
      <c r="F221" s="13"/>
      <c r="G221" s="13"/>
      <c r="H221" s="28"/>
      <c r="I221" s="39" t="s">
        <v>230</v>
      </c>
      <c r="J221" s="24" t="s">
        <v>1389</v>
      </c>
      <c r="K221" s="26" t="s">
        <v>665</v>
      </c>
      <c r="L221" s="26" t="s">
        <v>544</v>
      </c>
      <c r="M221" s="41">
        <f>IFERROR(VLOOKUP($L221,'[2]Top WH -National'!$D$9:$AC$124,26,0),0)</f>
        <v>89700000</v>
      </c>
      <c r="N221" s="41">
        <f>IFERROR(VLOOKUP($L221,'[2]Top WH -National'!$D$9:$AC$124,4,0),0)</f>
        <v>460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4">
        <f>(VLOOKUP($O$2,Prices!$E$3:$F$17,2,FALSE)*Urban!O221)+(VLOOKUP($P$2,Prices!$E$3:$F$17,2,FALSE)*Urban!P221)+(VLOOKUP($Q$2,Prices!$E$3:$F$17,2,FALSE)*Urban!Q221)+(VLOOKUP($R$2,Prices!$E$3:$F$17,2,FALSE)*Urban!R221)+(VLOOKUP($S$2,Prices!$E$3:$F$17,2,FALSE)*Urban!S221)+(VLOOKUP($T$2,Prices!$E$3:$F$17,2,FALSE)*Urban!T221)+(VLOOKUP($U$2,Prices!$E$3:$F$17,2,FALSE)*Urban!U221)+(VLOOKUP($V$2,Prices!$E$3:$F$17,2,FALSE)*Urban!V221)+(VLOOKUP($W$2,Prices!$E$3:$F$17,2,FALSE)*Urban!W221)+(VLOOKUP($X$2,Prices!$E$3:$F$17,2,FALSE)*Urban!X221)+(VLOOKUP($Y$2,Prices!$E$3:$F$17,2,FALSE)*Urban!Y221)+(VLOOKUP($Z$2,Prices!$E$3:$F$17,2,FALSE)*Urban!Z221)+(VLOOKUP($AA$2,Prices!$E$3:$F$17,2,FALSE)*Urban!AA221)+(VLOOKUP($AB$2,Prices!$E$3:$F$17,2,FALSE)*Urban!AB221)+M221</f>
        <v>89700000</v>
      </c>
      <c r="AD221" s="18"/>
      <c r="AE221" s="18"/>
      <c r="AF221" s="4">
        <f t="shared" si="12"/>
        <v>0</v>
      </c>
      <c r="AG221" s="4"/>
      <c r="AH221" s="16">
        <f t="shared" si="13"/>
        <v>0</v>
      </c>
      <c r="AI221" s="21">
        <f t="shared" si="14"/>
        <v>0</v>
      </c>
      <c r="AJ221" s="20">
        <f t="shared" si="15"/>
        <v>0</v>
      </c>
      <c r="AK221" s="9"/>
    </row>
    <row r="222" spans="1:37" hidden="1">
      <c r="A222" s="3">
        <v>220</v>
      </c>
      <c r="B222" s="12"/>
      <c r="C222" s="13"/>
      <c r="D222" s="13"/>
      <c r="E222" s="13"/>
      <c r="F222" s="13"/>
      <c r="G222" s="13"/>
      <c r="H222" s="28"/>
      <c r="I222" s="24" t="s">
        <v>231</v>
      </c>
      <c r="J222" s="24" t="s">
        <v>1389</v>
      </c>
      <c r="K222" s="26" t="s">
        <v>665</v>
      </c>
      <c r="L222" s="26" t="s">
        <v>545</v>
      </c>
      <c r="M222" s="66">
        <f>IFERROR(VLOOKUP($L222,[1]Consolidated!$C$9:$AC$341,27,0),0)</f>
        <v>0</v>
      </c>
      <c r="N222" s="66">
        <f>IFERROR(VLOOKUP($L222,[1]Consolidated!$C$9:$AC$341,5,0),0)</f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4">
        <f>(VLOOKUP($O$2,Prices!$E$3:$F$17,2,FALSE)*Urban!O222)+(VLOOKUP($P$2,Prices!$E$3:$F$17,2,FALSE)*Urban!P222)+(VLOOKUP($Q$2,Prices!$E$3:$F$17,2,FALSE)*Urban!Q222)+(VLOOKUP($R$2,Prices!$E$3:$F$17,2,FALSE)*Urban!R222)+(VLOOKUP($S$2,Prices!$E$3:$F$17,2,FALSE)*Urban!S222)+(VLOOKUP($T$2,Prices!$E$3:$F$17,2,FALSE)*Urban!T222)+(VLOOKUP($U$2,Prices!$E$3:$F$17,2,FALSE)*Urban!U222)+(VLOOKUP($V$2,Prices!$E$3:$F$17,2,FALSE)*Urban!V222)+(VLOOKUP($W$2,Prices!$E$3:$F$17,2,FALSE)*Urban!W222)+(VLOOKUP($X$2,Prices!$E$3:$F$17,2,FALSE)*Urban!X222)+(VLOOKUP($Y$2,Prices!$E$3:$F$17,2,FALSE)*Urban!Y222)+(VLOOKUP($Z$2,Prices!$E$3:$F$17,2,FALSE)*Urban!Z222)+(VLOOKUP($AA$2,Prices!$E$3:$F$17,2,FALSE)*Urban!AA222)+(VLOOKUP($AB$2,Prices!$E$3:$F$17,2,FALSE)*Urban!AB222)+M222</f>
        <v>0</v>
      </c>
      <c r="AD222" s="18"/>
      <c r="AE222" s="18"/>
      <c r="AF222" s="4">
        <f t="shared" si="12"/>
        <v>0</v>
      </c>
      <c r="AG222" s="4"/>
      <c r="AH222" s="16">
        <f t="shared" si="13"/>
        <v>0</v>
      </c>
      <c r="AI222" s="21" t="e">
        <f t="shared" si="14"/>
        <v>#DIV/0!</v>
      </c>
      <c r="AJ222" s="20" t="e">
        <f t="shared" si="15"/>
        <v>#DIV/0!</v>
      </c>
      <c r="AK222" s="9"/>
    </row>
    <row r="223" spans="1:37" hidden="1">
      <c r="A223" s="3">
        <v>221</v>
      </c>
      <c r="B223" s="12"/>
      <c r="C223" s="13"/>
      <c r="D223" s="13"/>
      <c r="E223" s="13"/>
      <c r="F223" s="13"/>
      <c r="G223" s="13"/>
      <c r="H223" s="28"/>
      <c r="I223" s="24" t="s">
        <v>232</v>
      </c>
      <c r="J223" s="24" t="s">
        <v>1389</v>
      </c>
      <c r="K223" s="26" t="s">
        <v>665</v>
      </c>
      <c r="L223" s="26" t="s">
        <v>546</v>
      </c>
      <c r="M223" s="66">
        <f>IFERROR(VLOOKUP($L223,[1]Consolidated!$C$9:$AC$341,27,0),0)</f>
        <v>22850000</v>
      </c>
      <c r="N223" s="66">
        <f>IFERROR(VLOOKUP($L223,[1]Consolidated!$C$9:$AC$341,5,0),0)</f>
        <v>150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4">
        <f>(VLOOKUP($O$2,Prices!$E$3:$F$17,2,FALSE)*Urban!O223)+(VLOOKUP($P$2,Prices!$E$3:$F$17,2,FALSE)*Urban!P223)+(VLOOKUP($Q$2,Prices!$E$3:$F$17,2,FALSE)*Urban!Q223)+(VLOOKUP($R$2,Prices!$E$3:$F$17,2,FALSE)*Urban!R223)+(VLOOKUP($S$2,Prices!$E$3:$F$17,2,FALSE)*Urban!S223)+(VLOOKUP($T$2,Prices!$E$3:$F$17,2,FALSE)*Urban!T223)+(VLOOKUP($U$2,Prices!$E$3:$F$17,2,FALSE)*Urban!U223)+(VLOOKUP($V$2,Prices!$E$3:$F$17,2,FALSE)*Urban!V223)+(VLOOKUP($W$2,Prices!$E$3:$F$17,2,FALSE)*Urban!W223)+(VLOOKUP($X$2,Prices!$E$3:$F$17,2,FALSE)*Urban!X223)+(VLOOKUP($Y$2,Prices!$E$3:$F$17,2,FALSE)*Urban!Y223)+(VLOOKUP($Z$2,Prices!$E$3:$F$17,2,FALSE)*Urban!Z223)+(VLOOKUP($AA$2,Prices!$E$3:$F$17,2,FALSE)*Urban!AA223)+(VLOOKUP($AB$2,Prices!$E$3:$F$17,2,FALSE)*Urban!AB223)+M223</f>
        <v>22850000</v>
      </c>
      <c r="AD223" s="18"/>
      <c r="AE223" s="18"/>
      <c r="AF223" s="4">
        <f t="shared" si="12"/>
        <v>0</v>
      </c>
      <c r="AG223" s="4"/>
      <c r="AH223" s="16">
        <f t="shared" si="13"/>
        <v>0</v>
      </c>
      <c r="AI223" s="21">
        <f t="shared" si="14"/>
        <v>0</v>
      </c>
      <c r="AJ223" s="20">
        <f t="shared" si="15"/>
        <v>0</v>
      </c>
      <c r="AK223" s="9"/>
    </row>
    <row r="224" spans="1:37" hidden="1">
      <c r="A224" s="3">
        <v>222</v>
      </c>
      <c r="B224" s="12"/>
      <c r="C224" s="13"/>
      <c r="D224" s="13"/>
      <c r="E224" s="13"/>
      <c r="F224" s="13"/>
      <c r="G224" s="13"/>
      <c r="H224" s="28"/>
      <c r="I224" s="39" t="s">
        <v>233</v>
      </c>
      <c r="J224" s="24" t="s">
        <v>1389</v>
      </c>
      <c r="K224" s="26" t="s">
        <v>665</v>
      </c>
      <c r="L224" s="26" t="s">
        <v>547</v>
      </c>
      <c r="M224" s="41">
        <f>IFERROR(VLOOKUP($L224,'[2]Top WH -National'!$D$9:$AC$124,26,0),0)</f>
        <v>66100000</v>
      </c>
      <c r="N224" s="41">
        <f>IFERROR(VLOOKUP($L224,'[2]Top WH -National'!$D$9:$AC$124,4,0),0)</f>
        <v>390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4">
        <f>(VLOOKUP($O$2,Prices!$E$3:$F$17,2,FALSE)*Urban!O224)+(VLOOKUP($P$2,Prices!$E$3:$F$17,2,FALSE)*Urban!P224)+(VLOOKUP($Q$2,Prices!$E$3:$F$17,2,FALSE)*Urban!Q224)+(VLOOKUP($R$2,Prices!$E$3:$F$17,2,FALSE)*Urban!R224)+(VLOOKUP($S$2,Prices!$E$3:$F$17,2,FALSE)*Urban!S224)+(VLOOKUP($T$2,Prices!$E$3:$F$17,2,FALSE)*Urban!T224)+(VLOOKUP($U$2,Prices!$E$3:$F$17,2,FALSE)*Urban!U224)+(VLOOKUP($V$2,Prices!$E$3:$F$17,2,FALSE)*Urban!V224)+(VLOOKUP($W$2,Prices!$E$3:$F$17,2,FALSE)*Urban!W224)+(VLOOKUP($X$2,Prices!$E$3:$F$17,2,FALSE)*Urban!X224)+(VLOOKUP($Y$2,Prices!$E$3:$F$17,2,FALSE)*Urban!Y224)+(VLOOKUP($Z$2,Prices!$E$3:$F$17,2,FALSE)*Urban!Z224)+(VLOOKUP($AA$2,Prices!$E$3:$F$17,2,FALSE)*Urban!AA224)+(VLOOKUP($AB$2,Prices!$E$3:$F$17,2,FALSE)*Urban!AB224)+M224</f>
        <v>66100000</v>
      </c>
      <c r="AD224" s="18"/>
      <c r="AE224" s="18"/>
      <c r="AF224" s="4">
        <f t="shared" si="12"/>
        <v>0</v>
      </c>
      <c r="AG224" s="4"/>
      <c r="AH224" s="16">
        <f t="shared" si="13"/>
        <v>0</v>
      </c>
      <c r="AI224" s="21">
        <f t="shared" si="14"/>
        <v>0</v>
      </c>
      <c r="AJ224" s="20">
        <f t="shared" si="15"/>
        <v>0</v>
      </c>
      <c r="AK224" s="9"/>
    </row>
    <row r="225" spans="1:37" hidden="1">
      <c r="A225" s="3">
        <v>223</v>
      </c>
      <c r="B225" s="12"/>
      <c r="C225" s="13"/>
      <c r="D225" s="13"/>
      <c r="E225" s="13"/>
      <c r="F225" s="13"/>
      <c r="G225" s="13"/>
      <c r="H225" s="28"/>
      <c r="I225" s="39" t="s">
        <v>234</v>
      </c>
      <c r="J225" s="24" t="s">
        <v>1389</v>
      </c>
      <c r="K225" s="26" t="s">
        <v>665</v>
      </c>
      <c r="L225" s="26" t="s">
        <v>548</v>
      </c>
      <c r="M225" s="41">
        <f>IFERROR(VLOOKUP($L225,'[2]Top WH -National'!$D$9:$AC$124,26,0),0)</f>
        <v>53050000</v>
      </c>
      <c r="N225" s="41">
        <f>IFERROR(VLOOKUP($L225,'[2]Top WH -National'!$D$9:$AC$124,4,0),0)</f>
        <v>340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4">
        <f>(VLOOKUP($O$2,Prices!$E$3:$F$17,2,FALSE)*Urban!O225)+(VLOOKUP($P$2,Prices!$E$3:$F$17,2,FALSE)*Urban!P225)+(VLOOKUP($Q$2,Prices!$E$3:$F$17,2,FALSE)*Urban!Q225)+(VLOOKUP($R$2,Prices!$E$3:$F$17,2,FALSE)*Urban!R225)+(VLOOKUP($S$2,Prices!$E$3:$F$17,2,FALSE)*Urban!S225)+(VLOOKUP($T$2,Prices!$E$3:$F$17,2,FALSE)*Urban!T225)+(VLOOKUP($U$2,Prices!$E$3:$F$17,2,FALSE)*Urban!U225)+(VLOOKUP($V$2,Prices!$E$3:$F$17,2,FALSE)*Urban!V225)+(VLOOKUP($W$2,Prices!$E$3:$F$17,2,FALSE)*Urban!W225)+(VLOOKUP($X$2,Prices!$E$3:$F$17,2,FALSE)*Urban!X225)+(VLOOKUP($Y$2,Prices!$E$3:$F$17,2,FALSE)*Urban!Y225)+(VLOOKUP($Z$2,Prices!$E$3:$F$17,2,FALSE)*Urban!Z225)+(VLOOKUP($AA$2,Prices!$E$3:$F$17,2,FALSE)*Urban!AA225)+(VLOOKUP($AB$2,Prices!$E$3:$F$17,2,FALSE)*Urban!AB225)+M225</f>
        <v>53050000</v>
      </c>
      <c r="AD225" s="18"/>
      <c r="AE225" s="18"/>
      <c r="AF225" s="4">
        <f t="shared" si="12"/>
        <v>0</v>
      </c>
      <c r="AG225" s="4"/>
      <c r="AH225" s="16">
        <f t="shared" si="13"/>
        <v>0</v>
      </c>
      <c r="AI225" s="21">
        <f t="shared" si="14"/>
        <v>0</v>
      </c>
      <c r="AJ225" s="20">
        <f t="shared" si="15"/>
        <v>0</v>
      </c>
      <c r="AK225" s="9"/>
    </row>
    <row r="226" spans="1:37" hidden="1">
      <c r="A226" s="3">
        <v>224</v>
      </c>
      <c r="B226" s="12"/>
      <c r="C226" s="13"/>
      <c r="D226" s="13"/>
      <c r="E226" s="13"/>
      <c r="F226" s="13"/>
      <c r="G226" s="13"/>
      <c r="H226" s="28"/>
      <c r="I226" s="39" t="s">
        <v>235</v>
      </c>
      <c r="J226" s="24" t="s">
        <v>1389</v>
      </c>
      <c r="K226" s="26" t="s">
        <v>665</v>
      </c>
      <c r="L226" s="26" t="s">
        <v>549</v>
      </c>
      <c r="M226" s="41">
        <f>IFERROR(VLOOKUP($L226,'[2]Top WH -National'!$D$9:$AC$124,26,0),0)</f>
        <v>58910000</v>
      </c>
      <c r="N226" s="41">
        <f>IFERROR(VLOOKUP($L226,'[2]Top WH -National'!$D$9:$AC$124,4,0),0)</f>
        <v>360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4">
        <f>(VLOOKUP($O$2,Prices!$E$3:$F$17,2,FALSE)*Urban!O226)+(VLOOKUP($P$2,Prices!$E$3:$F$17,2,FALSE)*Urban!P226)+(VLOOKUP($Q$2,Prices!$E$3:$F$17,2,FALSE)*Urban!Q226)+(VLOOKUP($R$2,Prices!$E$3:$F$17,2,FALSE)*Urban!R226)+(VLOOKUP($S$2,Prices!$E$3:$F$17,2,FALSE)*Urban!S226)+(VLOOKUP($T$2,Prices!$E$3:$F$17,2,FALSE)*Urban!T226)+(VLOOKUP($U$2,Prices!$E$3:$F$17,2,FALSE)*Urban!U226)+(VLOOKUP($V$2,Prices!$E$3:$F$17,2,FALSE)*Urban!V226)+(VLOOKUP($W$2,Prices!$E$3:$F$17,2,FALSE)*Urban!W226)+(VLOOKUP($X$2,Prices!$E$3:$F$17,2,FALSE)*Urban!X226)+(VLOOKUP($Y$2,Prices!$E$3:$F$17,2,FALSE)*Urban!Y226)+(VLOOKUP($Z$2,Prices!$E$3:$F$17,2,FALSE)*Urban!Z226)+(VLOOKUP($AA$2,Prices!$E$3:$F$17,2,FALSE)*Urban!AA226)+(VLOOKUP($AB$2,Prices!$E$3:$F$17,2,FALSE)*Urban!AB226)+M226</f>
        <v>58910000</v>
      </c>
      <c r="AD226" s="18"/>
      <c r="AE226" s="18"/>
      <c r="AF226" s="4">
        <f t="shared" si="12"/>
        <v>0</v>
      </c>
      <c r="AG226" s="4"/>
      <c r="AH226" s="16">
        <f t="shared" si="13"/>
        <v>0</v>
      </c>
      <c r="AI226" s="21">
        <f t="shared" si="14"/>
        <v>0</v>
      </c>
      <c r="AJ226" s="20">
        <f t="shared" si="15"/>
        <v>0</v>
      </c>
      <c r="AK226" s="9"/>
    </row>
    <row r="227" spans="1:37" hidden="1">
      <c r="A227" s="3">
        <v>225</v>
      </c>
      <c r="B227" s="12"/>
      <c r="C227" s="13"/>
      <c r="D227" s="13"/>
      <c r="E227" s="13"/>
      <c r="F227" s="13"/>
      <c r="G227" s="13"/>
      <c r="H227" s="28"/>
      <c r="I227" s="39" t="s">
        <v>236</v>
      </c>
      <c r="J227" s="24" t="s">
        <v>1389</v>
      </c>
      <c r="K227" s="26" t="s">
        <v>665</v>
      </c>
      <c r="L227" s="26" t="s">
        <v>550</v>
      </c>
      <c r="M227" s="41">
        <f>IFERROR(VLOOKUP($L227,'[2]Top WH -National'!$D$9:$AC$124,26,0),0)</f>
        <v>53270000</v>
      </c>
      <c r="N227" s="41">
        <f>IFERROR(VLOOKUP($L227,'[2]Top WH -National'!$D$9:$AC$124,4,0),0)</f>
        <v>330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4">
        <f>(VLOOKUP($O$2,Prices!$E$3:$F$17,2,FALSE)*Urban!O227)+(VLOOKUP($P$2,Prices!$E$3:$F$17,2,FALSE)*Urban!P227)+(VLOOKUP($Q$2,Prices!$E$3:$F$17,2,FALSE)*Urban!Q227)+(VLOOKUP($R$2,Prices!$E$3:$F$17,2,FALSE)*Urban!R227)+(VLOOKUP($S$2,Prices!$E$3:$F$17,2,FALSE)*Urban!S227)+(VLOOKUP($T$2,Prices!$E$3:$F$17,2,FALSE)*Urban!T227)+(VLOOKUP($U$2,Prices!$E$3:$F$17,2,FALSE)*Urban!U227)+(VLOOKUP($V$2,Prices!$E$3:$F$17,2,FALSE)*Urban!V227)+(VLOOKUP($W$2,Prices!$E$3:$F$17,2,FALSE)*Urban!W227)+(VLOOKUP($X$2,Prices!$E$3:$F$17,2,FALSE)*Urban!X227)+(VLOOKUP($Y$2,Prices!$E$3:$F$17,2,FALSE)*Urban!Y227)+(VLOOKUP($Z$2,Prices!$E$3:$F$17,2,FALSE)*Urban!Z227)+(VLOOKUP($AA$2,Prices!$E$3:$F$17,2,FALSE)*Urban!AA227)+(VLOOKUP($AB$2,Prices!$E$3:$F$17,2,FALSE)*Urban!AB227)+M227</f>
        <v>53270000</v>
      </c>
      <c r="AD227" s="18"/>
      <c r="AE227" s="18"/>
      <c r="AF227" s="4">
        <f t="shared" si="12"/>
        <v>0</v>
      </c>
      <c r="AG227" s="4"/>
      <c r="AH227" s="16">
        <f t="shared" si="13"/>
        <v>0</v>
      </c>
      <c r="AI227" s="21">
        <f t="shared" si="14"/>
        <v>0</v>
      </c>
      <c r="AJ227" s="20">
        <f t="shared" si="15"/>
        <v>0</v>
      </c>
      <c r="AK227" s="19"/>
    </row>
    <row r="228" spans="1:37" hidden="1">
      <c r="A228" s="3">
        <v>226</v>
      </c>
      <c r="B228" s="12"/>
      <c r="C228" s="13"/>
      <c r="D228" s="13"/>
      <c r="E228" s="13"/>
      <c r="F228" s="13"/>
      <c r="G228" s="13"/>
      <c r="H228" s="28"/>
      <c r="I228" s="39" t="s">
        <v>237</v>
      </c>
      <c r="J228" s="24" t="s">
        <v>1389</v>
      </c>
      <c r="K228" s="26" t="s">
        <v>665</v>
      </c>
      <c r="L228" s="26" t="s">
        <v>551</v>
      </c>
      <c r="M228" s="41">
        <f>IFERROR(VLOOKUP($L228,'[2]Top WH -National'!$D$9:$AC$124,26,0),0)</f>
        <v>49800000</v>
      </c>
      <c r="N228" s="41">
        <f>IFERROR(VLOOKUP($L228,'[2]Top WH -National'!$D$9:$AC$124,4,0),0)</f>
        <v>300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4">
        <f>(VLOOKUP($O$2,Prices!$E$3:$F$17,2,FALSE)*Urban!O228)+(VLOOKUP($P$2,Prices!$E$3:$F$17,2,FALSE)*Urban!P228)+(VLOOKUP($Q$2,Prices!$E$3:$F$17,2,FALSE)*Urban!Q228)+(VLOOKUP($R$2,Prices!$E$3:$F$17,2,FALSE)*Urban!R228)+(VLOOKUP($S$2,Prices!$E$3:$F$17,2,FALSE)*Urban!S228)+(VLOOKUP($T$2,Prices!$E$3:$F$17,2,FALSE)*Urban!T228)+(VLOOKUP($U$2,Prices!$E$3:$F$17,2,FALSE)*Urban!U228)+(VLOOKUP($V$2,Prices!$E$3:$F$17,2,FALSE)*Urban!V228)+(VLOOKUP($W$2,Prices!$E$3:$F$17,2,FALSE)*Urban!W228)+(VLOOKUP($X$2,Prices!$E$3:$F$17,2,FALSE)*Urban!X228)+(VLOOKUP($Y$2,Prices!$E$3:$F$17,2,FALSE)*Urban!Y228)+(VLOOKUP($Z$2,Prices!$E$3:$F$17,2,FALSE)*Urban!Z228)+(VLOOKUP($AA$2,Prices!$E$3:$F$17,2,FALSE)*Urban!AA228)+(VLOOKUP($AB$2,Prices!$E$3:$F$17,2,FALSE)*Urban!AB228)+M228</f>
        <v>49800000</v>
      </c>
      <c r="AD228" s="18"/>
      <c r="AE228" s="18"/>
      <c r="AF228" s="4">
        <f t="shared" si="12"/>
        <v>0</v>
      </c>
      <c r="AG228" s="4"/>
      <c r="AH228" s="16">
        <f t="shared" si="13"/>
        <v>0</v>
      </c>
      <c r="AI228" s="21">
        <f t="shared" si="14"/>
        <v>0</v>
      </c>
      <c r="AJ228" s="20">
        <f t="shared" si="15"/>
        <v>0</v>
      </c>
      <c r="AK228" s="9"/>
    </row>
    <row r="229" spans="1:37" hidden="1">
      <c r="A229" s="3">
        <v>227</v>
      </c>
      <c r="B229" s="12"/>
      <c r="C229" s="13"/>
      <c r="D229" s="13"/>
      <c r="E229" s="13"/>
      <c r="F229" s="13"/>
      <c r="G229" s="13"/>
      <c r="H229" s="28"/>
      <c r="I229" s="24" t="s">
        <v>238</v>
      </c>
      <c r="J229" s="24" t="s">
        <v>1389</v>
      </c>
      <c r="K229" s="26" t="s">
        <v>665</v>
      </c>
      <c r="L229" s="26" t="s">
        <v>552</v>
      </c>
      <c r="M229" s="66">
        <f>IFERROR(VLOOKUP($L229,[1]Consolidated!$C$9:$AC$341,27,0),0)</f>
        <v>0</v>
      </c>
      <c r="N229" s="66">
        <f>IFERROR(VLOOKUP($L229,[1]Consolidated!$C$9:$AC$341,5,0),0)</f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4">
        <f>(VLOOKUP($O$2,Prices!$E$3:$F$17,2,FALSE)*Urban!O229)+(VLOOKUP($P$2,Prices!$E$3:$F$17,2,FALSE)*Urban!P229)+(VLOOKUP($Q$2,Prices!$E$3:$F$17,2,FALSE)*Urban!Q229)+(VLOOKUP($R$2,Prices!$E$3:$F$17,2,FALSE)*Urban!R229)+(VLOOKUP($S$2,Prices!$E$3:$F$17,2,FALSE)*Urban!S229)+(VLOOKUP($T$2,Prices!$E$3:$F$17,2,FALSE)*Urban!T229)+(VLOOKUP($U$2,Prices!$E$3:$F$17,2,FALSE)*Urban!U229)+(VLOOKUP($V$2,Prices!$E$3:$F$17,2,FALSE)*Urban!V229)+(VLOOKUP($W$2,Prices!$E$3:$F$17,2,FALSE)*Urban!W229)+(VLOOKUP($X$2,Prices!$E$3:$F$17,2,FALSE)*Urban!X229)+(VLOOKUP($Y$2,Prices!$E$3:$F$17,2,FALSE)*Urban!Y229)+(VLOOKUP($Z$2,Prices!$E$3:$F$17,2,FALSE)*Urban!Z229)+(VLOOKUP($AA$2,Prices!$E$3:$F$17,2,FALSE)*Urban!AA229)+(VLOOKUP($AB$2,Prices!$E$3:$F$17,2,FALSE)*Urban!AB229)+M229</f>
        <v>0</v>
      </c>
      <c r="AD229" s="18"/>
      <c r="AE229" s="18"/>
      <c r="AF229" s="4">
        <f t="shared" si="12"/>
        <v>0</v>
      </c>
      <c r="AG229" s="4"/>
      <c r="AH229" s="16">
        <f t="shared" si="13"/>
        <v>0</v>
      </c>
      <c r="AI229" s="21" t="e">
        <f t="shared" si="14"/>
        <v>#DIV/0!</v>
      </c>
      <c r="AJ229" s="20" t="e">
        <f t="shared" si="15"/>
        <v>#DIV/0!</v>
      </c>
      <c r="AK229" s="9"/>
    </row>
    <row r="230" spans="1:37" hidden="1">
      <c r="A230" s="3">
        <v>228</v>
      </c>
      <c r="B230" s="12"/>
      <c r="C230" s="13"/>
      <c r="D230" s="13"/>
      <c r="E230" s="13"/>
      <c r="F230" s="13"/>
      <c r="G230" s="13"/>
      <c r="H230" s="28"/>
      <c r="I230" s="39" t="s">
        <v>239</v>
      </c>
      <c r="J230" s="24" t="s">
        <v>1389</v>
      </c>
      <c r="K230" s="26" t="s">
        <v>665</v>
      </c>
      <c r="L230" s="26" t="s">
        <v>553</v>
      </c>
      <c r="M230" s="41">
        <f>IFERROR(VLOOKUP($L230,'[2]Top WH -National'!$D$9:$AC$124,26,0),0)</f>
        <v>109100000</v>
      </c>
      <c r="N230" s="41">
        <f>IFERROR(VLOOKUP($L230,'[2]Top WH -National'!$D$9:$AC$124,4,0),0)</f>
        <v>720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4">
        <f>(VLOOKUP($O$2,Prices!$E$3:$F$17,2,FALSE)*Urban!O230)+(VLOOKUP($P$2,Prices!$E$3:$F$17,2,FALSE)*Urban!P230)+(VLOOKUP($Q$2,Prices!$E$3:$F$17,2,FALSE)*Urban!Q230)+(VLOOKUP($R$2,Prices!$E$3:$F$17,2,FALSE)*Urban!R230)+(VLOOKUP($S$2,Prices!$E$3:$F$17,2,FALSE)*Urban!S230)+(VLOOKUP($T$2,Prices!$E$3:$F$17,2,FALSE)*Urban!T230)+(VLOOKUP($U$2,Prices!$E$3:$F$17,2,FALSE)*Urban!U230)+(VLOOKUP($V$2,Prices!$E$3:$F$17,2,FALSE)*Urban!V230)+(VLOOKUP($W$2,Prices!$E$3:$F$17,2,FALSE)*Urban!W230)+(VLOOKUP($X$2,Prices!$E$3:$F$17,2,FALSE)*Urban!X230)+(VLOOKUP($Y$2,Prices!$E$3:$F$17,2,FALSE)*Urban!Y230)+(VLOOKUP($Z$2,Prices!$E$3:$F$17,2,FALSE)*Urban!Z230)+(VLOOKUP($AA$2,Prices!$E$3:$F$17,2,FALSE)*Urban!AA230)+(VLOOKUP($AB$2,Prices!$E$3:$F$17,2,FALSE)*Urban!AB230)+M230</f>
        <v>109100000</v>
      </c>
      <c r="AD230" s="18"/>
      <c r="AE230" s="18"/>
      <c r="AF230" s="4">
        <f t="shared" si="12"/>
        <v>0</v>
      </c>
      <c r="AG230" s="4"/>
      <c r="AH230" s="16">
        <f t="shared" si="13"/>
        <v>0</v>
      </c>
      <c r="AI230" s="21">
        <f t="shared" si="14"/>
        <v>0</v>
      </c>
      <c r="AJ230" s="20">
        <f t="shared" si="15"/>
        <v>0</v>
      </c>
      <c r="AK230" s="9"/>
    </row>
    <row r="231" spans="1:37" hidden="1">
      <c r="A231" s="3">
        <v>229</v>
      </c>
      <c r="B231" s="12"/>
      <c r="C231" s="13"/>
      <c r="D231" s="13"/>
      <c r="E231" s="13"/>
      <c r="F231" s="13"/>
      <c r="G231" s="13"/>
      <c r="H231" s="28"/>
      <c r="I231" s="39" t="s">
        <v>240</v>
      </c>
      <c r="J231" s="24" t="s">
        <v>1389</v>
      </c>
      <c r="K231" s="26" t="s">
        <v>665</v>
      </c>
      <c r="L231" s="26" t="s">
        <v>554</v>
      </c>
      <c r="M231" s="41">
        <f>IFERROR(VLOOKUP($L231,'[2]Top WH -National'!$D$9:$AC$124,26,0),0)</f>
        <v>89700000</v>
      </c>
      <c r="N231" s="41">
        <f>IFERROR(VLOOKUP($L231,'[2]Top WH -National'!$D$9:$AC$124,4,0),0)</f>
        <v>400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4">
        <f>(VLOOKUP($O$2,Prices!$E$3:$F$17,2,FALSE)*Urban!O231)+(VLOOKUP($P$2,Prices!$E$3:$F$17,2,FALSE)*Urban!P231)+(VLOOKUP($Q$2,Prices!$E$3:$F$17,2,FALSE)*Urban!Q231)+(VLOOKUP($R$2,Prices!$E$3:$F$17,2,FALSE)*Urban!R231)+(VLOOKUP($S$2,Prices!$E$3:$F$17,2,FALSE)*Urban!S231)+(VLOOKUP($T$2,Prices!$E$3:$F$17,2,FALSE)*Urban!T231)+(VLOOKUP($U$2,Prices!$E$3:$F$17,2,FALSE)*Urban!U231)+(VLOOKUP($V$2,Prices!$E$3:$F$17,2,FALSE)*Urban!V231)+(VLOOKUP($W$2,Prices!$E$3:$F$17,2,FALSE)*Urban!W231)+(VLOOKUP($X$2,Prices!$E$3:$F$17,2,FALSE)*Urban!X231)+(VLOOKUP($Y$2,Prices!$E$3:$F$17,2,FALSE)*Urban!Y231)+(VLOOKUP($Z$2,Prices!$E$3:$F$17,2,FALSE)*Urban!Z231)+(VLOOKUP($AA$2,Prices!$E$3:$F$17,2,FALSE)*Urban!AA231)+(VLOOKUP($AB$2,Prices!$E$3:$F$17,2,FALSE)*Urban!AB231)+M231</f>
        <v>89700000</v>
      </c>
      <c r="AD231" s="18"/>
      <c r="AE231" s="18"/>
      <c r="AF231" s="4">
        <f t="shared" si="12"/>
        <v>0</v>
      </c>
      <c r="AG231" s="4"/>
      <c r="AH231" s="16">
        <f t="shared" si="13"/>
        <v>0</v>
      </c>
      <c r="AI231" s="21">
        <f t="shared" si="14"/>
        <v>0</v>
      </c>
      <c r="AJ231" s="20">
        <f t="shared" si="15"/>
        <v>0</v>
      </c>
      <c r="AK231" s="9"/>
    </row>
    <row r="232" spans="1:37" hidden="1">
      <c r="A232" s="3">
        <v>230</v>
      </c>
      <c r="B232" s="12"/>
      <c r="C232" s="13"/>
      <c r="D232" s="13"/>
      <c r="E232" s="13"/>
      <c r="F232" s="13"/>
      <c r="G232" s="13"/>
      <c r="H232" s="28"/>
      <c r="I232" s="39" t="s">
        <v>241</v>
      </c>
      <c r="J232" s="24" t="s">
        <v>1389</v>
      </c>
      <c r="K232" s="26" t="s">
        <v>665</v>
      </c>
      <c r="L232" s="26" t="s">
        <v>555</v>
      </c>
      <c r="M232" s="41">
        <f>IFERROR(VLOOKUP($L232,'[2]Top WH -National'!$D$9:$AC$124,26,0),0)</f>
        <v>73490000</v>
      </c>
      <c r="N232" s="41">
        <f>IFERROR(VLOOKUP($L232,'[2]Top WH -National'!$D$9:$AC$124,4,0),0)</f>
        <v>400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4">
        <f>(VLOOKUP($O$2,Prices!$E$3:$F$17,2,FALSE)*Urban!O232)+(VLOOKUP($P$2,Prices!$E$3:$F$17,2,FALSE)*Urban!P232)+(VLOOKUP($Q$2,Prices!$E$3:$F$17,2,FALSE)*Urban!Q232)+(VLOOKUP($R$2,Prices!$E$3:$F$17,2,FALSE)*Urban!R232)+(VLOOKUP($S$2,Prices!$E$3:$F$17,2,FALSE)*Urban!S232)+(VLOOKUP($T$2,Prices!$E$3:$F$17,2,FALSE)*Urban!T232)+(VLOOKUP($U$2,Prices!$E$3:$F$17,2,FALSE)*Urban!U232)+(VLOOKUP($V$2,Prices!$E$3:$F$17,2,FALSE)*Urban!V232)+(VLOOKUP($W$2,Prices!$E$3:$F$17,2,FALSE)*Urban!W232)+(VLOOKUP($X$2,Prices!$E$3:$F$17,2,FALSE)*Urban!X232)+(VLOOKUP($Y$2,Prices!$E$3:$F$17,2,FALSE)*Urban!Y232)+(VLOOKUP($Z$2,Prices!$E$3:$F$17,2,FALSE)*Urban!Z232)+(VLOOKUP($AA$2,Prices!$E$3:$F$17,2,FALSE)*Urban!AA232)+(VLOOKUP($AB$2,Prices!$E$3:$F$17,2,FALSE)*Urban!AB232)+M232</f>
        <v>73490000</v>
      </c>
      <c r="AD232" s="18"/>
      <c r="AE232" s="18"/>
      <c r="AF232" s="4">
        <f t="shared" si="12"/>
        <v>0</v>
      </c>
      <c r="AG232" s="4"/>
      <c r="AH232" s="16">
        <f t="shared" si="13"/>
        <v>0</v>
      </c>
      <c r="AI232" s="21">
        <f t="shared" si="14"/>
        <v>0</v>
      </c>
      <c r="AJ232" s="20">
        <f t="shared" si="15"/>
        <v>0</v>
      </c>
      <c r="AK232" s="9"/>
    </row>
    <row r="233" spans="1:37" hidden="1">
      <c r="A233" s="3">
        <v>231</v>
      </c>
      <c r="B233" s="12"/>
      <c r="C233" s="13"/>
      <c r="D233" s="13"/>
      <c r="E233" s="13"/>
      <c r="F233" s="13"/>
      <c r="G233" s="13"/>
      <c r="H233" s="28"/>
      <c r="I233" s="39" t="s">
        <v>242</v>
      </c>
      <c r="J233" s="24" t="s">
        <v>1389</v>
      </c>
      <c r="K233" s="26" t="s">
        <v>665</v>
      </c>
      <c r="L233" s="26" t="s">
        <v>556</v>
      </c>
      <c r="M233" s="66">
        <f>IFERROR(VLOOKUP($L233,[1]Consolidated!$C$9:$AC$341,27,0),0)</f>
        <v>0</v>
      </c>
      <c r="N233" s="66">
        <f>IFERROR(VLOOKUP($L233,[1]Consolidated!$C$9:$AC$341,5,0),0)</f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4">
        <f>(VLOOKUP($O$2,Prices!$E$3:$F$17,2,FALSE)*Urban!O233)+(VLOOKUP($P$2,Prices!$E$3:$F$17,2,FALSE)*Urban!P233)+(VLOOKUP($Q$2,Prices!$E$3:$F$17,2,FALSE)*Urban!Q233)+(VLOOKUP($R$2,Prices!$E$3:$F$17,2,FALSE)*Urban!R233)+(VLOOKUP($S$2,Prices!$E$3:$F$17,2,FALSE)*Urban!S233)+(VLOOKUP($T$2,Prices!$E$3:$F$17,2,FALSE)*Urban!T233)+(VLOOKUP($U$2,Prices!$E$3:$F$17,2,FALSE)*Urban!U233)+(VLOOKUP($V$2,Prices!$E$3:$F$17,2,FALSE)*Urban!V233)+(VLOOKUP($W$2,Prices!$E$3:$F$17,2,FALSE)*Urban!W233)+(VLOOKUP($X$2,Prices!$E$3:$F$17,2,FALSE)*Urban!X233)+(VLOOKUP($Y$2,Prices!$E$3:$F$17,2,FALSE)*Urban!Y233)+(VLOOKUP($Z$2,Prices!$E$3:$F$17,2,FALSE)*Urban!Z233)+(VLOOKUP($AA$2,Prices!$E$3:$F$17,2,FALSE)*Urban!AA233)+(VLOOKUP($AB$2,Prices!$E$3:$F$17,2,FALSE)*Urban!AB233)+M233</f>
        <v>0</v>
      </c>
      <c r="AD233" s="18"/>
      <c r="AE233" s="18"/>
      <c r="AF233" s="4">
        <f t="shared" si="12"/>
        <v>0</v>
      </c>
      <c r="AG233" s="4"/>
      <c r="AH233" s="16">
        <f t="shared" si="13"/>
        <v>0</v>
      </c>
      <c r="AI233" s="21" t="e">
        <f t="shared" si="14"/>
        <v>#DIV/0!</v>
      </c>
      <c r="AJ233" s="20" t="e">
        <f t="shared" si="15"/>
        <v>#DIV/0!</v>
      </c>
      <c r="AK233" s="9"/>
    </row>
    <row r="234" spans="1:37" hidden="1">
      <c r="A234" s="3">
        <v>232</v>
      </c>
      <c r="B234" s="12"/>
      <c r="C234" s="13"/>
      <c r="D234" s="13"/>
      <c r="E234" s="13"/>
      <c r="F234" s="13"/>
      <c r="G234" s="13"/>
      <c r="H234" s="28"/>
      <c r="I234" s="39" t="s">
        <v>243</v>
      </c>
      <c r="J234" s="24" t="s">
        <v>1389</v>
      </c>
      <c r="K234" s="26" t="s">
        <v>665</v>
      </c>
      <c r="L234" s="26" t="s">
        <v>557</v>
      </c>
      <c r="M234" s="41">
        <f>IFERROR(VLOOKUP($L234,'[2]Top WH -National'!$D$9:$AC$124,26,0),0)</f>
        <v>73490000</v>
      </c>
      <c r="N234" s="41">
        <f>IFERROR(VLOOKUP($L234,'[2]Top WH -National'!$D$9:$AC$124,4,0),0)</f>
        <v>400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4">
        <f>(VLOOKUP($O$2,Prices!$E$3:$F$17,2,FALSE)*Urban!O234)+(VLOOKUP($P$2,Prices!$E$3:$F$17,2,FALSE)*Urban!P234)+(VLOOKUP($Q$2,Prices!$E$3:$F$17,2,FALSE)*Urban!Q234)+(VLOOKUP($R$2,Prices!$E$3:$F$17,2,FALSE)*Urban!R234)+(VLOOKUP($S$2,Prices!$E$3:$F$17,2,FALSE)*Urban!S234)+(VLOOKUP($T$2,Prices!$E$3:$F$17,2,FALSE)*Urban!T234)+(VLOOKUP($U$2,Prices!$E$3:$F$17,2,FALSE)*Urban!U234)+(VLOOKUP($V$2,Prices!$E$3:$F$17,2,FALSE)*Urban!V234)+(VLOOKUP($W$2,Prices!$E$3:$F$17,2,FALSE)*Urban!W234)+(VLOOKUP($X$2,Prices!$E$3:$F$17,2,FALSE)*Urban!X234)+(VLOOKUP($Y$2,Prices!$E$3:$F$17,2,FALSE)*Urban!Y234)+(VLOOKUP($Z$2,Prices!$E$3:$F$17,2,FALSE)*Urban!Z234)+(VLOOKUP($AA$2,Prices!$E$3:$F$17,2,FALSE)*Urban!AA234)+(VLOOKUP($AB$2,Prices!$E$3:$F$17,2,FALSE)*Urban!AB234)+M234</f>
        <v>73490000</v>
      </c>
      <c r="AD234" s="18"/>
      <c r="AE234" s="18"/>
      <c r="AF234" s="4">
        <f t="shared" si="12"/>
        <v>0</v>
      </c>
      <c r="AG234" s="4"/>
      <c r="AH234" s="16">
        <f t="shared" si="13"/>
        <v>0</v>
      </c>
      <c r="AI234" s="21">
        <f t="shared" si="14"/>
        <v>0</v>
      </c>
      <c r="AJ234" s="20">
        <f t="shared" si="15"/>
        <v>0</v>
      </c>
      <c r="AK234" s="9"/>
    </row>
    <row r="235" spans="1:37" hidden="1">
      <c r="A235" s="3">
        <v>233</v>
      </c>
      <c r="B235" s="12"/>
      <c r="C235" s="13"/>
      <c r="D235" s="13"/>
      <c r="E235" s="13"/>
      <c r="F235" s="13"/>
      <c r="G235" s="13"/>
      <c r="H235" s="28"/>
      <c r="I235" s="39" t="s">
        <v>244</v>
      </c>
      <c r="J235" s="24" t="s">
        <v>1389</v>
      </c>
      <c r="K235" s="26" t="s">
        <v>665</v>
      </c>
      <c r="L235" s="26" t="s">
        <v>558</v>
      </c>
      <c r="M235" s="41">
        <f>IFERROR(VLOOKUP($L235,'[2]Top WH -National'!$D$9:$AC$124,26,0),0)</f>
        <v>57100000</v>
      </c>
      <c r="N235" s="41">
        <f>IFERROR(VLOOKUP($L235,'[2]Top WH -National'!$D$9:$AC$124,4,0),0)</f>
        <v>300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4">
        <f>(VLOOKUP($O$2,Prices!$E$3:$F$17,2,FALSE)*Urban!O235)+(VLOOKUP($P$2,Prices!$E$3:$F$17,2,FALSE)*Urban!P235)+(VLOOKUP($Q$2,Prices!$E$3:$F$17,2,FALSE)*Urban!Q235)+(VLOOKUP($R$2,Prices!$E$3:$F$17,2,FALSE)*Urban!R235)+(VLOOKUP($S$2,Prices!$E$3:$F$17,2,FALSE)*Urban!S235)+(VLOOKUP($T$2,Prices!$E$3:$F$17,2,FALSE)*Urban!T235)+(VLOOKUP($U$2,Prices!$E$3:$F$17,2,FALSE)*Urban!U235)+(VLOOKUP($V$2,Prices!$E$3:$F$17,2,FALSE)*Urban!V235)+(VLOOKUP($W$2,Prices!$E$3:$F$17,2,FALSE)*Urban!W235)+(VLOOKUP($X$2,Prices!$E$3:$F$17,2,FALSE)*Urban!X235)+(VLOOKUP($Y$2,Prices!$E$3:$F$17,2,FALSE)*Urban!Y235)+(VLOOKUP($Z$2,Prices!$E$3:$F$17,2,FALSE)*Urban!Z235)+(VLOOKUP($AA$2,Prices!$E$3:$F$17,2,FALSE)*Urban!AA235)+(VLOOKUP($AB$2,Prices!$E$3:$F$17,2,FALSE)*Urban!AB235)+M235</f>
        <v>57100000</v>
      </c>
      <c r="AD235" s="18"/>
      <c r="AE235" s="18"/>
      <c r="AF235" s="4">
        <f t="shared" si="12"/>
        <v>0</v>
      </c>
      <c r="AG235" s="4"/>
      <c r="AH235" s="16">
        <f t="shared" si="13"/>
        <v>0</v>
      </c>
      <c r="AI235" s="21">
        <f t="shared" si="14"/>
        <v>0</v>
      </c>
      <c r="AJ235" s="20">
        <f t="shared" si="15"/>
        <v>0</v>
      </c>
      <c r="AK235" s="9"/>
    </row>
    <row r="236" spans="1:37" hidden="1">
      <c r="A236" s="3">
        <v>234</v>
      </c>
      <c r="B236" s="12"/>
      <c r="C236" s="13"/>
      <c r="D236" s="13"/>
      <c r="E236" s="13"/>
      <c r="F236" s="13"/>
      <c r="G236" s="13"/>
      <c r="H236" s="28"/>
      <c r="I236" s="39" t="s">
        <v>245</v>
      </c>
      <c r="J236" s="24" t="s">
        <v>1389</v>
      </c>
      <c r="K236" s="26" t="s">
        <v>665</v>
      </c>
      <c r="L236" s="26" t="s">
        <v>559</v>
      </c>
      <c r="M236" s="41">
        <f>IFERROR(VLOOKUP($L236,'[2]Top WH -National'!$D$9:$AC$124,26,0),0)</f>
        <v>73490000</v>
      </c>
      <c r="N236" s="41">
        <f>IFERROR(VLOOKUP($L236,'[2]Top WH -National'!$D$9:$AC$124,4,0),0)</f>
        <v>400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4">
        <f>(VLOOKUP($O$2,Prices!$E$3:$F$17,2,FALSE)*Urban!O236)+(VLOOKUP($P$2,Prices!$E$3:$F$17,2,FALSE)*Urban!P236)+(VLOOKUP($Q$2,Prices!$E$3:$F$17,2,FALSE)*Urban!Q236)+(VLOOKUP($R$2,Prices!$E$3:$F$17,2,FALSE)*Urban!R236)+(VLOOKUP($S$2,Prices!$E$3:$F$17,2,FALSE)*Urban!S236)+(VLOOKUP($T$2,Prices!$E$3:$F$17,2,FALSE)*Urban!T236)+(VLOOKUP($U$2,Prices!$E$3:$F$17,2,FALSE)*Urban!U236)+(VLOOKUP($V$2,Prices!$E$3:$F$17,2,FALSE)*Urban!V236)+(VLOOKUP($W$2,Prices!$E$3:$F$17,2,FALSE)*Urban!W236)+(VLOOKUP($X$2,Prices!$E$3:$F$17,2,FALSE)*Urban!X236)+(VLOOKUP($Y$2,Prices!$E$3:$F$17,2,FALSE)*Urban!Y236)+(VLOOKUP($Z$2,Prices!$E$3:$F$17,2,FALSE)*Urban!Z236)+(VLOOKUP($AA$2,Prices!$E$3:$F$17,2,FALSE)*Urban!AA236)+(VLOOKUP($AB$2,Prices!$E$3:$F$17,2,FALSE)*Urban!AB236)+M236</f>
        <v>73490000</v>
      </c>
      <c r="AD236" s="18"/>
      <c r="AE236" s="18"/>
      <c r="AF236" s="4">
        <f t="shared" si="12"/>
        <v>0</v>
      </c>
      <c r="AG236" s="4"/>
      <c r="AH236" s="16">
        <f t="shared" si="13"/>
        <v>0</v>
      </c>
      <c r="AI236" s="21">
        <f t="shared" si="14"/>
        <v>0</v>
      </c>
      <c r="AJ236" s="20">
        <f t="shared" si="15"/>
        <v>0</v>
      </c>
      <c r="AK236" s="9"/>
    </row>
    <row r="237" spans="1:37" hidden="1">
      <c r="A237" s="3">
        <v>235</v>
      </c>
      <c r="B237" s="12"/>
      <c r="C237" s="13"/>
      <c r="D237" s="13"/>
      <c r="E237" s="13"/>
      <c r="F237" s="13"/>
      <c r="G237" s="13"/>
      <c r="H237" s="28"/>
      <c r="I237" s="39" t="s">
        <v>246</v>
      </c>
      <c r="J237" s="24" t="s">
        <v>1389</v>
      </c>
      <c r="K237" s="26" t="s">
        <v>665</v>
      </c>
      <c r="L237" s="26" t="s">
        <v>560</v>
      </c>
      <c r="M237" s="41">
        <f>IFERROR(VLOOKUP($L237,'[2]Top WH -National'!$D$9:$AC$124,26,0),0)</f>
        <v>106360000</v>
      </c>
      <c r="N237" s="41">
        <f>IFERROR(VLOOKUP($L237,'[2]Top WH -National'!$D$9:$AC$124,4,0),0)</f>
        <v>520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4">
        <f>(VLOOKUP($O$2,Prices!$E$3:$F$17,2,FALSE)*Urban!O237)+(VLOOKUP($P$2,Prices!$E$3:$F$17,2,FALSE)*Urban!P237)+(VLOOKUP($Q$2,Prices!$E$3:$F$17,2,FALSE)*Urban!Q237)+(VLOOKUP($R$2,Prices!$E$3:$F$17,2,FALSE)*Urban!R237)+(VLOOKUP($S$2,Prices!$E$3:$F$17,2,FALSE)*Urban!S237)+(VLOOKUP($T$2,Prices!$E$3:$F$17,2,FALSE)*Urban!T237)+(VLOOKUP($U$2,Prices!$E$3:$F$17,2,FALSE)*Urban!U237)+(VLOOKUP($V$2,Prices!$E$3:$F$17,2,FALSE)*Urban!V237)+(VLOOKUP($W$2,Prices!$E$3:$F$17,2,FALSE)*Urban!W237)+(VLOOKUP($X$2,Prices!$E$3:$F$17,2,FALSE)*Urban!X237)+(VLOOKUP($Y$2,Prices!$E$3:$F$17,2,FALSE)*Urban!Y237)+(VLOOKUP($Z$2,Prices!$E$3:$F$17,2,FALSE)*Urban!Z237)+(VLOOKUP($AA$2,Prices!$E$3:$F$17,2,FALSE)*Urban!AA237)+(VLOOKUP($AB$2,Prices!$E$3:$F$17,2,FALSE)*Urban!AB237)+M237</f>
        <v>106360000</v>
      </c>
      <c r="AD237" s="18"/>
      <c r="AE237" s="18"/>
      <c r="AF237" s="4">
        <f t="shared" si="12"/>
        <v>0</v>
      </c>
      <c r="AG237" s="4"/>
      <c r="AH237" s="16">
        <f t="shared" si="13"/>
        <v>0</v>
      </c>
      <c r="AI237" s="21">
        <f t="shared" si="14"/>
        <v>0</v>
      </c>
      <c r="AJ237" s="20">
        <f t="shared" si="15"/>
        <v>0</v>
      </c>
      <c r="AK237" s="9"/>
    </row>
    <row r="238" spans="1:37" hidden="1">
      <c r="A238" s="3">
        <v>236</v>
      </c>
      <c r="B238" s="12"/>
      <c r="C238" s="13"/>
      <c r="D238" s="13"/>
      <c r="E238" s="13"/>
      <c r="F238" s="13"/>
      <c r="G238" s="13"/>
      <c r="H238" s="28"/>
      <c r="I238" s="39" t="s">
        <v>247</v>
      </c>
      <c r="J238" s="24" t="s">
        <v>1389</v>
      </c>
      <c r="K238" s="26" t="s">
        <v>665</v>
      </c>
      <c r="L238" s="26" t="s">
        <v>561</v>
      </c>
      <c r="M238" s="41">
        <f>IFERROR(VLOOKUP($L238,'[2]Top WH -National'!$D$9:$AC$124,26,0),0)</f>
        <v>67840000</v>
      </c>
      <c r="N238" s="41">
        <f>IFERROR(VLOOKUP($L238,'[2]Top WH -National'!$D$9:$AC$124,4,0),0)</f>
        <v>350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4">
        <f>(VLOOKUP($O$2,Prices!$E$3:$F$17,2,FALSE)*Urban!O238)+(VLOOKUP($P$2,Prices!$E$3:$F$17,2,FALSE)*Urban!P238)+(VLOOKUP($Q$2,Prices!$E$3:$F$17,2,FALSE)*Urban!Q238)+(VLOOKUP($R$2,Prices!$E$3:$F$17,2,FALSE)*Urban!R238)+(VLOOKUP($S$2,Prices!$E$3:$F$17,2,FALSE)*Urban!S238)+(VLOOKUP($T$2,Prices!$E$3:$F$17,2,FALSE)*Urban!T238)+(VLOOKUP($U$2,Prices!$E$3:$F$17,2,FALSE)*Urban!U238)+(VLOOKUP($V$2,Prices!$E$3:$F$17,2,FALSE)*Urban!V238)+(VLOOKUP($W$2,Prices!$E$3:$F$17,2,FALSE)*Urban!W238)+(VLOOKUP($X$2,Prices!$E$3:$F$17,2,FALSE)*Urban!X238)+(VLOOKUP($Y$2,Prices!$E$3:$F$17,2,FALSE)*Urban!Y238)+(VLOOKUP($Z$2,Prices!$E$3:$F$17,2,FALSE)*Urban!Z238)+(VLOOKUP($AA$2,Prices!$E$3:$F$17,2,FALSE)*Urban!AA238)+(VLOOKUP($AB$2,Prices!$E$3:$F$17,2,FALSE)*Urban!AB238)+M238</f>
        <v>67840000</v>
      </c>
      <c r="AD238" s="18"/>
      <c r="AE238" s="18"/>
      <c r="AF238" s="4">
        <f t="shared" si="12"/>
        <v>0</v>
      </c>
      <c r="AG238" s="4"/>
      <c r="AH238" s="16">
        <f t="shared" si="13"/>
        <v>0</v>
      </c>
      <c r="AI238" s="21">
        <f t="shared" si="14"/>
        <v>0</v>
      </c>
      <c r="AJ238" s="20">
        <f t="shared" si="15"/>
        <v>0</v>
      </c>
      <c r="AK238" s="9"/>
    </row>
    <row r="239" spans="1:37" hidden="1">
      <c r="A239" s="3">
        <v>237</v>
      </c>
      <c r="B239" s="12"/>
      <c r="C239" s="13"/>
      <c r="D239" s="13"/>
      <c r="E239" s="13"/>
      <c r="F239" s="13"/>
      <c r="G239" s="13"/>
      <c r="H239" s="28"/>
      <c r="I239" s="39" t="s">
        <v>248</v>
      </c>
      <c r="J239" s="24" t="s">
        <v>1389</v>
      </c>
      <c r="K239" s="26" t="s">
        <v>665</v>
      </c>
      <c r="L239" s="26" t="s">
        <v>562</v>
      </c>
      <c r="M239" s="41">
        <f>IFERROR(VLOOKUP($L239,'[2]Top WH -National'!$D$9:$AC$124,26,0),0)</f>
        <v>149250000</v>
      </c>
      <c r="N239" s="41">
        <f>IFERROR(VLOOKUP($L239,'[2]Top WH -National'!$D$9:$AC$124,4,0),0)</f>
        <v>800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4">
        <f>(VLOOKUP($O$2,Prices!$E$3:$F$17,2,FALSE)*Urban!O239)+(VLOOKUP($P$2,Prices!$E$3:$F$17,2,FALSE)*Urban!P239)+(VLOOKUP($Q$2,Prices!$E$3:$F$17,2,FALSE)*Urban!Q239)+(VLOOKUP($R$2,Prices!$E$3:$F$17,2,FALSE)*Urban!R239)+(VLOOKUP($S$2,Prices!$E$3:$F$17,2,FALSE)*Urban!S239)+(VLOOKUP($T$2,Prices!$E$3:$F$17,2,FALSE)*Urban!T239)+(VLOOKUP($U$2,Prices!$E$3:$F$17,2,FALSE)*Urban!U239)+(VLOOKUP($V$2,Prices!$E$3:$F$17,2,FALSE)*Urban!V239)+(VLOOKUP($W$2,Prices!$E$3:$F$17,2,FALSE)*Urban!W239)+(VLOOKUP($X$2,Prices!$E$3:$F$17,2,FALSE)*Urban!X239)+(VLOOKUP($Y$2,Prices!$E$3:$F$17,2,FALSE)*Urban!Y239)+(VLOOKUP($Z$2,Prices!$E$3:$F$17,2,FALSE)*Urban!Z239)+(VLOOKUP($AA$2,Prices!$E$3:$F$17,2,FALSE)*Urban!AA239)+(VLOOKUP($AB$2,Prices!$E$3:$F$17,2,FALSE)*Urban!AB239)+M239</f>
        <v>149250000</v>
      </c>
      <c r="AD239" s="18"/>
      <c r="AE239" s="18"/>
      <c r="AF239" s="4">
        <f t="shared" si="12"/>
        <v>0</v>
      </c>
      <c r="AG239" s="4"/>
      <c r="AH239" s="16">
        <f t="shared" si="13"/>
        <v>0</v>
      </c>
      <c r="AI239" s="21">
        <f t="shared" si="14"/>
        <v>0</v>
      </c>
      <c r="AJ239" s="20">
        <f t="shared" si="15"/>
        <v>0</v>
      </c>
      <c r="AK239" s="19"/>
    </row>
    <row r="240" spans="1:37" hidden="1">
      <c r="A240" s="3">
        <v>238</v>
      </c>
      <c r="B240" s="12"/>
      <c r="C240" s="13"/>
      <c r="D240" s="13"/>
      <c r="E240" s="13"/>
      <c r="F240" s="13"/>
      <c r="G240" s="13"/>
      <c r="H240" s="28"/>
      <c r="I240" s="39" t="s">
        <v>249</v>
      </c>
      <c r="J240" s="24" t="s">
        <v>1389</v>
      </c>
      <c r="K240" s="26" t="s">
        <v>665</v>
      </c>
      <c r="L240" s="26" t="s">
        <v>563</v>
      </c>
      <c r="M240" s="41">
        <f>IFERROR(VLOOKUP($L240,'[2]Top WH -National'!$D$9:$AC$124,26,0),0)</f>
        <v>67840000</v>
      </c>
      <c r="N240" s="41">
        <f>IFERROR(VLOOKUP($L240,'[2]Top WH -National'!$D$9:$AC$124,4,0),0)</f>
        <v>350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4">
        <f>(VLOOKUP($O$2,Prices!$E$3:$F$17,2,FALSE)*Urban!O240)+(VLOOKUP($P$2,Prices!$E$3:$F$17,2,FALSE)*Urban!P240)+(VLOOKUP($Q$2,Prices!$E$3:$F$17,2,FALSE)*Urban!Q240)+(VLOOKUP($R$2,Prices!$E$3:$F$17,2,FALSE)*Urban!R240)+(VLOOKUP($S$2,Prices!$E$3:$F$17,2,FALSE)*Urban!S240)+(VLOOKUP($T$2,Prices!$E$3:$F$17,2,FALSE)*Urban!T240)+(VLOOKUP($U$2,Prices!$E$3:$F$17,2,FALSE)*Urban!U240)+(VLOOKUP($V$2,Prices!$E$3:$F$17,2,FALSE)*Urban!V240)+(VLOOKUP($W$2,Prices!$E$3:$F$17,2,FALSE)*Urban!W240)+(VLOOKUP($X$2,Prices!$E$3:$F$17,2,FALSE)*Urban!X240)+(VLOOKUP($Y$2,Prices!$E$3:$F$17,2,FALSE)*Urban!Y240)+(VLOOKUP($Z$2,Prices!$E$3:$F$17,2,FALSE)*Urban!Z240)+(VLOOKUP($AA$2,Prices!$E$3:$F$17,2,FALSE)*Urban!AA240)+(VLOOKUP($AB$2,Prices!$E$3:$F$17,2,FALSE)*Urban!AB240)+M240</f>
        <v>67840000</v>
      </c>
      <c r="AD240" s="18"/>
      <c r="AE240" s="18"/>
      <c r="AF240" s="4">
        <f t="shared" si="12"/>
        <v>0</v>
      </c>
      <c r="AG240" s="4"/>
      <c r="AH240" s="16">
        <f t="shared" si="13"/>
        <v>0</v>
      </c>
      <c r="AI240" s="21">
        <f t="shared" si="14"/>
        <v>0</v>
      </c>
      <c r="AJ240" s="20">
        <f t="shared" si="15"/>
        <v>0</v>
      </c>
      <c r="AK240" s="9"/>
    </row>
    <row r="241" spans="1:37" hidden="1">
      <c r="A241" s="3">
        <v>239</v>
      </c>
      <c r="B241" s="12"/>
      <c r="C241" s="13"/>
      <c r="D241" s="13"/>
      <c r="E241" s="13"/>
      <c r="F241" s="13"/>
      <c r="G241" s="13"/>
      <c r="H241" s="28"/>
      <c r="I241" s="39" t="s">
        <v>250</v>
      </c>
      <c r="J241" s="24" t="s">
        <v>1389</v>
      </c>
      <c r="K241" s="26" t="s">
        <v>665</v>
      </c>
      <c r="L241" s="26" t="s">
        <v>564</v>
      </c>
      <c r="M241" s="41">
        <f>IFERROR(VLOOKUP($L241,'[2]Top WH -National'!$D$9:$AC$124,26,0),0)</f>
        <v>67840000</v>
      </c>
      <c r="N241" s="41">
        <f>IFERROR(VLOOKUP($L241,'[2]Top WH -National'!$D$9:$AC$124,4,0),0)</f>
        <v>350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4">
        <f>(VLOOKUP($O$2,Prices!$E$3:$F$17,2,FALSE)*Urban!O241)+(VLOOKUP($P$2,Prices!$E$3:$F$17,2,FALSE)*Urban!P241)+(VLOOKUP($Q$2,Prices!$E$3:$F$17,2,FALSE)*Urban!Q241)+(VLOOKUP($R$2,Prices!$E$3:$F$17,2,FALSE)*Urban!R241)+(VLOOKUP($S$2,Prices!$E$3:$F$17,2,FALSE)*Urban!S241)+(VLOOKUP($T$2,Prices!$E$3:$F$17,2,FALSE)*Urban!T241)+(VLOOKUP($U$2,Prices!$E$3:$F$17,2,FALSE)*Urban!U241)+(VLOOKUP($V$2,Prices!$E$3:$F$17,2,FALSE)*Urban!V241)+(VLOOKUP($W$2,Prices!$E$3:$F$17,2,FALSE)*Urban!W241)+(VLOOKUP($X$2,Prices!$E$3:$F$17,2,FALSE)*Urban!X241)+(VLOOKUP($Y$2,Prices!$E$3:$F$17,2,FALSE)*Urban!Y241)+(VLOOKUP($Z$2,Prices!$E$3:$F$17,2,FALSE)*Urban!Z241)+(VLOOKUP($AA$2,Prices!$E$3:$F$17,2,FALSE)*Urban!AA241)+(VLOOKUP($AB$2,Prices!$E$3:$F$17,2,FALSE)*Urban!AB241)+M241</f>
        <v>67840000</v>
      </c>
      <c r="AD241" s="18"/>
      <c r="AE241" s="18"/>
      <c r="AF241" s="4">
        <f t="shared" si="12"/>
        <v>0</v>
      </c>
      <c r="AG241" s="4"/>
      <c r="AH241" s="16">
        <f t="shared" si="13"/>
        <v>0</v>
      </c>
      <c r="AI241" s="21">
        <f t="shared" si="14"/>
        <v>0</v>
      </c>
      <c r="AJ241" s="20">
        <f t="shared" si="15"/>
        <v>0</v>
      </c>
      <c r="AK241" s="9"/>
    </row>
    <row r="242" spans="1:37" hidden="1">
      <c r="A242" s="3">
        <v>240</v>
      </c>
      <c r="B242" s="12"/>
      <c r="C242" s="13"/>
      <c r="D242" s="13"/>
      <c r="E242" s="13"/>
      <c r="F242" s="13"/>
      <c r="G242" s="13"/>
      <c r="H242" s="28"/>
      <c r="I242" s="39" t="s">
        <v>251</v>
      </c>
      <c r="J242" s="24" t="s">
        <v>1389</v>
      </c>
      <c r="K242" s="26" t="s">
        <v>665</v>
      </c>
      <c r="L242" s="26" t="s">
        <v>565</v>
      </c>
      <c r="M242" s="41">
        <f>IFERROR(VLOOKUP($L242,'[2]Top WH -National'!$D$9:$AC$124,26,0),0)</f>
        <v>130450000</v>
      </c>
      <c r="N242" s="41">
        <f>IFERROR(VLOOKUP($L242,'[2]Top WH -National'!$D$9:$AC$124,4,0),0)</f>
        <v>700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4">
        <f>(VLOOKUP($O$2,Prices!$E$3:$F$17,2,FALSE)*Urban!O242)+(VLOOKUP($P$2,Prices!$E$3:$F$17,2,FALSE)*Urban!P242)+(VLOOKUP($Q$2,Prices!$E$3:$F$17,2,FALSE)*Urban!Q242)+(VLOOKUP($R$2,Prices!$E$3:$F$17,2,FALSE)*Urban!R242)+(VLOOKUP($S$2,Prices!$E$3:$F$17,2,FALSE)*Urban!S242)+(VLOOKUP($T$2,Prices!$E$3:$F$17,2,FALSE)*Urban!T242)+(VLOOKUP($U$2,Prices!$E$3:$F$17,2,FALSE)*Urban!U242)+(VLOOKUP($V$2,Prices!$E$3:$F$17,2,FALSE)*Urban!V242)+(VLOOKUP($W$2,Prices!$E$3:$F$17,2,FALSE)*Urban!W242)+(VLOOKUP($X$2,Prices!$E$3:$F$17,2,FALSE)*Urban!X242)+(VLOOKUP($Y$2,Prices!$E$3:$F$17,2,FALSE)*Urban!Y242)+(VLOOKUP($Z$2,Prices!$E$3:$F$17,2,FALSE)*Urban!Z242)+(VLOOKUP($AA$2,Prices!$E$3:$F$17,2,FALSE)*Urban!AA242)+(VLOOKUP($AB$2,Prices!$E$3:$F$17,2,FALSE)*Urban!AB242)+M242</f>
        <v>130450000</v>
      </c>
      <c r="AD242" s="18"/>
      <c r="AE242" s="18"/>
      <c r="AF242" s="4">
        <f t="shared" si="12"/>
        <v>0</v>
      </c>
      <c r="AG242" s="4"/>
      <c r="AH242" s="16">
        <f t="shared" si="13"/>
        <v>0</v>
      </c>
      <c r="AI242" s="21">
        <f t="shared" si="14"/>
        <v>0</v>
      </c>
      <c r="AJ242" s="20">
        <f t="shared" si="15"/>
        <v>0</v>
      </c>
      <c r="AK242" s="9"/>
    </row>
    <row r="243" spans="1:37" hidden="1">
      <c r="A243" s="3">
        <v>241</v>
      </c>
      <c r="B243" s="12"/>
      <c r="C243" s="13"/>
      <c r="D243" s="13"/>
      <c r="E243" s="13"/>
      <c r="F243" s="13"/>
      <c r="G243" s="13"/>
      <c r="H243" s="28"/>
      <c r="I243" s="24" t="s">
        <v>252</v>
      </c>
      <c r="J243" s="24" t="s">
        <v>1389</v>
      </c>
      <c r="K243" s="26" t="s">
        <v>665</v>
      </c>
      <c r="L243" s="26" t="s">
        <v>566</v>
      </c>
      <c r="M243" s="66">
        <f>IFERROR(VLOOKUP($L243,[1]Consolidated!$C$9:$AC$341,27,0),0)</f>
        <v>22850000</v>
      </c>
      <c r="N243" s="66">
        <f>IFERROR(VLOOKUP($L243,[1]Consolidated!$C$9:$AC$341,5,0),0)</f>
        <v>150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4">
        <f>(VLOOKUP($O$2,Prices!$E$3:$F$17,2,FALSE)*Urban!O243)+(VLOOKUP($P$2,Prices!$E$3:$F$17,2,FALSE)*Urban!P243)+(VLOOKUP($Q$2,Prices!$E$3:$F$17,2,FALSE)*Urban!Q243)+(VLOOKUP($R$2,Prices!$E$3:$F$17,2,FALSE)*Urban!R243)+(VLOOKUP($S$2,Prices!$E$3:$F$17,2,FALSE)*Urban!S243)+(VLOOKUP($T$2,Prices!$E$3:$F$17,2,FALSE)*Urban!T243)+(VLOOKUP($U$2,Prices!$E$3:$F$17,2,FALSE)*Urban!U243)+(VLOOKUP($V$2,Prices!$E$3:$F$17,2,FALSE)*Urban!V243)+(VLOOKUP($W$2,Prices!$E$3:$F$17,2,FALSE)*Urban!W243)+(VLOOKUP($X$2,Prices!$E$3:$F$17,2,FALSE)*Urban!X243)+(VLOOKUP($Y$2,Prices!$E$3:$F$17,2,FALSE)*Urban!Y243)+(VLOOKUP($Z$2,Prices!$E$3:$F$17,2,FALSE)*Urban!Z243)+(VLOOKUP($AA$2,Prices!$E$3:$F$17,2,FALSE)*Urban!AA243)+(VLOOKUP($AB$2,Prices!$E$3:$F$17,2,FALSE)*Urban!AB243)+M243</f>
        <v>22850000</v>
      </c>
      <c r="AD243" s="18"/>
      <c r="AE243" s="18"/>
      <c r="AF243" s="4">
        <f t="shared" si="12"/>
        <v>0</v>
      </c>
      <c r="AG243" s="4"/>
      <c r="AH243" s="16">
        <f t="shared" si="13"/>
        <v>0</v>
      </c>
      <c r="AI243" s="21">
        <f t="shared" si="14"/>
        <v>0</v>
      </c>
      <c r="AJ243" s="20">
        <f t="shared" si="15"/>
        <v>0</v>
      </c>
      <c r="AK243" s="9"/>
    </row>
    <row r="244" spans="1:37" hidden="1">
      <c r="A244" s="3">
        <v>242</v>
      </c>
      <c r="B244" s="12"/>
      <c r="C244" s="13"/>
      <c r="D244" s="13"/>
      <c r="E244" s="13"/>
      <c r="F244" s="13"/>
      <c r="G244" s="13"/>
      <c r="H244" s="28"/>
      <c r="I244" s="24" t="s">
        <v>253</v>
      </c>
      <c r="J244" s="24" t="s">
        <v>1389</v>
      </c>
      <c r="K244" s="26" t="s">
        <v>666</v>
      </c>
      <c r="L244" s="26" t="s">
        <v>567</v>
      </c>
      <c r="M244" s="66">
        <f>IFERROR(VLOOKUP($L244,[1]Consolidated!$C$9:$AC$341,27,0),0)</f>
        <v>12233000</v>
      </c>
      <c r="N244" s="66">
        <f>IFERROR(VLOOKUP($L244,[1]Consolidated!$C$9:$AC$341,5,0),0)</f>
        <v>70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4">
        <f>(VLOOKUP($O$2,Prices!$E$3:$F$17,2,FALSE)*Urban!O244)+(VLOOKUP($P$2,Prices!$E$3:$F$17,2,FALSE)*Urban!P244)+(VLOOKUP($Q$2,Prices!$E$3:$F$17,2,FALSE)*Urban!Q244)+(VLOOKUP($R$2,Prices!$E$3:$F$17,2,FALSE)*Urban!R244)+(VLOOKUP($S$2,Prices!$E$3:$F$17,2,FALSE)*Urban!S244)+(VLOOKUP($T$2,Prices!$E$3:$F$17,2,FALSE)*Urban!T244)+(VLOOKUP($U$2,Prices!$E$3:$F$17,2,FALSE)*Urban!U244)+(VLOOKUP($V$2,Prices!$E$3:$F$17,2,FALSE)*Urban!V244)+(VLOOKUP($W$2,Prices!$E$3:$F$17,2,FALSE)*Urban!W244)+(VLOOKUP($X$2,Prices!$E$3:$F$17,2,FALSE)*Urban!X244)+(VLOOKUP($Y$2,Prices!$E$3:$F$17,2,FALSE)*Urban!Y244)+(VLOOKUP($Z$2,Prices!$E$3:$F$17,2,FALSE)*Urban!Z244)+(VLOOKUP($AA$2,Prices!$E$3:$F$17,2,FALSE)*Urban!AA244)+(VLOOKUP($AB$2,Prices!$E$3:$F$17,2,FALSE)*Urban!AB244)+M244</f>
        <v>12233000</v>
      </c>
      <c r="AD244" s="18"/>
      <c r="AE244" s="18"/>
      <c r="AF244" s="4">
        <f t="shared" si="12"/>
        <v>0</v>
      </c>
      <c r="AG244" s="4"/>
      <c r="AH244" s="16">
        <f t="shared" si="13"/>
        <v>0</v>
      </c>
      <c r="AI244" s="21">
        <f t="shared" si="14"/>
        <v>0</v>
      </c>
      <c r="AJ244" s="20">
        <f t="shared" si="15"/>
        <v>0</v>
      </c>
      <c r="AK244" s="9"/>
    </row>
    <row r="245" spans="1:37" hidden="1">
      <c r="A245" s="3">
        <v>243</v>
      </c>
      <c r="B245" s="12"/>
      <c r="C245" s="13"/>
      <c r="D245" s="13"/>
      <c r="E245" s="13"/>
      <c r="F245" s="13"/>
      <c r="G245" s="13"/>
      <c r="H245" s="28"/>
      <c r="I245" s="39" t="s">
        <v>254</v>
      </c>
      <c r="J245" s="24" t="s">
        <v>1389</v>
      </c>
      <c r="K245" s="26" t="s">
        <v>666</v>
      </c>
      <c r="L245" s="26" t="s">
        <v>568</v>
      </c>
      <c r="M245" s="41">
        <f>IFERROR(VLOOKUP($L245,'[2]Top WH -National'!$D$9:$AC$124,26,0),0)</f>
        <v>57550000</v>
      </c>
      <c r="N245" s="41">
        <f>IFERROR(VLOOKUP($L245,'[2]Top WH -National'!$D$9:$AC$124,4,0),0)</f>
        <v>290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4">
        <f>(VLOOKUP($O$2,Prices!$E$3:$F$17,2,FALSE)*Urban!O245)+(VLOOKUP($P$2,Prices!$E$3:$F$17,2,FALSE)*Urban!P245)+(VLOOKUP($Q$2,Prices!$E$3:$F$17,2,FALSE)*Urban!Q245)+(VLOOKUP($R$2,Prices!$E$3:$F$17,2,FALSE)*Urban!R245)+(VLOOKUP($S$2,Prices!$E$3:$F$17,2,FALSE)*Urban!S245)+(VLOOKUP($T$2,Prices!$E$3:$F$17,2,FALSE)*Urban!T245)+(VLOOKUP($U$2,Prices!$E$3:$F$17,2,FALSE)*Urban!U245)+(VLOOKUP($V$2,Prices!$E$3:$F$17,2,FALSE)*Urban!V245)+(VLOOKUP($W$2,Prices!$E$3:$F$17,2,FALSE)*Urban!W245)+(VLOOKUP($X$2,Prices!$E$3:$F$17,2,FALSE)*Urban!X245)+(VLOOKUP($Y$2,Prices!$E$3:$F$17,2,FALSE)*Urban!Y245)+(VLOOKUP($Z$2,Prices!$E$3:$F$17,2,FALSE)*Urban!Z245)+(VLOOKUP($AA$2,Prices!$E$3:$F$17,2,FALSE)*Urban!AA245)+(VLOOKUP($AB$2,Prices!$E$3:$F$17,2,FALSE)*Urban!AB245)+M245</f>
        <v>57550000</v>
      </c>
      <c r="AD245" s="18"/>
      <c r="AE245" s="18"/>
      <c r="AF245" s="4">
        <f t="shared" si="12"/>
        <v>0</v>
      </c>
      <c r="AG245" s="4"/>
      <c r="AH245" s="16">
        <f t="shared" si="13"/>
        <v>0</v>
      </c>
      <c r="AI245" s="21">
        <f t="shared" si="14"/>
        <v>0</v>
      </c>
      <c r="AJ245" s="20">
        <f t="shared" si="15"/>
        <v>0</v>
      </c>
      <c r="AK245" s="9"/>
    </row>
    <row r="246" spans="1:37" hidden="1">
      <c r="A246" s="3">
        <v>244</v>
      </c>
      <c r="B246" s="12"/>
      <c r="C246" s="13"/>
      <c r="D246" s="13"/>
      <c r="E246" s="13"/>
      <c r="F246" s="13"/>
      <c r="G246" s="13"/>
      <c r="H246" s="28"/>
      <c r="I246" s="24" t="s">
        <v>255</v>
      </c>
      <c r="J246" s="24" t="s">
        <v>1389</v>
      </c>
      <c r="K246" s="26" t="s">
        <v>666</v>
      </c>
      <c r="L246" s="26" t="s">
        <v>569</v>
      </c>
      <c r="M246" s="66">
        <f>IFERROR(VLOOKUP($L246,[1]Consolidated!$C$9:$AC$341,27,0),0)</f>
        <v>14210000</v>
      </c>
      <c r="N246" s="66">
        <f>IFERROR(VLOOKUP($L246,[1]Consolidated!$C$9:$AC$341,5,0),0)</f>
        <v>80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4">
        <f>(VLOOKUP($O$2,Prices!$E$3:$F$17,2,FALSE)*Urban!O246)+(VLOOKUP($P$2,Prices!$E$3:$F$17,2,FALSE)*Urban!P246)+(VLOOKUP($Q$2,Prices!$E$3:$F$17,2,FALSE)*Urban!Q246)+(VLOOKUP($R$2,Prices!$E$3:$F$17,2,FALSE)*Urban!R246)+(VLOOKUP($S$2,Prices!$E$3:$F$17,2,FALSE)*Urban!S246)+(VLOOKUP($T$2,Prices!$E$3:$F$17,2,FALSE)*Urban!T246)+(VLOOKUP($U$2,Prices!$E$3:$F$17,2,FALSE)*Urban!U246)+(VLOOKUP($V$2,Prices!$E$3:$F$17,2,FALSE)*Urban!V246)+(VLOOKUP($W$2,Prices!$E$3:$F$17,2,FALSE)*Urban!W246)+(VLOOKUP($X$2,Prices!$E$3:$F$17,2,FALSE)*Urban!X246)+(VLOOKUP($Y$2,Prices!$E$3:$F$17,2,FALSE)*Urban!Y246)+(VLOOKUP($Z$2,Prices!$E$3:$F$17,2,FALSE)*Urban!Z246)+(VLOOKUP($AA$2,Prices!$E$3:$F$17,2,FALSE)*Urban!AA246)+(VLOOKUP($AB$2,Prices!$E$3:$F$17,2,FALSE)*Urban!AB246)+M246</f>
        <v>14210000</v>
      </c>
      <c r="AD246" s="18"/>
      <c r="AE246" s="18"/>
      <c r="AF246" s="4">
        <f t="shared" si="12"/>
        <v>0</v>
      </c>
      <c r="AG246" s="4"/>
      <c r="AH246" s="16">
        <f t="shared" si="13"/>
        <v>0</v>
      </c>
      <c r="AI246" s="21">
        <f t="shared" si="14"/>
        <v>0</v>
      </c>
      <c r="AJ246" s="20">
        <f t="shared" si="15"/>
        <v>0</v>
      </c>
      <c r="AK246" s="9"/>
    </row>
    <row r="247" spans="1:37" hidden="1">
      <c r="A247" s="3">
        <v>245</v>
      </c>
      <c r="B247" s="12"/>
      <c r="C247" s="13"/>
      <c r="D247" s="13"/>
      <c r="E247" s="13"/>
      <c r="F247" s="13"/>
      <c r="G247" s="13"/>
      <c r="H247" s="28"/>
      <c r="I247" s="24" t="s">
        <v>256</v>
      </c>
      <c r="J247" s="24" t="s">
        <v>1389</v>
      </c>
      <c r="K247" s="26" t="s">
        <v>666</v>
      </c>
      <c r="L247" s="26" t="s">
        <v>570</v>
      </c>
      <c r="M247" s="66">
        <f>IFERROR(VLOOKUP($L247,[1]Consolidated!$C$9:$AC$341,27,0),0)</f>
        <v>16820000</v>
      </c>
      <c r="N247" s="66">
        <f>IFERROR(VLOOKUP($L247,[1]Consolidated!$C$9:$AC$341,5,0),0)</f>
        <v>90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4">
        <f>(VLOOKUP($O$2,Prices!$E$3:$F$17,2,FALSE)*Urban!O247)+(VLOOKUP($P$2,Prices!$E$3:$F$17,2,FALSE)*Urban!P247)+(VLOOKUP($Q$2,Prices!$E$3:$F$17,2,FALSE)*Urban!Q247)+(VLOOKUP($R$2,Prices!$E$3:$F$17,2,FALSE)*Urban!R247)+(VLOOKUP($S$2,Prices!$E$3:$F$17,2,FALSE)*Urban!S247)+(VLOOKUP($T$2,Prices!$E$3:$F$17,2,FALSE)*Urban!T247)+(VLOOKUP($U$2,Prices!$E$3:$F$17,2,FALSE)*Urban!U247)+(VLOOKUP($V$2,Prices!$E$3:$F$17,2,FALSE)*Urban!V247)+(VLOOKUP($W$2,Prices!$E$3:$F$17,2,FALSE)*Urban!W247)+(VLOOKUP($X$2,Prices!$E$3:$F$17,2,FALSE)*Urban!X247)+(VLOOKUP($Y$2,Prices!$E$3:$F$17,2,FALSE)*Urban!Y247)+(VLOOKUP($Z$2,Prices!$E$3:$F$17,2,FALSE)*Urban!Z247)+(VLOOKUP($AA$2,Prices!$E$3:$F$17,2,FALSE)*Urban!AA247)+(VLOOKUP($AB$2,Prices!$E$3:$F$17,2,FALSE)*Urban!AB247)+M247</f>
        <v>16820000</v>
      </c>
      <c r="AD247" s="18"/>
      <c r="AE247" s="18"/>
      <c r="AF247" s="4">
        <f t="shared" si="12"/>
        <v>0</v>
      </c>
      <c r="AG247" s="4"/>
      <c r="AH247" s="16">
        <f t="shared" si="13"/>
        <v>0</v>
      </c>
      <c r="AI247" s="21">
        <f t="shared" si="14"/>
        <v>0</v>
      </c>
      <c r="AJ247" s="20">
        <f t="shared" si="15"/>
        <v>0</v>
      </c>
      <c r="AK247" s="9"/>
    </row>
    <row r="248" spans="1:37" hidden="1">
      <c r="A248" s="3">
        <v>246</v>
      </c>
      <c r="B248" s="12"/>
      <c r="C248" s="13"/>
      <c r="D248" s="13"/>
      <c r="E248" s="13"/>
      <c r="F248" s="13"/>
      <c r="G248" s="13"/>
      <c r="H248" s="28"/>
      <c r="I248" s="39" t="s">
        <v>292</v>
      </c>
      <c r="J248" s="24" t="s">
        <v>1389</v>
      </c>
      <c r="K248" s="26" t="s">
        <v>666</v>
      </c>
      <c r="L248" s="26" t="s">
        <v>606</v>
      </c>
      <c r="M248" s="41">
        <f>IFERROR(VLOOKUP($L248,'[2]Top WH -National'!$D$9:$AC$124,26,0),0)</f>
        <v>57550000</v>
      </c>
      <c r="N248" s="41">
        <f>IFERROR(VLOOKUP($L248,'[2]Top WH -National'!$D$9:$AC$124,4,0),0)</f>
        <v>290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4">
        <f>(VLOOKUP($O$2,Prices!$E$3:$F$17,2,FALSE)*Urban!O248)+(VLOOKUP($P$2,Prices!$E$3:$F$17,2,FALSE)*Urban!P248)+(VLOOKUP($Q$2,Prices!$E$3:$F$17,2,FALSE)*Urban!Q248)+(VLOOKUP($R$2,Prices!$E$3:$F$17,2,FALSE)*Urban!R248)+(VLOOKUP($S$2,Prices!$E$3:$F$17,2,FALSE)*Urban!S248)+(VLOOKUP($T$2,Prices!$E$3:$F$17,2,FALSE)*Urban!T248)+(VLOOKUP($U$2,Prices!$E$3:$F$17,2,FALSE)*Urban!U248)+(VLOOKUP($V$2,Prices!$E$3:$F$17,2,FALSE)*Urban!V248)+(VLOOKUP($W$2,Prices!$E$3:$F$17,2,FALSE)*Urban!W248)+(VLOOKUP($X$2,Prices!$E$3:$F$17,2,FALSE)*Urban!X248)+(VLOOKUP($Y$2,Prices!$E$3:$F$17,2,FALSE)*Urban!Y248)+(VLOOKUP($Z$2,Prices!$E$3:$F$17,2,FALSE)*Urban!Z248)+(VLOOKUP($AA$2,Prices!$E$3:$F$17,2,FALSE)*Urban!AA248)+(VLOOKUP($AB$2,Prices!$E$3:$F$17,2,FALSE)*Urban!AB248)+M248</f>
        <v>57550000</v>
      </c>
      <c r="AD248" s="18"/>
      <c r="AE248" s="18"/>
      <c r="AF248" s="4">
        <f t="shared" si="12"/>
        <v>0</v>
      </c>
      <c r="AG248" s="4"/>
      <c r="AH248" s="16">
        <f t="shared" si="13"/>
        <v>0</v>
      </c>
      <c r="AI248" s="21">
        <f t="shared" si="14"/>
        <v>0</v>
      </c>
      <c r="AJ248" s="20">
        <f t="shared" si="15"/>
        <v>0</v>
      </c>
      <c r="AK248" s="19"/>
    </row>
    <row r="249" spans="1:37" hidden="1">
      <c r="A249" s="3">
        <v>247</v>
      </c>
      <c r="B249" s="12"/>
      <c r="C249" s="13"/>
      <c r="D249" s="13"/>
      <c r="E249" s="13"/>
      <c r="F249" s="13"/>
      <c r="G249" s="13"/>
      <c r="H249" s="28"/>
      <c r="I249" s="24" t="s">
        <v>257</v>
      </c>
      <c r="J249" s="24" t="s">
        <v>1389</v>
      </c>
      <c r="K249" s="26" t="s">
        <v>666</v>
      </c>
      <c r="L249" s="26" t="s">
        <v>571</v>
      </c>
      <c r="M249" s="66">
        <f>IFERROR(VLOOKUP($L249,[1]Consolidated!$C$9:$AC$341,27,0),0)</f>
        <v>37781000</v>
      </c>
      <c r="N249" s="66">
        <f>IFERROR(VLOOKUP($L249,[1]Consolidated!$C$9:$AC$341,5,0),0)</f>
        <v>200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4">
        <f>(VLOOKUP($O$2,Prices!$E$3:$F$17,2,FALSE)*Urban!O249)+(VLOOKUP($P$2,Prices!$E$3:$F$17,2,FALSE)*Urban!P249)+(VLOOKUP($Q$2,Prices!$E$3:$F$17,2,FALSE)*Urban!Q249)+(VLOOKUP($R$2,Prices!$E$3:$F$17,2,FALSE)*Urban!R249)+(VLOOKUP($S$2,Prices!$E$3:$F$17,2,FALSE)*Urban!S249)+(VLOOKUP($T$2,Prices!$E$3:$F$17,2,FALSE)*Urban!T249)+(VLOOKUP($U$2,Prices!$E$3:$F$17,2,FALSE)*Urban!U249)+(VLOOKUP($V$2,Prices!$E$3:$F$17,2,FALSE)*Urban!V249)+(VLOOKUP($W$2,Prices!$E$3:$F$17,2,FALSE)*Urban!W249)+(VLOOKUP($X$2,Prices!$E$3:$F$17,2,FALSE)*Urban!X249)+(VLOOKUP($Y$2,Prices!$E$3:$F$17,2,FALSE)*Urban!Y249)+(VLOOKUP($Z$2,Prices!$E$3:$F$17,2,FALSE)*Urban!Z249)+(VLOOKUP($AA$2,Prices!$E$3:$F$17,2,FALSE)*Urban!AA249)+(VLOOKUP($AB$2,Prices!$E$3:$F$17,2,FALSE)*Urban!AB249)+M249</f>
        <v>37781000</v>
      </c>
      <c r="AD249" s="18"/>
      <c r="AE249" s="18"/>
      <c r="AF249" s="4">
        <f t="shared" si="12"/>
        <v>0</v>
      </c>
      <c r="AG249" s="4"/>
      <c r="AH249" s="16">
        <f t="shared" si="13"/>
        <v>0</v>
      </c>
      <c r="AI249" s="21">
        <f t="shared" si="14"/>
        <v>0</v>
      </c>
      <c r="AJ249" s="20">
        <f t="shared" si="15"/>
        <v>0</v>
      </c>
      <c r="AK249" s="9"/>
    </row>
    <row r="250" spans="1:37" hidden="1">
      <c r="A250" s="3">
        <v>248</v>
      </c>
      <c r="B250" s="12"/>
      <c r="C250" s="13"/>
      <c r="D250" s="13"/>
      <c r="E250" s="13"/>
      <c r="F250" s="13"/>
      <c r="G250" s="13"/>
      <c r="H250" s="28"/>
      <c r="I250" s="24" t="s">
        <v>258</v>
      </c>
      <c r="J250" s="24" t="s">
        <v>1389</v>
      </c>
      <c r="K250" s="26" t="s">
        <v>667</v>
      </c>
      <c r="L250" s="26" t="s">
        <v>572</v>
      </c>
      <c r="M250" s="66">
        <f>IFERROR(VLOOKUP($L250,[1]Consolidated!$C$9:$AC$341,27,0),0)</f>
        <v>9690000</v>
      </c>
      <c r="N250" s="66">
        <f>IFERROR(VLOOKUP($L250,[1]Consolidated!$C$9:$AC$341,5,0),0)</f>
        <v>70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4">
        <f>(VLOOKUP($O$2,Prices!$E$3:$F$17,2,FALSE)*Urban!O250)+(VLOOKUP($P$2,Prices!$E$3:$F$17,2,FALSE)*Urban!P250)+(VLOOKUP($Q$2,Prices!$E$3:$F$17,2,FALSE)*Urban!Q250)+(VLOOKUP($R$2,Prices!$E$3:$F$17,2,FALSE)*Urban!R250)+(VLOOKUP($S$2,Prices!$E$3:$F$17,2,FALSE)*Urban!S250)+(VLOOKUP($T$2,Prices!$E$3:$F$17,2,FALSE)*Urban!T250)+(VLOOKUP($U$2,Prices!$E$3:$F$17,2,FALSE)*Urban!U250)+(VLOOKUP($V$2,Prices!$E$3:$F$17,2,FALSE)*Urban!V250)+(VLOOKUP($W$2,Prices!$E$3:$F$17,2,FALSE)*Urban!W250)+(VLOOKUP($X$2,Prices!$E$3:$F$17,2,FALSE)*Urban!X250)+(VLOOKUP($Y$2,Prices!$E$3:$F$17,2,FALSE)*Urban!Y250)+(VLOOKUP($Z$2,Prices!$E$3:$F$17,2,FALSE)*Urban!Z250)+(VLOOKUP($AA$2,Prices!$E$3:$F$17,2,FALSE)*Urban!AA250)+(VLOOKUP($AB$2,Prices!$E$3:$F$17,2,FALSE)*Urban!AB250)+M250</f>
        <v>9690000</v>
      </c>
      <c r="AD250" s="18"/>
      <c r="AE250" s="18"/>
      <c r="AF250" s="4">
        <f t="shared" si="12"/>
        <v>0</v>
      </c>
      <c r="AG250" s="4"/>
      <c r="AH250" s="16">
        <f t="shared" si="13"/>
        <v>0</v>
      </c>
      <c r="AI250" s="21">
        <f t="shared" si="14"/>
        <v>0</v>
      </c>
      <c r="AJ250" s="20">
        <f t="shared" si="15"/>
        <v>0</v>
      </c>
      <c r="AK250" s="9"/>
    </row>
    <row r="251" spans="1:37" hidden="1">
      <c r="A251" s="3">
        <v>249</v>
      </c>
      <c r="B251" s="12"/>
      <c r="C251" s="13"/>
      <c r="D251" s="13"/>
      <c r="E251" s="13"/>
      <c r="F251" s="13"/>
      <c r="G251" s="13"/>
      <c r="H251" s="28"/>
      <c r="I251" s="24" t="s">
        <v>259</v>
      </c>
      <c r="J251" s="24" t="s">
        <v>1389</v>
      </c>
      <c r="K251" s="26" t="s">
        <v>667</v>
      </c>
      <c r="L251" s="26" t="s">
        <v>573</v>
      </c>
      <c r="M251" s="66">
        <f>IFERROR(VLOOKUP($L251,[1]Consolidated!$C$9:$AC$341,27,0),0)</f>
        <v>16570000</v>
      </c>
      <c r="N251" s="66">
        <f>IFERROR(VLOOKUP($L251,[1]Consolidated!$C$9:$AC$341,5,0),0)</f>
        <v>120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4">
        <f>(VLOOKUP($O$2,Prices!$E$3:$F$17,2,FALSE)*Urban!O251)+(VLOOKUP($P$2,Prices!$E$3:$F$17,2,FALSE)*Urban!P251)+(VLOOKUP($Q$2,Prices!$E$3:$F$17,2,FALSE)*Urban!Q251)+(VLOOKUP($R$2,Prices!$E$3:$F$17,2,FALSE)*Urban!R251)+(VLOOKUP($S$2,Prices!$E$3:$F$17,2,FALSE)*Urban!S251)+(VLOOKUP($T$2,Prices!$E$3:$F$17,2,FALSE)*Urban!T251)+(VLOOKUP($U$2,Prices!$E$3:$F$17,2,FALSE)*Urban!U251)+(VLOOKUP($V$2,Prices!$E$3:$F$17,2,FALSE)*Urban!V251)+(VLOOKUP($W$2,Prices!$E$3:$F$17,2,FALSE)*Urban!W251)+(VLOOKUP($X$2,Prices!$E$3:$F$17,2,FALSE)*Urban!X251)+(VLOOKUP($Y$2,Prices!$E$3:$F$17,2,FALSE)*Urban!Y251)+(VLOOKUP($Z$2,Prices!$E$3:$F$17,2,FALSE)*Urban!Z251)+(VLOOKUP($AA$2,Prices!$E$3:$F$17,2,FALSE)*Urban!AA251)+(VLOOKUP($AB$2,Prices!$E$3:$F$17,2,FALSE)*Urban!AB251)+M251</f>
        <v>16570000</v>
      </c>
      <c r="AD251" s="18"/>
      <c r="AE251" s="18"/>
      <c r="AF251" s="4">
        <f t="shared" si="12"/>
        <v>0</v>
      </c>
      <c r="AG251" s="4"/>
      <c r="AH251" s="16">
        <f t="shared" si="13"/>
        <v>0</v>
      </c>
      <c r="AI251" s="21">
        <f t="shared" si="14"/>
        <v>0</v>
      </c>
      <c r="AJ251" s="20">
        <f t="shared" si="15"/>
        <v>0</v>
      </c>
      <c r="AK251" s="9"/>
    </row>
    <row r="252" spans="1:37" hidden="1">
      <c r="A252" s="3">
        <v>250</v>
      </c>
      <c r="B252" s="12"/>
      <c r="C252" s="13"/>
      <c r="D252" s="13"/>
      <c r="E252" s="13"/>
      <c r="F252" s="13"/>
      <c r="G252" s="13"/>
      <c r="H252" s="28"/>
      <c r="I252" s="24" t="s">
        <v>260</v>
      </c>
      <c r="J252" s="24" t="s">
        <v>1389</v>
      </c>
      <c r="K252" s="26" t="s">
        <v>667</v>
      </c>
      <c r="L252" s="26" t="s">
        <v>574</v>
      </c>
      <c r="M252" s="66">
        <f>IFERROR(VLOOKUP($L252,[1]Consolidated!$C$9:$AC$341,27,0),0)</f>
        <v>0</v>
      </c>
      <c r="N252" s="66">
        <f>IFERROR(VLOOKUP($L252,[1]Consolidated!$C$9:$AC$341,5,0),0)</f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4">
        <f>(VLOOKUP($O$2,Prices!$E$3:$F$17,2,FALSE)*Urban!O252)+(VLOOKUP($P$2,Prices!$E$3:$F$17,2,FALSE)*Urban!P252)+(VLOOKUP($Q$2,Prices!$E$3:$F$17,2,FALSE)*Urban!Q252)+(VLOOKUP($R$2,Prices!$E$3:$F$17,2,FALSE)*Urban!R252)+(VLOOKUP($S$2,Prices!$E$3:$F$17,2,FALSE)*Urban!S252)+(VLOOKUP($T$2,Prices!$E$3:$F$17,2,FALSE)*Urban!T252)+(VLOOKUP($U$2,Prices!$E$3:$F$17,2,FALSE)*Urban!U252)+(VLOOKUP($V$2,Prices!$E$3:$F$17,2,FALSE)*Urban!V252)+(VLOOKUP($W$2,Prices!$E$3:$F$17,2,FALSE)*Urban!W252)+(VLOOKUP($X$2,Prices!$E$3:$F$17,2,FALSE)*Urban!X252)+(VLOOKUP($Y$2,Prices!$E$3:$F$17,2,FALSE)*Urban!Y252)+(VLOOKUP($Z$2,Prices!$E$3:$F$17,2,FALSE)*Urban!Z252)+(VLOOKUP($AA$2,Prices!$E$3:$F$17,2,FALSE)*Urban!AA252)+(VLOOKUP($AB$2,Prices!$E$3:$F$17,2,FALSE)*Urban!AB252)+M252</f>
        <v>0</v>
      </c>
      <c r="AD252" s="18"/>
      <c r="AE252" s="18"/>
      <c r="AF252" s="4">
        <f t="shared" si="12"/>
        <v>0</v>
      </c>
      <c r="AG252" s="4"/>
      <c r="AH252" s="16">
        <f t="shared" si="13"/>
        <v>0</v>
      </c>
      <c r="AI252" s="21" t="e">
        <f t="shared" si="14"/>
        <v>#DIV/0!</v>
      </c>
      <c r="AJ252" s="20" t="e">
        <f t="shared" si="15"/>
        <v>#DIV/0!</v>
      </c>
      <c r="AK252" s="9"/>
    </row>
    <row r="253" spans="1:37" hidden="1">
      <c r="A253" s="3">
        <v>251</v>
      </c>
      <c r="B253" s="12"/>
      <c r="C253" s="13"/>
      <c r="D253" s="13"/>
      <c r="E253" s="13"/>
      <c r="F253" s="13"/>
      <c r="G253" s="13"/>
      <c r="H253" s="28"/>
      <c r="I253" s="39" t="s">
        <v>261</v>
      </c>
      <c r="J253" s="24" t="s">
        <v>1389</v>
      </c>
      <c r="K253" s="26" t="s">
        <v>667</v>
      </c>
      <c r="L253" s="26" t="s">
        <v>575</v>
      </c>
      <c r="M253" s="41">
        <f>IFERROR(VLOOKUP($L253,'[2]Top WH -National'!$D$9:$AC$124,26,0),0)</f>
        <v>46878000</v>
      </c>
      <c r="N253" s="41">
        <f>IFERROR(VLOOKUP($L253,'[2]Top WH -National'!$D$9:$AC$124,4,0),0)</f>
        <v>321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4">
        <f>(VLOOKUP($O$2,Prices!$E$3:$F$17,2,FALSE)*Urban!O253)+(VLOOKUP($P$2,Prices!$E$3:$F$17,2,FALSE)*Urban!P253)+(VLOOKUP($Q$2,Prices!$E$3:$F$17,2,FALSE)*Urban!Q253)+(VLOOKUP($R$2,Prices!$E$3:$F$17,2,FALSE)*Urban!R253)+(VLOOKUP($S$2,Prices!$E$3:$F$17,2,FALSE)*Urban!S253)+(VLOOKUP($T$2,Prices!$E$3:$F$17,2,FALSE)*Urban!T253)+(VLOOKUP($U$2,Prices!$E$3:$F$17,2,FALSE)*Urban!U253)+(VLOOKUP($V$2,Prices!$E$3:$F$17,2,FALSE)*Urban!V253)+(VLOOKUP($W$2,Prices!$E$3:$F$17,2,FALSE)*Urban!W253)+(VLOOKUP($X$2,Prices!$E$3:$F$17,2,FALSE)*Urban!X253)+(VLOOKUP($Y$2,Prices!$E$3:$F$17,2,FALSE)*Urban!Y253)+(VLOOKUP($Z$2,Prices!$E$3:$F$17,2,FALSE)*Urban!Z253)+(VLOOKUP($AA$2,Prices!$E$3:$F$17,2,FALSE)*Urban!AA253)+(VLOOKUP($AB$2,Prices!$E$3:$F$17,2,FALSE)*Urban!AB253)+M253</f>
        <v>46878000</v>
      </c>
      <c r="AD253" s="18"/>
      <c r="AE253" s="18"/>
      <c r="AF253" s="4">
        <f t="shared" si="12"/>
        <v>0</v>
      </c>
      <c r="AG253" s="4"/>
      <c r="AH253" s="16">
        <f t="shared" si="13"/>
        <v>0</v>
      </c>
      <c r="AI253" s="21">
        <f t="shared" si="14"/>
        <v>0</v>
      </c>
      <c r="AJ253" s="20">
        <f t="shared" si="15"/>
        <v>0</v>
      </c>
      <c r="AK253" s="9"/>
    </row>
    <row r="254" spans="1:37" hidden="1">
      <c r="A254" s="3">
        <v>252</v>
      </c>
      <c r="B254" s="12"/>
      <c r="C254" s="13"/>
      <c r="D254" s="13"/>
      <c r="E254" s="13"/>
      <c r="F254" s="13"/>
      <c r="G254" s="13"/>
      <c r="H254" s="28"/>
      <c r="I254" s="24" t="s">
        <v>262</v>
      </c>
      <c r="J254" s="24" t="s">
        <v>1389</v>
      </c>
      <c r="K254" s="26" t="s">
        <v>667</v>
      </c>
      <c r="L254" s="26" t="s">
        <v>576</v>
      </c>
      <c r="M254" s="66">
        <f>IFERROR(VLOOKUP($L254,[1]Consolidated!$C$9:$AC$341,27,0),0)</f>
        <v>39685000</v>
      </c>
      <c r="N254" s="66">
        <f>IFERROR(VLOOKUP($L254,[1]Consolidated!$C$9:$AC$341,5,0),0)</f>
        <v>300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4">
        <f>(VLOOKUP($O$2,Prices!$E$3:$F$17,2,FALSE)*Urban!O254)+(VLOOKUP($P$2,Prices!$E$3:$F$17,2,FALSE)*Urban!P254)+(VLOOKUP($Q$2,Prices!$E$3:$F$17,2,FALSE)*Urban!Q254)+(VLOOKUP($R$2,Prices!$E$3:$F$17,2,FALSE)*Urban!R254)+(VLOOKUP($S$2,Prices!$E$3:$F$17,2,FALSE)*Urban!S254)+(VLOOKUP($T$2,Prices!$E$3:$F$17,2,FALSE)*Urban!T254)+(VLOOKUP($U$2,Prices!$E$3:$F$17,2,FALSE)*Urban!U254)+(VLOOKUP($V$2,Prices!$E$3:$F$17,2,FALSE)*Urban!V254)+(VLOOKUP($W$2,Prices!$E$3:$F$17,2,FALSE)*Urban!W254)+(VLOOKUP($X$2,Prices!$E$3:$F$17,2,FALSE)*Urban!X254)+(VLOOKUP($Y$2,Prices!$E$3:$F$17,2,FALSE)*Urban!Y254)+(VLOOKUP($Z$2,Prices!$E$3:$F$17,2,FALSE)*Urban!Z254)+(VLOOKUP($AA$2,Prices!$E$3:$F$17,2,FALSE)*Urban!AA254)+(VLOOKUP($AB$2,Prices!$E$3:$F$17,2,FALSE)*Urban!AB254)+M254</f>
        <v>39685000</v>
      </c>
      <c r="AD254" s="18"/>
      <c r="AE254" s="18"/>
      <c r="AF254" s="4">
        <f t="shared" si="12"/>
        <v>0</v>
      </c>
      <c r="AG254" s="4"/>
      <c r="AH254" s="16">
        <f t="shared" si="13"/>
        <v>0</v>
      </c>
      <c r="AI254" s="21">
        <f t="shared" si="14"/>
        <v>0</v>
      </c>
      <c r="AJ254" s="20">
        <f t="shared" si="15"/>
        <v>0</v>
      </c>
      <c r="AK254" s="9"/>
    </row>
    <row r="255" spans="1:37" hidden="1">
      <c r="A255" s="3">
        <v>253</v>
      </c>
      <c r="B255" s="12"/>
      <c r="C255" s="13"/>
      <c r="D255" s="13"/>
      <c r="E255" s="13"/>
      <c r="F255" s="13"/>
      <c r="G255" s="13"/>
      <c r="H255" s="28"/>
      <c r="I255" s="40" t="s">
        <v>263</v>
      </c>
      <c r="J255" s="24" t="s">
        <v>1389</v>
      </c>
      <c r="K255" s="26" t="s">
        <v>667</v>
      </c>
      <c r="L255" s="26" t="s">
        <v>577</v>
      </c>
      <c r="M255" s="41">
        <f>IFERROR(VLOOKUP($L255,'[2]Top WH -National'!$D$9:$AC$124,26,0),0)</f>
        <v>88725000</v>
      </c>
      <c r="N255" s="41">
        <f>IFERROR(VLOOKUP($L255,'[2]Top WH -National'!$D$9:$AC$124,4,0),0)</f>
        <v>636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4">
        <f>(VLOOKUP($O$2,Prices!$E$3:$F$17,2,FALSE)*Urban!O255)+(VLOOKUP($P$2,Prices!$E$3:$F$17,2,FALSE)*Urban!P255)+(VLOOKUP($Q$2,Prices!$E$3:$F$17,2,FALSE)*Urban!Q255)+(VLOOKUP($R$2,Prices!$E$3:$F$17,2,FALSE)*Urban!R255)+(VLOOKUP($S$2,Prices!$E$3:$F$17,2,FALSE)*Urban!S255)+(VLOOKUP($T$2,Prices!$E$3:$F$17,2,FALSE)*Urban!T255)+(VLOOKUP($U$2,Prices!$E$3:$F$17,2,FALSE)*Urban!U255)+(VLOOKUP($V$2,Prices!$E$3:$F$17,2,FALSE)*Urban!V255)+(VLOOKUP($W$2,Prices!$E$3:$F$17,2,FALSE)*Urban!W255)+(VLOOKUP($X$2,Prices!$E$3:$F$17,2,FALSE)*Urban!X255)+(VLOOKUP($Y$2,Prices!$E$3:$F$17,2,FALSE)*Urban!Y255)+(VLOOKUP($Z$2,Prices!$E$3:$F$17,2,FALSE)*Urban!Z255)+(VLOOKUP($AA$2,Prices!$E$3:$F$17,2,FALSE)*Urban!AA255)+(VLOOKUP($AB$2,Prices!$E$3:$F$17,2,FALSE)*Urban!AB255)+M255</f>
        <v>88725000</v>
      </c>
      <c r="AD255" s="18"/>
      <c r="AE255" s="18"/>
      <c r="AF255" s="4">
        <f t="shared" si="12"/>
        <v>0</v>
      </c>
      <c r="AG255" s="4"/>
      <c r="AH255" s="16">
        <f t="shared" si="13"/>
        <v>0</v>
      </c>
      <c r="AI255" s="21">
        <f t="shared" si="14"/>
        <v>0</v>
      </c>
      <c r="AJ255" s="20">
        <f t="shared" si="15"/>
        <v>0</v>
      </c>
      <c r="AK255" s="9"/>
    </row>
    <row r="256" spans="1:37" hidden="1">
      <c r="A256" s="3">
        <v>254</v>
      </c>
      <c r="B256" s="12"/>
      <c r="C256" s="13"/>
      <c r="D256" s="13"/>
      <c r="E256" s="13"/>
      <c r="F256" s="13"/>
      <c r="G256" s="13"/>
      <c r="H256" s="28"/>
      <c r="I256" s="24" t="s">
        <v>264</v>
      </c>
      <c r="J256" s="24" t="s">
        <v>1389</v>
      </c>
      <c r="K256" s="26" t="s">
        <v>667</v>
      </c>
      <c r="L256" s="26" t="s">
        <v>578</v>
      </c>
      <c r="M256" s="66">
        <f>IFERROR(VLOOKUP($L256,[1]Consolidated!$C$9:$AC$341,27,0),0)</f>
        <v>14869000</v>
      </c>
      <c r="N256" s="66">
        <f>IFERROR(VLOOKUP($L256,[1]Consolidated!$C$9:$AC$341,5,0),0)</f>
        <v>100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4">
        <f>(VLOOKUP($O$2,Prices!$E$3:$F$17,2,FALSE)*Urban!O256)+(VLOOKUP($P$2,Prices!$E$3:$F$17,2,FALSE)*Urban!P256)+(VLOOKUP($Q$2,Prices!$E$3:$F$17,2,FALSE)*Urban!Q256)+(VLOOKUP($R$2,Prices!$E$3:$F$17,2,FALSE)*Urban!R256)+(VLOOKUP($S$2,Prices!$E$3:$F$17,2,FALSE)*Urban!S256)+(VLOOKUP($T$2,Prices!$E$3:$F$17,2,FALSE)*Urban!T256)+(VLOOKUP($U$2,Prices!$E$3:$F$17,2,FALSE)*Urban!U256)+(VLOOKUP($V$2,Prices!$E$3:$F$17,2,FALSE)*Urban!V256)+(VLOOKUP($W$2,Prices!$E$3:$F$17,2,FALSE)*Urban!W256)+(VLOOKUP($X$2,Prices!$E$3:$F$17,2,FALSE)*Urban!X256)+(VLOOKUP($Y$2,Prices!$E$3:$F$17,2,FALSE)*Urban!Y256)+(VLOOKUP($Z$2,Prices!$E$3:$F$17,2,FALSE)*Urban!Z256)+(VLOOKUP($AA$2,Prices!$E$3:$F$17,2,FALSE)*Urban!AA256)+(VLOOKUP($AB$2,Prices!$E$3:$F$17,2,FALSE)*Urban!AB256)+M256</f>
        <v>14869000</v>
      </c>
      <c r="AD256" s="18"/>
      <c r="AE256" s="18"/>
      <c r="AF256" s="4">
        <f t="shared" si="12"/>
        <v>0</v>
      </c>
      <c r="AG256" s="4"/>
      <c r="AH256" s="16">
        <f t="shared" si="13"/>
        <v>0</v>
      </c>
      <c r="AI256" s="21">
        <f t="shared" si="14"/>
        <v>0</v>
      </c>
      <c r="AJ256" s="20">
        <f t="shared" si="15"/>
        <v>0</v>
      </c>
      <c r="AK256" s="9"/>
    </row>
    <row r="257" spans="1:37" hidden="1">
      <c r="A257" s="3">
        <v>255</v>
      </c>
      <c r="B257" s="12"/>
      <c r="C257" s="13"/>
      <c r="D257" s="13"/>
      <c r="E257" s="13"/>
      <c r="F257" s="13"/>
      <c r="G257" s="13"/>
      <c r="H257" s="28"/>
      <c r="I257" s="24" t="s">
        <v>265</v>
      </c>
      <c r="J257" s="24" t="s">
        <v>1389</v>
      </c>
      <c r="K257" s="26" t="s">
        <v>667</v>
      </c>
      <c r="L257" s="26" t="s">
        <v>579</v>
      </c>
      <c r="M257" s="66">
        <f>IFERROR(VLOOKUP($L257,[1]Consolidated!$C$9:$AC$341,27,0),0)</f>
        <v>17719000</v>
      </c>
      <c r="N257" s="66">
        <f>IFERROR(VLOOKUP($L257,[1]Consolidated!$C$9:$AC$341,5,0),0)</f>
        <v>120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4">
        <f>(VLOOKUP($O$2,Prices!$E$3:$F$17,2,FALSE)*Urban!O257)+(VLOOKUP($P$2,Prices!$E$3:$F$17,2,FALSE)*Urban!P257)+(VLOOKUP($Q$2,Prices!$E$3:$F$17,2,FALSE)*Urban!Q257)+(VLOOKUP($R$2,Prices!$E$3:$F$17,2,FALSE)*Urban!R257)+(VLOOKUP($S$2,Prices!$E$3:$F$17,2,FALSE)*Urban!S257)+(VLOOKUP($T$2,Prices!$E$3:$F$17,2,FALSE)*Urban!T257)+(VLOOKUP($U$2,Prices!$E$3:$F$17,2,FALSE)*Urban!U257)+(VLOOKUP($V$2,Prices!$E$3:$F$17,2,FALSE)*Urban!V257)+(VLOOKUP($W$2,Prices!$E$3:$F$17,2,FALSE)*Urban!W257)+(VLOOKUP($X$2,Prices!$E$3:$F$17,2,FALSE)*Urban!X257)+(VLOOKUP($Y$2,Prices!$E$3:$F$17,2,FALSE)*Urban!Y257)+(VLOOKUP($Z$2,Prices!$E$3:$F$17,2,FALSE)*Urban!Z257)+(VLOOKUP($AA$2,Prices!$E$3:$F$17,2,FALSE)*Urban!AA257)+(VLOOKUP($AB$2,Prices!$E$3:$F$17,2,FALSE)*Urban!AB257)+M257</f>
        <v>17719000</v>
      </c>
      <c r="AD257" s="18"/>
      <c r="AE257" s="18"/>
      <c r="AF257" s="4">
        <f t="shared" si="12"/>
        <v>0</v>
      </c>
      <c r="AG257" s="4"/>
      <c r="AH257" s="16">
        <f t="shared" si="13"/>
        <v>0</v>
      </c>
      <c r="AI257" s="21">
        <f t="shared" si="14"/>
        <v>0</v>
      </c>
      <c r="AJ257" s="20">
        <f t="shared" si="15"/>
        <v>0</v>
      </c>
      <c r="AK257" s="9"/>
    </row>
    <row r="258" spans="1:37" hidden="1">
      <c r="A258" s="3">
        <v>256</v>
      </c>
      <c r="B258" s="12"/>
      <c r="C258" s="13"/>
      <c r="D258" s="13"/>
      <c r="E258" s="13"/>
      <c r="F258" s="13"/>
      <c r="G258" s="13"/>
      <c r="H258" s="28"/>
      <c r="I258" s="39" t="s">
        <v>266</v>
      </c>
      <c r="J258" s="24" t="s">
        <v>1389</v>
      </c>
      <c r="K258" s="26" t="s">
        <v>667</v>
      </c>
      <c r="L258" s="26" t="s">
        <v>580</v>
      </c>
      <c r="M258" s="41">
        <f>IFERROR(VLOOKUP($L258,'[2]Top WH -National'!$D$9:$AC$124,26,0),0)</f>
        <v>88840000</v>
      </c>
      <c r="N258" s="41">
        <f>IFERROR(VLOOKUP($L258,'[2]Top WH -National'!$D$9:$AC$124,4,0),0)</f>
        <v>636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4">
        <f>(VLOOKUP($O$2,Prices!$E$3:$F$17,2,FALSE)*Urban!O258)+(VLOOKUP($P$2,Prices!$E$3:$F$17,2,FALSE)*Urban!P258)+(VLOOKUP($Q$2,Prices!$E$3:$F$17,2,FALSE)*Urban!Q258)+(VLOOKUP($R$2,Prices!$E$3:$F$17,2,FALSE)*Urban!R258)+(VLOOKUP($S$2,Prices!$E$3:$F$17,2,FALSE)*Urban!S258)+(VLOOKUP($T$2,Prices!$E$3:$F$17,2,FALSE)*Urban!T258)+(VLOOKUP($U$2,Prices!$E$3:$F$17,2,FALSE)*Urban!U258)+(VLOOKUP($V$2,Prices!$E$3:$F$17,2,FALSE)*Urban!V258)+(VLOOKUP($W$2,Prices!$E$3:$F$17,2,FALSE)*Urban!W258)+(VLOOKUP($X$2,Prices!$E$3:$F$17,2,FALSE)*Urban!X258)+(VLOOKUP($Y$2,Prices!$E$3:$F$17,2,FALSE)*Urban!Y258)+(VLOOKUP($Z$2,Prices!$E$3:$F$17,2,FALSE)*Urban!Z258)+(VLOOKUP($AA$2,Prices!$E$3:$F$17,2,FALSE)*Urban!AA258)+(VLOOKUP($AB$2,Prices!$E$3:$F$17,2,FALSE)*Urban!AB258)+M258</f>
        <v>88840000</v>
      </c>
      <c r="AD258" s="18"/>
      <c r="AE258" s="18"/>
      <c r="AF258" s="4">
        <f t="shared" si="12"/>
        <v>0</v>
      </c>
      <c r="AG258" s="4"/>
      <c r="AH258" s="16">
        <f t="shared" si="13"/>
        <v>0</v>
      </c>
      <c r="AI258" s="21">
        <f t="shared" si="14"/>
        <v>0</v>
      </c>
      <c r="AJ258" s="20">
        <f t="shared" si="15"/>
        <v>0</v>
      </c>
      <c r="AK258" s="9"/>
    </row>
    <row r="259" spans="1:37" hidden="1">
      <c r="A259" s="3">
        <v>257</v>
      </c>
      <c r="B259" s="12"/>
      <c r="C259" s="13"/>
      <c r="D259" s="13"/>
      <c r="E259" s="13"/>
      <c r="F259" s="13"/>
      <c r="G259" s="13"/>
      <c r="H259" s="28"/>
      <c r="I259" s="24" t="s">
        <v>267</v>
      </c>
      <c r="J259" s="24" t="s">
        <v>1389</v>
      </c>
      <c r="K259" s="26" t="s">
        <v>667</v>
      </c>
      <c r="L259" s="26" t="s">
        <v>581</v>
      </c>
      <c r="M259" s="66">
        <f>IFERROR(VLOOKUP($L259,[1]Consolidated!$C$9:$AC$341,27,0),0)</f>
        <v>16570000</v>
      </c>
      <c r="N259" s="66">
        <f>IFERROR(VLOOKUP($L259,[1]Consolidated!$C$9:$AC$341,5,0),0)</f>
        <v>120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4">
        <f>(VLOOKUP($O$2,Prices!$E$3:$F$17,2,FALSE)*Urban!O259)+(VLOOKUP($P$2,Prices!$E$3:$F$17,2,FALSE)*Urban!P259)+(VLOOKUP($Q$2,Prices!$E$3:$F$17,2,FALSE)*Urban!Q259)+(VLOOKUP($R$2,Prices!$E$3:$F$17,2,FALSE)*Urban!R259)+(VLOOKUP($S$2,Prices!$E$3:$F$17,2,FALSE)*Urban!S259)+(VLOOKUP($T$2,Prices!$E$3:$F$17,2,FALSE)*Urban!T259)+(VLOOKUP($U$2,Prices!$E$3:$F$17,2,FALSE)*Urban!U259)+(VLOOKUP($V$2,Prices!$E$3:$F$17,2,FALSE)*Urban!V259)+(VLOOKUP($W$2,Prices!$E$3:$F$17,2,FALSE)*Urban!W259)+(VLOOKUP($X$2,Prices!$E$3:$F$17,2,FALSE)*Urban!X259)+(VLOOKUP($Y$2,Prices!$E$3:$F$17,2,FALSE)*Urban!Y259)+(VLOOKUP($Z$2,Prices!$E$3:$F$17,2,FALSE)*Urban!Z259)+(VLOOKUP($AA$2,Prices!$E$3:$F$17,2,FALSE)*Urban!AA259)+(VLOOKUP($AB$2,Prices!$E$3:$F$17,2,FALSE)*Urban!AB259)+M259</f>
        <v>16570000</v>
      </c>
      <c r="AD259" s="18"/>
      <c r="AE259" s="18"/>
      <c r="AF259" s="4">
        <f t="shared" ref="AF259:AF322" si="16">AD259-AE259</f>
        <v>0</v>
      </c>
      <c r="AG259" s="4"/>
      <c r="AH259" s="16">
        <f t="shared" ref="AH259:AH322" si="17">AD259+AG259</f>
        <v>0</v>
      </c>
      <c r="AI259" s="21">
        <f t="shared" ref="AI259:AI322" si="18">AH259/M259</f>
        <v>0</v>
      </c>
      <c r="AJ259" s="20">
        <f t="shared" ref="AJ259:AJ322" si="19">AH259/AC259</f>
        <v>0</v>
      </c>
      <c r="AK259" s="9"/>
    </row>
    <row r="260" spans="1:37" hidden="1">
      <c r="A260" s="3">
        <v>258</v>
      </c>
      <c r="B260" s="12"/>
      <c r="C260" s="13"/>
      <c r="D260" s="13"/>
      <c r="E260" s="13"/>
      <c r="F260" s="13"/>
      <c r="G260" s="13"/>
      <c r="H260" s="28"/>
      <c r="I260" s="39" t="s">
        <v>268</v>
      </c>
      <c r="J260" s="24" t="s">
        <v>1389</v>
      </c>
      <c r="K260" s="26" t="s">
        <v>667</v>
      </c>
      <c r="L260" s="26" t="s">
        <v>582</v>
      </c>
      <c r="M260" s="41">
        <f>IFERROR(VLOOKUP($L260,'[2]Top WH -National'!$D$9:$AC$124,26,0),0)</f>
        <v>139015000</v>
      </c>
      <c r="N260" s="41">
        <f>IFERROR(VLOOKUP($L260,'[2]Top WH -National'!$D$9:$AC$124,4,0),0)</f>
        <v>984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4">
        <f>(VLOOKUP($O$2,Prices!$E$3:$F$17,2,FALSE)*Urban!O260)+(VLOOKUP($P$2,Prices!$E$3:$F$17,2,FALSE)*Urban!P260)+(VLOOKUP($Q$2,Prices!$E$3:$F$17,2,FALSE)*Urban!Q260)+(VLOOKUP($R$2,Prices!$E$3:$F$17,2,FALSE)*Urban!R260)+(VLOOKUP($S$2,Prices!$E$3:$F$17,2,FALSE)*Urban!S260)+(VLOOKUP($T$2,Prices!$E$3:$F$17,2,FALSE)*Urban!T260)+(VLOOKUP($U$2,Prices!$E$3:$F$17,2,FALSE)*Urban!U260)+(VLOOKUP($V$2,Prices!$E$3:$F$17,2,FALSE)*Urban!V260)+(VLOOKUP($W$2,Prices!$E$3:$F$17,2,FALSE)*Urban!W260)+(VLOOKUP($X$2,Prices!$E$3:$F$17,2,FALSE)*Urban!X260)+(VLOOKUP($Y$2,Prices!$E$3:$F$17,2,FALSE)*Urban!Y260)+(VLOOKUP($Z$2,Prices!$E$3:$F$17,2,FALSE)*Urban!Z260)+(VLOOKUP($AA$2,Prices!$E$3:$F$17,2,FALSE)*Urban!AA260)+(VLOOKUP($AB$2,Prices!$E$3:$F$17,2,FALSE)*Urban!AB260)+M260</f>
        <v>139015000</v>
      </c>
      <c r="AD260" s="18"/>
      <c r="AE260" s="18"/>
      <c r="AF260" s="4">
        <f t="shared" si="16"/>
        <v>0</v>
      </c>
      <c r="AG260" s="4"/>
      <c r="AH260" s="16">
        <f t="shared" si="17"/>
        <v>0</v>
      </c>
      <c r="AI260" s="21">
        <f t="shared" si="18"/>
        <v>0</v>
      </c>
      <c r="AJ260" s="20">
        <f t="shared" si="19"/>
        <v>0</v>
      </c>
      <c r="AK260" s="19"/>
    </row>
    <row r="261" spans="1:37" hidden="1">
      <c r="A261" s="3">
        <v>259</v>
      </c>
      <c r="B261" s="12"/>
      <c r="C261" s="13"/>
      <c r="D261" s="13"/>
      <c r="E261" s="13"/>
      <c r="F261" s="13"/>
      <c r="G261" s="13"/>
      <c r="H261" s="28"/>
      <c r="I261" s="24" t="s">
        <v>269</v>
      </c>
      <c r="J261" s="24" t="s">
        <v>1389</v>
      </c>
      <c r="K261" s="26" t="s">
        <v>667</v>
      </c>
      <c r="L261" s="26" t="s">
        <v>583</v>
      </c>
      <c r="M261" s="66">
        <f>IFERROR(VLOOKUP($L261,[1]Consolidated!$C$9:$AC$341,27,0),0)</f>
        <v>9582000</v>
      </c>
      <c r="N261" s="66">
        <f>IFERROR(VLOOKUP($L261,[1]Consolidated!$C$9:$AC$341,5,0),0)</f>
        <v>70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4">
        <f>(VLOOKUP($O$2,Prices!$E$3:$F$17,2,FALSE)*Urban!O261)+(VLOOKUP($P$2,Prices!$E$3:$F$17,2,FALSE)*Urban!P261)+(VLOOKUP($Q$2,Prices!$E$3:$F$17,2,FALSE)*Urban!Q261)+(VLOOKUP($R$2,Prices!$E$3:$F$17,2,FALSE)*Urban!R261)+(VLOOKUP($S$2,Prices!$E$3:$F$17,2,FALSE)*Urban!S261)+(VLOOKUP($T$2,Prices!$E$3:$F$17,2,FALSE)*Urban!T261)+(VLOOKUP($U$2,Prices!$E$3:$F$17,2,FALSE)*Urban!U261)+(VLOOKUP($V$2,Prices!$E$3:$F$17,2,FALSE)*Urban!V261)+(VLOOKUP($W$2,Prices!$E$3:$F$17,2,FALSE)*Urban!W261)+(VLOOKUP($X$2,Prices!$E$3:$F$17,2,FALSE)*Urban!X261)+(VLOOKUP($Y$2,Prices!$E$3:$F$17,2,FALSE)*Urban!Y261)+(VLOOKUP($Z$2,Prices!$E$3:$F$17,2,FALSE)*Urban!Z261)+(VLOOKUP($AA$2,Prices!$E$3:$F$17,2,FALSE)*Urban!AA261)+(VLOOKUP($AB$2,Prices!$E$3:$F$17,2,FALSE)*Urban!AB261)+M261</f>
        <v>9582000</v>
      </c>
      <c r="AD261" s="18"/>
      <c r="AE261" s="18"/>
      <c r="AF261" s="4">
        <f t="shared" si="16"/>
        <v>0</v>
      </c>
      <c r="AG261" s="4"/>
      <c r="AH261" s="16">
        <f t="shared" si="17"/>
        <v>0</v>
      </c>
      <c r="AI261" s="21">
        <f t="shared" si="18"/>
        <v>0</v>
      </c>
      <c r="AJ261" s="20">
        <f t="shared" si="19"/>
        <v>0</v>
      </c>
      <c r="AK261" s="9"/>
    </row>
    <row r="262" spans="1:37" hidden="1">
      <c r="A262" s="3">
        <v>260</v>
      </c>
      <c r="B262" s="12"/>
      <c r="C262" s="13"/>
      <c r="D262" s="13"/>
      <c r="E262" s="13"/>
      <c r="F262" s="13"/>
      <c r="G262" s="13"/>
      <c r="H262" s="28"/>
      <c r="I262" s="24" t="s">
        <v>270</v>
      </c>
      <c r="J262" s="24" t="s">
        <v>1389</v>
      </c>
      <c r="K262" s="26" t="s">
        <v>667</v>
      </c>
      <c r="L262" s="26" t="s">
        <v>584</v>
      </c>
      <c r="M262" s="66">
        <f>IFERROR(VLOOKUP($L262,[1]Consolidated!$C$9:$AC$341,27,0),0)</f>
        <v>18779000</v>
      </c>
      <c r="N262" s="66">
        <f>IFERROR(VLOOKUP($L262,[1]Consolidated!$C$9:$AC$341,5,0),0)</f>
        <v>120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4">
        <f>(VLOOKUP($O$2,Prices!$E$3:$F$17,2,FALSE)*Urban!O262)+(VLOOKUP($P$2,Prices!$E$3:$F$17,2,FALSE)*Urban!P262)+(VLOOKUP($Q$2,Prices!$E$3:$F$17,2,FALSE)*Urban!Q262)+(VLOOKUP($R$2,Prices!$E$3:$F$17,2,FALSE)*Urban!R262)+(VLOOKUP($S$2,Prices!$E$3:$F$17,2,FALSE)*Urban!S262)+(VLOOKUP($T$2,Prices!$E$3:$F$17,2,FALSE)*Urban!T262)+(VLOOKUP($U$2,Prices!$E$3:$F$17,2,FALSE)*Urban!U262)+(VLOOKUP($V$2,Prices!$E$3:$F$17,2,FALSE)*Urban!V262)+(VLOOKUP($W$2,Prices!$E$3:$F$17,2,FALSE)*Urban!W262)+(VLOOKUP($X$2,Prices!$E$3:$F$17,2,FALSE)*Urban!X262)+(VLOOKUP($Y$2,Prices!$E$3:$F$17,2,FALSE)*Urban!Y262)+(VLOOKUP($Z$2,Prices!$E$3:$F$17,2,FALSE)*Urban!Z262)+(VLOOKUP($AA$2,Prices!$E$3:$F$17,2,FALSE)*Urban!AA262)+(VLOOKUP($AB$2,Prices!$E$3:$F$17,2,FALSE)*Urban!AB262)+M262</f>
        <v>18779000</v>
      </c>
      <c r="AD262" s="18"/>
      <c r="AE262" s="18"/>
      <c r="AF262" s="4">
        <f t="shared" si="16"/>
        <v>0</v>
      </c>
      <c r="AG262" s="4"/>
      <c r="AH262" s="16">
        <f t="shared" si="17"/>
        <v>0</v>
      </c>
      <c r="AI262" s="21">
        <f t="shared" si="18"/>
        <v>0</v>
      </c>
      <c r="AJ262" s="20">
        <f t="shared" si="19"/>
        <v>0</v>
      </c>
      <c r="AK262" s="9"/>
    </row>
    <row r="263" spans="1:37" hidden="1">
      <c r="A263" s="3">
        <v>261</v>
      </c>
      <c r="B263" s="12"/>
      <c r="C263" s="13"/>
      <c r="D263" s="13"/>
      <c r="E263" s="13"/>
      <c r="F263" s="13"/>
      <c r="G263" s="13"/>
      <c r="H263" s="28"/>
      <c r="I263" s="39" t="s">
        <v>271</v>
      </c>
      <c r="J263" s="24" t="s">
        <v>1389</v>
      </c>
      <c r="K263" s="26" t="s">
        <v>667</v>
      </c>
      <c r="L263" s="26" t="s">
        <v>585</v>
      </c>
      <c r="M263" s="41">
        <f>IFERROR(VLOOKUP($L263,'[2]Top WH -National'!$D$9:$AC$124,26,0),0)</f>
        <v>53502000</v>
      </c>
      <c r="N263" s="41">
        <f>IFERROR(VLOOKUP($L263,'[2]Top WH -National'!$D$9:$AC$124,4,0),0)</f>
        <v>394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4">
        <f>(VLOOKUP($O$2,Prices!$E$3:$F$17,2,FALSE)*Urban!O263)+(VLOOKUP($P$2,Prices!$E$3:$F$17,2,FALSE)*Urban!P263)+(VLOOKUP($Q$2,Prices!$E$3:$F$17,2,FALSE)*Urban!Q263)+(VLOOKUP($R$2,Prices!$E$3:$F$17,2,FALSE)*Urban!R263)+(VLOOKUP($S$2,Prices!$E$3:$F$17,2,FALSE)*Urban!S263)+(VLOOKUP($T$2,Prices!$E$3:$F$17,2,FALSE)*Urban!T263)+(VLOOKUP($U$2,Prices!$E$3:$F$17,2,FALSE)*Urban!U263)+(VLOOKUP($V$2,Prices!$E$3:$F$17,2,FALSE)*Urban!V263)+(VLOOKUP($W$2,Prices!$E$3:$F$17,2,FALSE)*Urban!W263)+(VLOOKUP($X$2,Prices!$E$3:$F$17,2,FALSE)*Urban!X263)+(VLOOKUP($Y$2,Prices!$E$3:$F$17,2,FALSE)*Urban!Y263)+(VLOOKUP($Z$2,Prices!$E$3:$F$17,2,FALSE)*Urban!Z263)+(VLOOKUP($AA$2,Prices!$E$3:$F$17,2,FALSE)*Urban!AA263)+(VLOOKUP($AB$2,Prices!$E$3:$F$17,2,FALSE)*Urban!AB263)+M263</f>
        <v>53502000</v>
      </c>
      <c r="AD263" s="18"/>
      <c r="AE263" s="18"/>
      <c r="AF263" s="4">
        <f t="shared" si="16"/>
        <v>0</v>
      </c>
      <c r="AG263" s="4"/>
      <c r="AH263" s="16">
        <f t="shared" si="17"/>
        <v>0</v>
      </c>
      <c r="AI263" s="21">
        <f t="shared" si="18"/>
        <v>0</v>
      </c>
      <c r="AJ263" s="20">
        <f t="shared" si="19"/>
        <v>0</v>
      </c>
      <c r="AK263" s="9"/>
    </row>
    <row r="264" spans="1:37" hidden="1">
      <c r="A264" s="3">
        <v>262</v>
      </c>
      <c r="B264" s="12"/>
      <c r="C264" s="13"/>
      <c r="D264" s="13"/>
      <c r="E264" s="13"/>
      <c r="F264" s="13"/>
      <c r="G264" s="13"/>
      <c r="H264" s="28"/>
      <c r="I264" s="39" t="s">
        <v>272</v>
      </c>
      <c r="J264" s="24" t="s">
        <v>1389</v>
      </c>
      <c r="K264" s="26" t="s">
        <v>667</v>
      </c>
      <c r="L264" s="26" t="s">
        <v>586</v>
      </c>
      <c r="M264" s="41">
        <f>IFERROR(VLOOKUP($L264,'[2]Top WH -National'!$D$9:$AC$124,26,0),0)</f>
        <v>43588000</v>
      </c>
      <c r="N264" s="41">
        <f>IFERROR(VLOOKUP($L264,'[2]Top WH -National'!$D$9:$AC$124,4,0),0)</f>
        <v>299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4">
        <f>(VLOOKUP($O$2,Prices!$E$3:$F$17,2,FALSE)*Urban!O264)+(VLOOKUP($P$2,Prices!$E$3:$F$17,2,FALSE)*Urban!P264)+(VLOOKUP($Q$2,Prices!$E$3:$F$17,2,FALSE)*Urban!Q264)+(VLOOKUP($R$2,Prices!$E$3:$F$17,2,FALSE)*Urban!R264)+(VLOOKUP($S$2,Prices!$E$3:$F$17,2,FALSE)*Urban!S264)+(VLOOKUP($T$2,Prices!$E$3:$F$17,2,FALSE)*Urban!T264)+(VLOOKUP($U$2,Prices!$E$3:$F$17,2,FALSE)*Urban!U264)+(VLOOKUP($V$2,Prices!$E$3:$F$17,2,FALSE)*Urban!V264)+(VLOOKUP($W$2,Prices!$E$3:$F$17,2,FALSE)*Urban!W264)+(VLOOKUP($X$2,Prices!$E$3:$F$17,2,FALSE)*Urban!X264)+(VLOOKUP($Y$2,Prices!$E$3:$F$17,2,FALSE)*Urban!Y264)+(VLOOKUP($Z$2,Prices!$E$3:$F$17,2,FALSE)*Urban!Z264)+(VLOOKUP($AA$2,Prices!$E$3:$F$17,2,FALSE)*Urban!AA264)+(VLOOKUP($AB$2,Prices!$E$3:$F$17,2,FALSE)*Urban!AB264)+M264</f>
        <v>43588000</v>
      </c>
      <c r="AD264" s="18"/>
      <c r="AE264" s="18"/>
      <c r="AF264" s="4">
        <f t="shared" si="16"/>
        <v>0</v>
      </c>
      <c r="AG264" s="4"/>
      <c r="AH264" s="16">
        <f t="shared" si="17"/>
        <v>0</v>
      </c>
      <c r="AI264" s="21">
        <f t="shared" si="18"/>
        <v>0</v>
      </c>
      <c r="AJ264" s="20">
        <f t="shared" si="19"/>
        <v>0</v>
      </c>
      <c r="AK264" s="9"/>
    </row>
    <row r="265" spans="1:37" hidden="1">
      <c r="A265" s="3">
        <v>263</v>
      </c>
      <c r="B265" s="12"/>
      <c r="C265" s="13"/>
      <c r="D265" s="13"/>
      <c r="E265" s="13"/>
      <c r="F265" s="13"/>
      <c r="G265" s="13"/>
      <c r="H265" s="28"/>
      <c r="I265" s="24" t="s">
        <v>273</v>
      </c>
      <c r="J265" s="24" t="s">
        <v>1389</v>
      </c>
      <c r="K265" s="26" t="s">
        <v>667</v>
      </c>
      <c r="L265" s="26" t="s">
        <v>587</v>
      </c>
      <c r="M265" s="66">
        <f>IFERROR(VLOOKUP($L265,[1]Consolidated!$C$9:$AC$341,27,0),0)</f>
        <v>17654000</v>
      </c>
      <c r="N265" s="66">
        <f>IFERROR(VLOOKUP($L265,[1]Consolidated!$C$9:$AC$341,5,0),0)</f>
        <v>120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4">
        <f>(VLOOKUP($O$2,Prices!$E$3:$F$17,2,FALSE)*Urban!O265)+(VLOOKUP($P$2,Prices!$E$3:$F$17,2,FALSE)*Urban!P265)+(VLOOKUP($Q$2,Prices!$E$3:$F$17,2,FALSE)*Urban!Q265)+(VLOOKUP($R$2,Prices!$E$3:$F$17,2,FALSE)*Urban!R265)+(VLOOKUP($S$2,Prices!$E$3:$F$17,2,FALSE)*Urban!S265)+(VLOOKUP($T$2,Prices!$E$3:$F$17,2,FALSE)*Urban!T265)+(VLOOKUP($U$2,Prices!$E$3:$F$17,2,FALSE)*Urban!U265)+(VLOOKUP($V$2,Prices!$E$3:$F$17,2,FALSE)*Urban!V265)+(VLOOKUP($W$2,Prices!$E$3:$F$17,2,FALSE)*Urban!W265)+(VLOOKUP($X$2,Prices!$E$3:$F$17,2,FALSE)*Urban!X265)+(VLOOKUP($Y$2,Prices!$E$3:$F$17,2,FALSE)*Urban!Y265)+(VLOOKUP($Z$2,Prices!$E$3:$F$17,2,FALSE)*Urban!Z265)+(VLOOKUP($AA$2,Prices!$E$3:$F$17,2,FALSE)*Urban!AA265)+(VLOOKUP($AB$2,Prices!$E$3:$F$17,2,FALSE)*Urban!AB265)+M265</f>
        <v>17654000</v>
      </c>
      <c r="AD265" s="18"/>
      <c r="AE265" s="18"/>
      <c r="AF265" s="4">
        <f t="shared" si="16"/>
        <v>0</v>
      </c>
      <c r="AG265" s="4"/>
      <c r="AH265" s="16">
        <f t="shared" si="17"/>
        <v>0</v>
      </c>
      <c r="AI265" s="21">
        <f t="shared" si="18"/>
        <v>0</v>
      </c>
      <c r="AJ265" s="20">
        <f t="shared" si="19"/>
        <v>0</v>
      </c>
      <c r="AK265" s="9"/>
    </row>
    <row r="266" spans="1:37" hidden="1">
      <c r="A266" s="3">
        <v>264</v>
      </c>
      <c r="B266" s="12"/>
      <c r="C266" s="13"/>
      <c r="D266" s="13"/>
      <c r="E266" s="13"/>
      <c r="F266" s="13"/>
      <c r="G266" s="13"/>
      <c r="H266" s="28"/>
      <c r="I266" s="24" t="s">
        <v>274</v>
      </c>
      <c r="J266" s="24" t="s">
        <v>1389</v>
      </c>
      <c r="K266" s="26" t="s">
        <v>667</v>
      </c>
      <c r="L266" s="26" t="s">
        <v>588</v>
      </c>
      <c r="M266" s="66">
        <f>IFERROR(VLOOKUP($L266,[1]Consolidated!$C$9:$AC$341,27,0),0)</f>
        <v>18615000</v>
      </c>
      <c r="N266" s="66">
        <f>IFERROR(VLOOKUP($L266,[1]Consolidated!$C$9:$AC$341,5,0),0)</f>
        <v>120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4">
        <f>(VLOOKUP($O$2,Prices!$E$3:$F$17,2,FALSE)*Urban!O266)+(VLOOKUP($P$2,Prices!$E$3:$F$17,2,FALSE)*Urban!P266)+(VLOOKUP($Q$2,Prices!$E$3:$F$17,2,FALSE)*Urban!Q266)+(VLOOKUP($R$2,Prices!$E$3:$F$17,2,FALSE)*Urban!R266)+(VLOOKUP($S$2,Prices!$E$3:$F$17,2,FALSE)*Urban!S266)+(VLOOKUP($T$2,Prices!$E$3:$F$17,2,FALSE)*Urban!T266)+(VLOOKUP($U$2,Prices!$E$3:$F$17,2,FALSE)*Urban!U266)+(VLOOKUP($V$2,Prices!$E$3:$F$17,2,FALSE)*Urban!V266)+(VLOOKUP($W$2,Prices!$E$3:$F$17,2,FALSE)*Urban!W266)+(VLOOKUP($X$2,Prices!$E$3:$F$17,2,FALSE)*Urban!X266)+(VLOOKUP($Y$2,Prices!$E$3:$F$17,2,FALSE)*Urban!Y266)+(VLOOKUP($Z$2,Prices!$E$3:$F$17,2,FALSE)*Urban!Z266)+(VLOOKUP($AA$2,Prices!$E$3:$F$17,2,FALSE)*Urban!AA266)+(VLOOKUP($AB$2,Prices!$E$3:$F$17,2,FALSE)*Urban!AB266)+M266</f>
        <v>18615000</v>
      </c>
      <c r="AD266" s="18"/>
      <c r="AE266" s="18"/>
      <c r="AF266" s="4">
        <f t="shared" si="16"/>
        <v>0</v>
      </c>
      <c r="AG266" s="4"/>
      <c r="AH266" s="16">
        <f t="shared" si="17"/>
        <v>0</v>
      </c>
      <c r="AI266" s="21">
        <f t="shared" si="18"/>
        <v>0</v>
      </c>
      <c r="AJ266" s="20">
        <f t="shared" si="19"/>
        <v>0</v>
      </c>
      <c r="AK266" s="9"/>
    </row>
    <row r="267" spans="1:37" hidden="1">
      <c r="A267" s="3">
        <v>265</v>
      </c>
      <c r="B267" s="12"/>
      <c r="C267" s="13"/>
      <c r="D267" s="13"/>
      <c r="E267" s="13"/>
      <c r="F267" s="13"/>
      <c r="G267" s="13"/>
      <c r="H267" s="28"/>
      <c r="I267" s="39" t="s">
        <v>275</v>
      </c>
      <c r="J267" s="24" t="s">
        <v>1389</v>
      </c>
      <c r="K267" s="26" t="s">
        <v>667</v>
      </c>
      <c r="L267" s="26" t="s">
        <v>589</v>
      </c>
      <c r="M267" s="41">
        <f>IFERROR(VLOOKUP($L267,'[2]Top WH -National'!$D$9:$AC$124,26,0),0)</f>
        <v>41187000</v>
      </c>
      <c r="N267" s="41">
        <f>IFERROR(VLOOKUP($L267,'[2]Top WH -National'!$D$9:$AC$124,4,0),0)</f>
        <v>320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4">
        <f>(VLOOKUP($O$2,Prices!$E$3:$F$17,2,FALSE)*Urban!O267)+(VLOOKUP($P$2,Prices!$E$3:$F$17,2,FALSE)*Urban!P267)+(VLOOKUP($Q$2,Prices!$E$3:$F$17,2,FALSE)*Urban!Q267)+(VLOOKUP($R$2,Prices!$E$3:$F$17,2,FALSE)*Urban!R267)+(VLOOKUP($S$2,Prices!$E$3:$F$17,2,FALSE)*Urban!S267)+(VLOOKUP($T$2,Prices!$E$3:$F$17,2,FALSE)*Urban!T267)+(VLOOKUP($U$2,Prices!$E$3:$F$17,2,FALSE)*Urban!U267)+(VLOOKUP($V$2,Prices!$E$3:$F$17,2,FALSE)*Urban!V267)+(VLOOKUP($W$2,Prices!$E$3:$F$17,2,FALSE)*Urban!W267)+(VLOOKUP($X$2,Prices!$E$3:$F$17,2,FALSE)*Urban!X267)+(VLOOKUP($Y$2,Prices!$E$3:$F$17,2,FALSE)*Urban!Y267)+(VLOOKUP($Z$2,Prices!$E$3:$F$17,2,FALSE)*Urban!Z267)+(VLOOKUP($AA$2,Prices!$E$3:$F$17,2,FALSE)*Urban!AA267)+(VLOOKUP($AB$2,Prices!$E$3:$F$17,2,FALSE)*Urban!AB267)+M267</f>
        <v>41187000</v>
      </c>
      <c r="AD267" s="18"/>
      <c r="AE267" s="18"/>
      <c r="AF267" s="4">
        <f t="shared" si="16"/>
        <v>0</v>
      </c>
      <c r="AG267" s="4"/>
      <c r="AH267" s="16">
        <f t="shared" si="17"/>
        <v>0</v>
      </c>
      <c r="AI267" s="21">
        <f t="shared" si="18"/>
        <v>0</v>
      </c>
      <c r="AJ267" s="20">
        <f t="shared" si="19"/>
        <v>0</v>
      </c>
      <c r="AK267" s="9"/>
    </row>
    <row r="268" spans="1:37" hidden="1">
      <c r="A268" s="3">
        <v>266</v>
      </c>
      <c r="B268" s="12"/>
      <c r="C268" s="13"/>
      <c r="D268" s="13"/>
      <c r="E268" s="13"/>
      <c r="F268" s="13"/>
      <c r="G268" s="13"/>
      <c r="H268" s="28"/>
      <c r="I268" s="24" t="s">
        <v>276</v>
      </c>
      <c r="J268" s="24" t="s">
        <v>1389</v>
      </c>
      <c r="K268" s="26" t="s">
        <v>667</v>
      </c>
      <c r="L268" s="26" t="s">
        <v>590</v>
      </c>
      <c r="M268" s="66">
        <f>IFERROR(VLOOKUP($L268,[1]Consolidated!$C$9:$AC$341,27,0),0)</f>
        <v>0</v>
      </c>
      <c r="N268" s="66">
        <f>IFERROR(VLOOKUP($L268,[1]Consolidated!$C$9:$AC$341,5,0),0)</f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4">
        <f>(VLOOKUP($O$2,Prices!$E$3:$F$17,2,FALSE)*Urban!O268)+(VLOOKUP($P$2,Prices!$E$3:$F$17,2,FALSE)*Urban!P268)+(VLOOKUP($Q$2,Prices!$E$3:$F$17,2,FALSE)*Urban!Q268)+(VLOOKUP($R$2,Prices!$E$3:$F$17,2,FALSE)*Urban!R268)+(VLOOKUP($S$2,Prices!$E$3:$F$17,2,FALSE)*Urban!S268)+(VLOOKUP($T$2,Prices!$E$3:$F$17,2,FALSE)*Urban!T268)+(VLOOKUP($U$2,Prices!$E$3:$F$17,2,FALSE)*Urban!U268)+(VLOOKUP($V$2,Prices!$E$3:$F$17,2,FALSE)*Urban!V268)+(VLOOKUP($W$2,Prices!$E$3:$F$17,2,FALSE)*Urban!W268)+(VLOOKUP($X$2,Prices!$E$3:$F$17,2,FALSE)*Urban!X268)+(VLOOKUP($Y$2,Prices!$E$3:$F$17,2,FALSE)*Urban!Y268)+(VLOOKUP($Z$2,Prices!$E$3:$F$17,2,FALSE)*Urban!Z268)+(VLOOKUP($AA$2,Prices!$E$3:$F$17,2,FALSE)*Urban!AA268)+(VLOOKUP($AB$2,Prices!$E$3:$F$17,2,FALSE)*Urban!AB268)+M268</f>
        <v>0</v>
      </c>
      <c r="AD268" s="18"/>
      <c r="AE268" s="18"/>
      <c r="AF268" s="4">
        <f t="shared" si="16"/>
        <v>0</v>
      </c>
      <c r="AG268" s="4"/>
      <c r="AH268" s="16">
        <f t="shared" si="17"/>
        <v>0</v>
      </c>
      <c r="AI268" s="21" t="e">
        <f t="shared" si="18"/>
        <v>#DIV/0!</v>
      </c>
      <c r="AJ268" s="20" t="e">
        <f t="shared" si="19"/>
        <v>#DIV/0!</v>
      </c>
      <c r="AK268" s="9"/>
    </row>
    <row r="269" spans="1:37" hidden="1">
      <c r="A269" s="3">
        <v>267</v>
      </c>
      <c r="B269" s="12"/>
      <c r="C269" s="13"/>
      <c r="D269" s="13"/>
      <c r="E269" s="13"/>
      <c r="F269" s="13"/>
      <c r="G269" s="13"/>
      <c r="H269" s="28"/>
      <c r="I269" s="39" t="s">
        <v>277</v>
      </c>
      <c r="J269" s="24" t="s">
        <v>1389</v>
      </c>
      <c r="K269" s="26" t="s">
        <v>667</v>
      </c>
      <c r="L269" s="26" t="s">
        <v>591</v>
      </c>
      <c r="M269" s="41">
        <f>IFERROR(VLOOKUP($L269,'[2]Top WH -National'!$D$9:$AC$124,26,0),0)</f>
        <v>38511000</v>
      </c>
      <c r="N269" s="41">
        <f>IFERROR(VLOOKUP($L269,'[2]Top WH -National'!$D$9:$AC$124,4,0),0)</f>
        <v>278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4">
        <f>(VLOOKUP($O$2,Prices!$E$3:$F$17,2,FALSE)*Urban!O269)+(VLOOKUP($P$2,Prices!$E$3:$F$17,2,FALSE)*Urban!P269)+(VLOOKUP($Q$2,Prices!$E$3:$F$17,2,FALSE)*Urban!Q269)+(VLOOKUP($R$2,Prices!$E$3:$F$17,2,FALSE)*Urban!R269)+(VLOOKUP($S$2,Prices!$E$3:$F$17,2,FALSE)*Urban!S269)+(VLOOKUP($T$2,Prices!$E$3:$F$17,2,FALSE)*Urban!T269)+(VLOOKUP($U$2,Prices!$E$3:$F$17,2,FALSE)*Urban!U269)+(VLOOKUP($V$2,Prices!$E$3:$F$17,2,FALSE)*Urban!V269)+(VLOOKUP($W$2,Prices!$E$3:$F$17,2,FALSE)*Urban!W269)+(VLOOKUP($X$2,Prices!$E$3:$F$17,2,FALSE)*Urban!X269)+(VLOOKUP($Y$2,Prices!$E$3:$F$17,2,FALSE)*Urban!Y269)+(VLOOKUP($Z$2,Prices!$E$3:$F$17,2,FALSE)*Urban!Z269)+(VLOOKUP($AA$2,Prices!$E$3:$F$17,2,FALSE)*Urban!AA269)+(VLOOKUP($AB$2,Prices!$E$3:$F$17,2,FALSE)*Urban!AB269)+M269</f>
        <v>38511000</v>
      </c>
      <c r="AD269" s="18"/>
      <c r="AE269" s="18"/>
      <c r="AF269" s="4">
        <f t="shared" si="16"/>
        <v>0</v>
      </c>
      <c r="AG269" s="4"/>
      <c r="AH269" s="16">
        <f t="shared" si="17"/>
        <v>0</v>
      </c>
      <c r="AI269" s="21">
        <f t="shared" si="18"/>
        <v>0</v>
      </c>
      <c r="AJ269" s="20">
        <f t="shared" si="19"/>
        <v>0</v>
      </c>
      <c r="AK269" s="19"/>
    </row>
    <row r="270" spans="1:37" hidden="1">
      <c r="A270" s="3">
        <v>268</v>
      </c>
      <c r="B270" s="12"/>
      <c r="C270" s="13"/>
      <c r="D270" s="13"/>
      <c r="E270" s="13"/>
      <c r="F270" s="13"/>
      <c r="G270" s="13"/>
      <c r="H270" s="28"/>
      <c r="I270" s="24" t="s">
        <v>278</v>
      </c>
      <c r="J270" s="24" t="s">
        <v>1389</v>
      </c>
      <c r="K270" s="26" t="s">
        <v>667</v>
      </c>
      <c r="L270" s="26" t="s">
        <v>592</v>
      </c>
      <c r="M270" s="66">
        <f>IFERROR(VLOOKUP($L270,[1]Consolidated!$C$9:$AC$341,27,0),0)</f>
        <v>0</v>
      </c>
      <c r="N270" s="66">
        <f>IFERROR(VLOOKUP($L270,[1]Consolidated!$C$9:$AC$341,5,0),0)</f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4">
        <f>(VLOOKUP($O$2,Prices!$E$3:$F$17,2,FALSE)*Urban!O270)+(VLOOKUP($P$2,Prices!$E$3:$F$17,2,FALSE)*Urban!P270)+(VLOOKUP($Q$2,Prices!$E$3:$F$17,2,FALSE)*Urban!Q270)+(VLOOKUP($R$2,Prices!$E$3:$F$17,2,FALSE)*Urban!R270)+(VLOOKUP($S$2,Prices!$E$3:$F$17,2,FALSE)*Urban!S270)+(VLOOKUP($T$2,Prices!$E$3:$F$17,2,FALSE)*Urban!T270)+(VLOOKUP($U$2,Prices!$E$3:$F$17,2,FALSE)*Urban!U270)+(VLOOKUP($V$2,Prices!$E$3:$F$17,2,FALSE)*Urban!V270)+(VLOOKUP($W$2,Prices!$E$3:$F$17,2,FALSE)*Urban!W270)+(VLOOKUP($X$2,Prices!$E$3:$F$17,2,FALSE)*Urban!X270)+(VLOOKUP($Y$2,Prices!$E$3:$F$17,2,FALSE)*Urban!Y270)+(VLOOKUP($Z$2,Prices!$E$3:$F$17,2,FALSE)*Urban!Z270)+(VLOOKUP($AA$2,Prices!$E$3:$F$17,2,FALSE)*Urban!AA270)+(VLOOKUP($AB$2,Prices!$E$3:$F$17,2,FALSE)*Urban!AB270)+M270</f>
        <v>0</v>
      </c>
      <c r="AD270" s="18"/>
      <c r="AE270" s="18"/>
      <c r="AF270" s="4">
        <f t="shared" si="16"/>
        <v>0</v>
      </c>
      <c r="AG270" s="4"/>
      <c r="AH270" s="16">
        <f t="shared" si="17"/>
        <v>0</v>
      </c>
      <c r="AI270" s="21" t="e">
        <f t="shared" si="18"/>
        <v>#DIV/0!</v>
      </c>
      <c r="AJ270" s="20" t="e">
        <f t="shared" si="19"/>
        <v>#DIV/0!</v>
      </c>
      <c r="AK270" s="9"/>
    </row>
    <row r="271" spans="1:37" hidden="1">
      <c r="A271" s="3">
        <v>269</v>
      </c>
      <c r="B271" s="12"/>
      <c r="C271" s="13"/>
      <c r="D271" s="13"/>
      <c r="E271" s="13"/>
      <c r="F271" s="13"/>
      <c r="G271" s="13"/>
      <c r="H271" s="28"/>
      <c r="I271" s="24" t="s">
        <v>279</v>
      </c>
      <c r="J271" s="24" t="s">
        <v>1389</v>
      </c>
      <c r="K271" s="26" t="s">
        <v>667</v>
      </c>
      <c r="L271" s="26" t="s">
        <v>593</v>
      </c>
      <c r="M271" s="66">
        <f>IFERROR(VLOOKUP($L271,[1]Consolidated!$C$9:$AC$341,27,0),0)</f>
        <v>18643000</v>
      </c>
      <c r="N271" s="66">
        <f>IFERROR(VLOOKUP($L271,[1]Consolidated!$C$9:$AC$341,5,0),0)</f>
        <v>120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4">
        <f>(VLOOKUP($O$2,Prices!$E$3:$F$17,2,FALSE)*Urban!O271)+(VLOOKUP($P$2,Prices!$E$3:$F$17,2,FALSE)*Urban!P271)+(VLOOKUP($Q$2,Prices!$E$3:$F$17,2,FALSE)*Urban!Q271)+(VLOOKUP($R$2,Prices!$E$3:$F$17,2,FALSE)*Urban!R271)+(VLOOKUP($S$2,Prices!$E$3:$F$17,2,FALSE)*Urban!S271)+(VLOOKUP($T$2,Prices!$E$3:$F$17,2,FALSE)*Urban!T271)+(VLOOKUP($U$2,Prices!$E$3:$F$17,2,FALSE)*Urban!U271)+(VLOOKUP($V$2,Prices!$E$3:$F$17,2,FALSE)*Urban!V271)+(VLOOKUP($W$2,Prices!$E$3:$F$17,2,FALSE)*Urban!W271)+(VLOOKUP($X$2,Prices!$E$3:$F$17,2,FALSE)*Urban!X271)+(VLOOKUP($Y$2,Prices!$E$3:$F$17,2,FALSE)*Urban!Y271)+(VLOOKUP($Z$2,Prices!$E$3:$F$17,2,FALSE)*Urban!Z271)+(VLOOKUP($AA$2,Prices!$E$3:$F$17,2,FALSE)*Urban!AA271)+(VLOOKUP($AB$2,Prices!$E$3:$F$17,2,FALSE)*Urban!AB271)+M271</f>
        <v>18643000</v>
      </c>
      <c r="AD271" s="18"/>
      <c r="AE271" s="18"/>
      <c r="AF271" s="4">
        <f t="shared" si="16"/>
        <v>0</v>
      </c>
      <c r="AG271" s="4"/>
      <c r="AH271" s="16">
        <f t="shared" si="17"/>
        <v>0</v>
      </c>
      <c r="AI271" s="21">
        <f t="shared" si="18"/>
        <v>0</v>
      </c>
      <c r="AJ271" s="20">
        <f t="shared" si="19"/>
        <v>0</v>
      </c>
      <c r="AK271" s="9"/>
    </row>
    <row r="272" spans="1:37" hidden="1">
      <c r="A272" s="3">
        <v>270</v>
      </c>
      <c r="B272" s="12"/>
      <c r="C272" s="13"/>
      <c r="D272" s="13"/>
      <c r="E272" s="13"/>
      <c r="F272" s="13"/>
      <c r="G272" s="13"/>
      <c r="H272" s="28"/>
      <c r="I272" s="39" t="s">
        <v>280</v>
      </c>
      <c r="J272" s="24" t="s">
        <v>1389</v>
      </c>
      <c r="K272" s="26" t="s">
        <v>667</v>
      </c>
      <c r="L272" s="26" t="s">
        <v>594</v>
      </c>
      <c r="M272" s="41">
        <f>IFERROR(VLOOKUP($L272,'[2]Top WH -National'!$D$9:$AC$124,26,0),0)</f>
        <v>147031000</v>
      </c>
      <c r="N272" s="41">
        <f>IFERROR(VLOOKUP($L272,'[2]Top WH -National'!$D$9:$AC$124,4,0),0)</f>
        <v>966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4">
        <f>(VLOOKUP($O$2,Prices!$E$3:$F$17,2,FALSE)*Urban!O272)+(VLOOKUP($P$2,Prices!$E$3:$F$17,2,FALSE)*Urban!P272)+(VLOOKUP($Q$2,Prices!$E$3:$F$17,2,FALSE)*Urban!Q272)+(VLOOKUP($R$2,Prices!$E$3:$F$17,2,FALSE)*Urban!R272)+(VLOOKUP($S$2,Prices!$E$3:$F$17,2,FALSE)*Urban!S272)+(VLOOKUP($T$2,Prices!$E$3:$F$17,2,FALSE)*Urban!T272)+(VLOOKUP($U$2,Prices!$E$3:$F$17,2,FALSE)*Urban!U272)+(VLOOKUP($V$2,Prices!$E$3:$F$17,2,FALSE)*Urban!V272)+(VLOOKUP($W$2,Prices!$E$3:$F$17,2,FALSE)*Urban!W272)+(VLOOKUP($X$2,Prices!$E$3:$F$17,2,FALSE)*Urban!X272)+(VLOOKUP($Y$2,Prices!$E$3:$F$17,2,FALSE)*Urban!Y272)+(VLOOKUP($Z$2,Prices!$E$3:$F$17,2,FALSE)*Urban!Z272)+(VLOOKUP($AA$2,Prices!$E$3:$F$17,2,FALSE)*Urban!AA272)+(VLOOKUP($AB$2,Prices!$E$3:$F$17,2,FALSE)*Urban!AB272)+M272</f>
        <v>147031000</v>
      </c>
      <c r="AD272" s="18"/>
      <c r="AE272" s="18"/>
      <c r="AF272" s="4">
        <f t="shared" si="16"/>
        <v>0</v>
      </c>
      <c r="AG272" s="4"/>
      <c r="AH272" s="16">
        <f t="shared" si="17"/>
        <v>0</v>
      </c>
      <c r="AI272" s="21">
        <f t="shared" si="18"/>
        <v>0</v>
      </c>
      <c r="AJ272" s="20">
        <f t="shared" si="19"/>
        <v>0</v>
      </c>
      <c r="AK272" s="9"/>
    </row>
    <row r="273" spans="1:37" hidden="1">
      <c r="A273" s="3">
        <v>271</v>
      </c>
      <c r="B273" s="12"/>
      <c r="C273" s="13"/>
      <c r="D273" s="13"/>
      <c r="E273" s="13"/>
      <c r="F273" s="13"/>
      <c r="G273" s="13"/>
      <c r="H273" s="28"/>
      <c r="I273" s="24" t="s">
        <v>281</v>
      </c>
      <c r="J273" s="24" t="s">
        <v>1389</v>
      </c>
      <c r="K273" s="26" t="s">
        <v>667</v>
      </c>
      <c r="L273" s="26" t="s">
        <v>595</v>
      </c>
      <c r="M273" s="66">
        <f>IFERROR(VLOOKUP($L273,[1]Consolidated!$C$9:$AC$341,27,0),0)</f>
        <v>17124000</v>
      </c>
      <c r="N273" s="66">
        <f>IFERROR(VLOOKUP($L273,[1]Consolidated!$C$9:$AC$341,5,0),0)</f>
        <v>130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4">
        <f>(VLOOKUP($O$2,Prices!$E$3:$F$17,2,FALSE)*Urban!O273)+(VLOOKUP($P$2,Prices!$E$3:$F$17,2,FALSE)*Urban!P273)+(VLOOKUP($Q$2,Prices!$E$3:$F$17,2,FALSE)*Urban!Q273)+(VLOOKUP($R$2,Prices!$E$3:$F$17,2,FALSE)*Urban!R273)+(VLOOKUP($S$2,Prices!$E$3:$F$17,2,FALSE)*Urban!S273)+(VLOOKUP($T$2,Prices!$E$3:$F$17,2,FALSE)*Urban!T273)+(VLOOKUP($U$2,Prices!$E$3:$F$17,2,FALSE)*Urban!U273)+(VLOOKUP($V$2,Prices!$E$3:$F$17,2,FALSE)*Urban!V273)+(VLOOKUP($W$2,Prices!$E$3:$F$17,2,FALSE)*Urban!W273)+(VLOOKUP($X$2,Prices!$E$3:$F$17,2,FALSE)*Urban!X273)+(VLOOKUP($Y$2,Prices!$E$3:$F$17,2,FALSE)*Urban!Y273)+(VLOOKUP($Z$2,Prices!$E$3:$F$17,2,FALSE)*Urban!Z273)+(VLOOKUP($AA$2,Prices!$E$3:$F$17,2,FALSE)*Urban!AA273)+(VLOOKUP($AB$2,Prices!$E$3:$F$17,2,FALSE)*Urban!AB273)+M273</f>
        <v>17124000</v>
      </c>
      <c r="AD273" s="18"/>
      <c r="AE273" s="18"/>
      <c r="AF273" s="4">
        <f t="shared" si="16"/>
        <v>0</v>
      </c>
      <c r="AG273" s="4"/>
      <c r="AH273" s="16">
        <f t="shared" si="17"/>
        <v>0</v>
      </c>
      <c r="AI273" s="21">
        <f t="shared" si="18"/>
        <v>0</v>
      </c>
      <c r="AJ273" s="20">
        <f t="shared" si="19"/>
        <v>0</v>
      </c>
      <c r="AK273" s="9"/>
    </row>
    <row r="274" spans="1:37" hidden="1">
      <c r="A274" s="3">
        <v>272</v>
      </c>
      <c r="B274" s="12"/>
      <c r="C274" s="13"/>
      <c r="D274" s="13"/>
      <c r="E274" s="13"/>
      <c r="F274" s="13"/>
      <c r="G274" s="13"/>
      <c r="H274" s="28"/>
      <c r="I274" s="39" t="s">
        <v>282</v>
      </c>
      <c r="J274" s="24" t="s">
        <v>1389</v>
      </c>
      <c r="K274" s="26" t="s">
        <v>668</v>
      </c>
      <c r="L274" s="26" t="s">
        <v>596</v>
      </c>
      <c r="M274" s="41">
        <f>IFERROR(VLOOKUP($L274,'[2]Top WH -National'!$D$9:$AC$124,26,0),0)</f>
        <v>63855000</v>
      </c>
      <c r="N274" s="41">
        <f>IFERROR(VLOOKUP($L274,'[2]Top WH -National'!$D$9:$AC$124,4,0),0)</f>
        <v>396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4">
        <f>(VLOOKUP($O$2,Prices!$E$3:$F$17,2,FALSE)*Urban!O274)+(VLOOKUP($P$2,Prices!$E$3:$F$17,2,FALSE)*Urban!P274)+(VLOOKUP($Q$2,Prices!$E$3:$F$17,2,FALSE)*Urban!Q274)+(VLOOKUP($R$2,Prices!$E$3:$F$17,2,FALSE)*Urban!R274)+(VLOOKUP($S$2,Prices!$E$3:$F$17,2,FALSE)*Urban!S274)+(VLOOKUP($T$2,Prices!$E$3:$F$17,2,FALSE)*Urban!T274)+(VLOOKUP($U$2,Prices!$E$3:$F$17,2,FALSE)*Urban!U274)+(VLOOKUP($V$2,Prices!$E$3:$F$17,2,FALSE)*Urban!V274)+(VLOOKUP($W$2,Prices!$E$3:$F$17,2,FALSE)*Urban!W274)+(VLOOKUP($X$2,Prices!$E$3:$F$17,2,FALSE)*Urban!X274)+(VLOOKUP($Y$2,Prices!$E$3:$F$17,2,FALSE)*Urban!Y274)+(VLOOKUP($Z$2,Prices!$E$3:$F$17,2,FALSE)*Urban!Z274)+(VLOOKUP($AA$2,Prices!$E$3:$F$17,2,FALSE)*Urban!AA274)+(VLOOKUP($AB$2,Prices!$E$3:$F$17,2,FALSE)*Urban!AB274)+M274</f>
        <v>63855000</v>
      </c>
      <c r="AD274" s="18"/>
      <c r="AE274" s="18"/>
      <c r="AF274" s="4">
        <f t="shared" si="16"/>
        <v>0</v>
      </c>
      <c r="AG274" s="4"/>
      <c r="AH274" s="16">
        <f t="shared" si="17"/>
        <v>0</v>
      </c>
      <c r="AI274" s="21">
        <f t="shared" si="18"/>
        <v>0</v>
      </c>
      <c r="AJ274" s="20">
        <f t="shared" si="19"/>
        <v>0</v>
      </c>
      <c r="AK274" s="9"/>
    </row>
    <row r="275" spans="1:37" hidden="1">
      <c r="A275" s="3">
        <v>273</v>
      </c>
      <c r="B275" s="12"/>
      <c r="C275" s="13"/>
      <c r="D275" s="13"/>
      <c r="E275" s="13"/>
      <c r="F275" s="13"/>
      <c r="G275" s="13"/>
      <c r="H275" s="28"/>
      <c r="I275" s="24" t="s">
        <v>283</v>
      </c>
      <c r="J275" s="24" t="s">
        <v>1389</v>
      </c>
      <c r="K275" s="26" t="s">
        <v>668</v>
      </c>
      <c r="L275" s="26" t="s">
        <v>597</v>
      </c>
      <c r="M275" s="66">
        <f>IFERROR(VLOOKUP($L275,[1]Consolidated!$C$9:$AC$341,27,0),0)</f>
        <v>12121000</v>
      </c>
      <c r="N275" s="66">
        <f>IFERROR(VLOOKUP($L275,[1]Consolidated!$C$9:$AC$341,5,0),0)</f>
        <v>70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4">
        <f>(VLOOKUP($O$2,Prices!$E$3:$F$17,2,FALSE)*Urban!O275)+(VLOOKUP($P$2,Prices!$E$3:$F$17,2,FALSE)*Urban!P275)+(VLOOKUP($Q$2,Prices!$E$3:$F$17,2,FALSE)*Urban!Q275)+(VLOOKUP($R$2,Prices!$E$3:$F$17,2,FALSE)*Urban!R275)+(VLOOKUP($S$2,Prices!$E$3:$F$17,2,FALSE)*Urban!S275)+(VLOOKUP($T$2,Prices!$E$3:$F$17,2,FALSE)*Urban!T275)+(VLOOKUP($U$2,Prices!$E$3:$F$17,2,FALSE)*Urban!U275)+(VLOOKUP($V$2,Prices!$E$3:$F$17,2,FALSE)*Urban!V275)+(VLOOKUP($W$2,Prices!$E$3:$F$17,2,FALSE)*Urban!W275)+(VLOOKUP($X$2,Prices!$E$3:$F$17,2,FALSE)*Urban!X275)+(VLOOKUP($Y$2,Prices!$E$3:$F$17,2,FALSE)*Urban!Y275)+(VLOOKUP($Z$2,Prices!$E$3:$F$17,2,FALSE)*Urban!Z275)+(VLOOKUP($AA$2,Prices!$E$3:$F$17,2,FALSE)*Urban!AA275)+(VLOOKUP($AB$2,Prices!$E$3:$F$17,2,FALSE)*Urban!AB275)+M275</f>
        <v>12121000</v>
      </c>
      <c r="AD275" s="18"/>
      <c r="AE275" s="18"/>
      <c r="AF275" s="4">
        <f t="shared" si="16"/>
        <v>0</v>
      </c>
      <c r="AG275" s="4"/>
      <c r="AH275" s="16">
        <f t="shared" si="17"/>
        <v>0</v>
      </c>
      <c r="AI275" s="21">
        <f t="shared" si="18"/>
        <v>0</v>
      </c>
      <c r="AJ275" s="20">
        <f t="shared" si="19"/>
        <v>0</v>
      </c>
      <c r="AK275" s="9"/>
    </row>
    <row r="276" spans="1:37" hidden="1">
      <c r="A276" s="3">
        <v>274</v>
      </c>
      <c r="B276" s="12"/>
      <c r="C276" s="13"/>
      <c r="D276" s="13"/>
      <c r="E276" s="13"/>
      <c r="F276" s="13"/>
      <c r="G276" s="13"/>
      <c r="H276" s="28"/>
      <c r="I276" s="40" t="s">
        <v>284</v>
      </c>
      <c r="J276" s="24" t="s">
        <v>1389</v>
      </c>
      <c r="K276" s="26" t="s">
        <v>668</v>
      </c>
      <c r="L276" s="26" t="s">
        <v>598</v>
      </c>
      <c r="M276" s="41">
        <f>IFERROR(VLOOKUP($L276,'[2]Top WH -National'!$D$9:$AC$124,26,0),0)</f>
        <v>43567000</v>
      </c>
      <c r="N276" s="41">
        <f>IFERROR(VLOOKUP($L276,'[2]Top WH -National'!$D$9:$AC$124,4,0),0)</f>
        <v>290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4">
        <f>(VLOOKUP($O$2,Prices!$E$3:$F$17,2,FALSE)*Urban!O276)+(VLOOKUP($P$2,Prices!$E$3:$F$17,2,FALSE)*Urban!P276)+(VLOOKUP($Q$2,Prices!$E$3:$F$17,2,FALSE)*Urban!Q276)+(VLOOKUP($R$2,Prices!$E$3:$F$17,2,FALSE)*Urban!R276)+(VLOOKUP($S$2,Prices!$E$3:$F$17,2,FALSE)*Urban!S276)+(VLOOKUP($T$2,Prices!$E$3:$F$17,2,FALSE)*Urban!T276)+(VLOOKUP($U$2,Prices!$E$3:$F$17,2,FALSE)*Urban!U276)+(VLOOKUP($V$2,Prices!$E$3:$F$17,2,FALSE)*Urban!V276)+(VLOOKUP($W$2,Prices!$E$3:$F$17,2,FALSE)*Urban!W276)+(VLOOKUP($X$2,Prices!$E$3:$F$17,2,FALSE)*Urban!X276)+(VLOOKUP($Y$2,Prices!$E$3:$F$17,2,FALSE)*Urban!Y276)+(VLOOKUP($Z$2,Prices!$E$3:$F$17,2,FALSE)*Urban!Z276)+(VLOOKUP($AA$2,Prices!$E$3:$F$17,2,FALSE)*Urban!AA276)+(VLOOKUP($AB$2,Prices!$E$3:$F$17,2,FALSE)*Urban!AB276)+M276</f>
        <v>43567000</v>
      </c>
      <c r="AD276" s="18"/>
      <c r="AE276" s="18"/>
      <c r="AF276" s="4">
        <f t="shared" si="16"/>
        <v>0</v>
      </c>
      <c r="AG276" s="4"/>
      <c r="AH276" s="16">
        <f t="shared" si="17"/>
        <v>0</v>
      </c>
      <c r="AI276" s="21">
        <f t="shared" si="18"/>
        <v>0</v>
      </c>
      <c r="AJ276" s="20">
        <f t="shared" si="19"/>
        <v>0</v>
      </c>
      <c r="AK276" s="9"/>
    </row>
    <row r="277" spans="1:37" hidden="1">
      <c r="A277" s="3">
        <v>275</v>
      </c>
      <c r="B277" s="12"/>
      <c r="C277" s="13"/>
      <c r="D277" s="13"/>
      <c r="E277" s="13"/>
      <c r="F277" s="13"/>
      <c r="G277" s="13"/>
      <c r="H277" s="28"/>
      <c r="I277" s="39" t="s">
        <v>285</v>
      </c>
      <c r="J277" s="24" t="s">
        <v>1389</v>
      </c>
      <c r="K277" s="26" t="s">
        <v>668</v>
      </c>
      <c r="L277" s="26" t="s">
        <v>599</v>
      </c>
      <c r="M277" s="41">
        <f>IFERROR(VLOOKUP($L277,'[2]Top WH -National'!$D$9:$AC$124,26,0),0)</f>
        <v>61599000</v>
      </c>
      <c r="N277" s="41">
        <f>IFERROR(VLOOKUP($L277,'[2]Top WH -National'!$D$9:$AC$124,4,0),0)</f>
        <v>384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4">
        <f>(VLOOKUP($O$2,Prices!$E$3:$F$17,2,FALSE)*Urban!O277)+(VLOOKUP($P$2,Prices!$E$3:$F$17,2,FALSE)*Urban!P277)+(VLOOKUP($Q$2,Prices!$E$3:$F$17,2,FALSE)*Urban!Q277)+(VLOOKUP($R$2,Prices!$E$3:$F$17,2,FALSE)*Urban!R277)+(VLOOKUP($S$2,Prices!$E$3:$F$17,2,FALSE)*Urban!S277)+(VLOOKUP($T$2,Prices!$E$3:$F$17,2,FALSE)*Urban!T277)+(VLOOKUP($U$2,Prices!$E$3:$F$17,2,FALSE)*Urban!U277)+(VLOOKUP($V$2,Prices!$E$3:$F$17,2,FALSE)*Urban!V277)+(VLOOKUP($W$2,Prices!$E$3:$F$17,2,FALSE)*Urban!W277)+(VLOOKUP($X$2,Prices!$E$3:$F$17,2,FALSE)*Urban!X277)+(VLOOKUP($Y$2,Prices!$E$3:$F$17,2,FALSE)*Urban!Y277)+(VLOOKUP($Z$2,Prices!$E$3:$F$17,2,FALSE)*Urban!Z277)+(VLOOKUP($AA$2,Prices!$E$3:$F$17,2,FALSE)*Urban!AA277)+(VLOOKUP($AB$2,Prices!$E$3:$F$17,2,FALSE)*Urban!AB277)+M277</f>
        <v>61599000</v>
      </c>
      <c r="AD277" s="18"/>
      <c r="AE277" s="18"/>
      <c r="AF277" s="4">
        <f t="shared" si="16"/>
        <v>0</v>
      </c>
      <c r="AG277" s="4"/>
      <c r="AH277" s="16">
        <f t="shared" si="17"/>
        <v>0</v>
      </c>
      <c r="AI277" s="21">
        <f t="shared" si="18"/>
        <v>0</v>
      </c>
      <c r="AJ277" s="20">
        <f t="shared" si="19"/>
        <v>0</v>
      </c>
      <c r="AK277" s="9"/>
    </row>
    <row r="278" spans="1:37" hidden="1">
      <c r="A278" s="3">
        <v>276</v>
      </c>
      <c r="B278" s="12"/>
      <c r="C278" s="13"/>
      <c r="D278" s="13"/>
      <c r="E278" s="13"/>
      <c r="F278" s="13"/>
      <c r="G278" s="13"/>
      <c r="H278" s="28"/>
      <c r="I278" s="39" t="s">
        <v>286</v>
      </c>
      <c r="J278" s="24" t="s">
        <v>1389</v>
      </c>
      <c r="K278" s="26" t="s">
        <v>668</v>
      </c>
      <c r="L278" s="26" t="s">
        <v>600</v>
      </c>
      <c r="M278" s="41">
        <f>IFERROR(VLOOKUP($L278,'[2]Top WH -National'!$D$9:$AC$124,26,0),0)</f>
        <v>65760000</v>
      </c>
      <c r="N278" s="41">
        <f>IFERROR(VLOOKUP($L278,'[2]Top WH -National'!$D$9:$AC$124,4,0),0)</f>
        <v>426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4">
        <f>(VLOOKUP($O$2,Prices!$E$3:$F$17,2,FALSE)*Urban!O278)+(VLOOKUP($P$2,Prices!$E$3:$F$17,2,FALSE)*Urban!P278)+(VLOOKUP($Q$2,Prices!$E$3:$F$17,2,FALSE)*Urban!Q278)+(VLOOKUP($R$2,Prices!$E$3:$F$17,2,FALSE)*Urban!R278)+(VLOOKUP($S$2,Prices!$E$3:$F$17,2,FALSE)*Urban!S278)+(VLOOKUP($T$2,Prices!$E$3:$F$17,2,FALSE)*Urban!T278)+(VLOOKUP($U$2,Prices!$E$3:$F$17,2,FALSE)*Urban!U278)+(VLOOKUP($V$2,Prices!$E$3:$F$17,2,FALSE)*Urban!V278)+(VLOOKUP($W$2,Prices!$E$3:$F$17,2,FALSE)*Urban!W278)+(VLOOKUP($X$2,Prices!$E$3:$F$17,2,FALSE)*Urban!X278)+(VLOOKUP($Y$2,Prices!$E$3:$F$17,2,FALSE)*Urban!Y278)+(VLOOKUP($Z$2,Prices!$E$3:$F$17,2,FALSE)*Urban!Z278)+(VLOOKUP($AA$2,Prices!$E$3:$F$17,2,FALSE)*Urban!AA278)+(VLOOKUP($AB$2,Prices!$E$3:$F$17,2,FALSE)*Urban!AB278)+M278</f>
        <v>65760000</v>
      </c>
      <c r="AD278" s="18"/>
      <c r="AE278" s="18"/>
      <c r="AF278" s="4">
        <f t="shared" si="16"/>
        <v>0</v>
      </c>
      <c r="AG278" s="4"/>
      <c r="AH278" s="16">
        <f t="shared" si="17"/>
        <v>0</v>
      </c>
      <c r="AI278" s="21">
        <f t="shared" si="18"/>
        <v>0</v>
      </c>
      <c r="AJ278" s="20">
        <f t="shared" si="19"/>
        <v>0</v>
      </c>
      <c r="AK278" s="9"/>
    </row>
    <row r="279" spans="1:37" hidden="1">
      <c r="A279" s="3">
        <v>277</v>
      </c>
      <c r="B279" s="12"/>
      <c r="C279" s="13"/>
      <c r="D279" s="13"/>
      <c r="E279" s="13"/>
      <c r="F279" s="13"/>
      <c r="G279" s="13"/>
      <c r="H279" s="28"/>
      <c r="I279" s="39" t="s">
        <v>287</v>
      </c>
      <c r="J279" s="24" t="s">
        <v>1389</v>
      </c>
      <c r="K279" s="26" t="s">
        <v>668</v>
      </c>
      <c r="L279" s="26" t="s">
        <v>601</v>
      </c>
      <c r="M279" s="41">
        <f>IFERROR(VLOOKUP($L279,'[2]Top WH -National'!$D$9:$AC$124,26,0),0)</f>
        <v>67785000</v>
      </c>
      <c r="N279" s="41">
        <f>IFERROR(VLOOKUP($L279,'[2]Top WH -National'!$D$9:$AC$124,4,0),0)</f>
        <v>426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4">
        <f>(VLOOKUP($O$2,Prices!$E$3:$F$17,2,FALSE)*Urban!O279)+(VLOOKUP($P$2,Prices!$E$3:$F$17,2,FALSE)*Urban!P279)+(VLOOKUP($Q$2,Prices!$E$3:$F$17,2,FALSE)*Urban!Q279)+(VLOOKUP($R$2,Prices!$E$3:$F$17,2,FALSE)*Urban!R279)+(VLOOKUP($S$2,Prices!$E$3:$F$17,2,FALSE)*Urban!S279)+(VLOOKUP($T$2,Prices!$E$3:$F$17,2,FALSE)*Urban!T279)+(VLOOKUP($U$2,Prices!$E$3:$F$17,2,FALSE)*Urban!U279)+(VLOOKUP($V$2,Prices!$E$3:$F$17,2,FALSE)*Urban!V279)+(VLOOKUP($W$2,Prices!$E$3:$F$17,2,FALSE)*Urban!W279)+(VLOOKUP($X$2,Prices!$E$3:$F$17,2,FALSE)*Urban!X279)+(VLOOKUP($Y$2,Prices!$E$3:$F$17,2,FALSE)*Urban!Y279)+(VLOOKUP($Z$2,Prices!$E$3:$F$17,2,FALSE)*Urban!Z279)+(VLOOKUP($AA$2,Prices!$E$3:$F$17,2,FALSE)*Urban!AA279)+(VLOOKUP($AB$2,Prices!$E$3:$F$17,2,FALSE)*Urban!AB279)+M279</f>
        <v>67785000</v>
      </c>
      <c r="AD279" s="18"/>
      <c r="AE279" s="18"/>
      <c r="AF279" s="4">
        <f t="shared" si="16"/>
        <v>0</v>
      </c>
      <c r="AG279" s="4"/>
      <c r="AH279" s="16">
        <f t="shared" si="17"/>
        <v>0</v>
      </c>
      <c r="AI279" s="21">
        <f t="shared" si="18"/>
        <v>0</v>
      </c>
      <c r="AJ279" s="20">
        <f t="shared" si="19"/>
        <v>0</v>
      </c>
      <c r="AK279" s="9"/>
    </row>
    <row r="280" spans="1:37" hidden="1">
      <c r="A280" s="3">
        <v>278</v>
      </c>
      <c r="B280" s="12"/>
      <c r="C280" s="13"/>
      <c r="D280" s="13"/>
      <c r="E280" s="13"/>
      <c r="F280" s="13"/>
      <c r="G280" s="13"/>
      <c r="H280" s="28"/>
      <c r="I280" s="39" t="s">
        <v>288</v>
      </c>
      <c r="J280" s="24" t="s">
        <v>1389</v>
      </c>
      <c r="K280" s="26" t="s">
        <v>668</v>
      </c>
      <c r="L280" s="26" t="s">
        <v>602</v>
      </c>
      <c r="M280" s="41">
        <f>IFERROR(VLOOKUP($L280,'[2]Top WH -National'!$D$9:$AC$124,26,0),0)</f>
        <v>63855000</v>
      </c>
      <c r="N280" s="41">
        <f>IFERROR(VLOOKUP($L280,'[2]Top WH -National'!$D$9:$AC$124,4,0),0)</f>
        <v>396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4">
        <f>(VLOOKUP($O$2,Prices!$E$3:$F$17,2,FALSE)*Urban!O280)+(VLOOKUP($P$2,Prices!$E$3:$F$17,2,FALSE)*Urban!P280)+(VLOOKUP($Q$2,Prices!$E$3:$F$17,2,FALSE)*Urban!Q280)+(VLOOKUP($R$2,Prices!$E$3:$F$17,2,FALSE)*Urban!R280)+(VLOOKUP($S$2,Prices!$E$3:$F$17,2,FALSE)*Urban!S280)+(VLOOKUP($T$2,Prices!$E$3:$F$17,2,FALSE)*Urban!T280)+(VLOOKUP($U$2,Prices!$E$3:$F$17,2,FALSE)*Urban!U280)+(VLOOKUP($V$2,Prices!$E$3:$F$17,2,FALSE)*Urban!V280)+(VLOOKUP($W$2,Prices!$E$3:$F$17,2,FALSE)*Urban!W280)+(VLOOKUP($X$2,Prices!$E$3:$F$17,2,FALSE)*Urban!X280)+(VLOOKUP($Y$2,Prices!$E$3:$F$17,2,FALSE)*Urban!Y280)+(VLOOKUP($Z$2,Prices!$E$3:$F$17,2,FALSE)*Urban!Z280)+(VLOOKUP($AA$2,Prices!$E$3:$F$17,2,FALSE)*Urban!AA280)+(VLOOKUP($AB$2,Prices!$E$3:$F$17,2,FALSE)*Urban!AB280)+M280</f>
        <v>63855000</v>
      </c>
      <c r="AD280" s="18"/>
      <c r="AE280" s="18"/>
      <c r="AF280" s="4">
        <f t="shared" si="16"/>
        <v>0</v>
      </c>
      <c r="AG280" s="4"/>
      <c r="AH280" s="16">
        <f t="shared" si="17"/>
        <v>0</v>
      </c>
      <c r="AI280" s="21">
        <f t="shared" si="18"/>
        <v>0</v>
      </c>
      <c r="AJ280" s="20">
        <f t="shared" si="19"/>
        <v>0</v>
      </c>
      <c r="AK280" s="9"/>
    </row>
    <row r="281" spans="1:37" hidden="1">
      <c r="A281" s="3">
        <v>279</v>
      </c>
      <c r="B281" s="12"/>
      <c r="C281" s="13"/>
      <c r="D281" s="13"/>
      <c r="E281" s="13"/>
      <c r="F281" s="13"/>
      <c r="G281" s="13"/>
      <c r="H281" s="28"/>
      <c r="I281" s="39" t="s">
        <v>289</v>
      </c>
      <c r="J281" s="24" t="s">
        <v>1389</v>
      </c>
      <c r="K281" s="26" t="s">
        <v>668</v>
      </c>
      <c r="L281" s="26" t="s">
        <v>603</v>
      </c>
      <c r="M281" s="41">
        <f>IFERROR(VLOOKUP($L281,'[2]Top WH -National'!$D$9:$AC$124,26,0),0)</f>
        <v>74220000</v>
      </c>
      <c r="N281" s="41">
        <f>IFERROR(VLOOKUP($L281,'[2]Top WH -National'!$D$9:$AC$124,4,0),0)</f>
        <v>460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4">
        <f>(VLOOKUP($O$2,Prices!$E$3:$F$17,2,FALSE)*Urban!O281)+(VLOOKUP($P$2,Prices!$E$3:$F$17,2,FALSE)*Urban!P281)+(VLOOKUP($Q$2,Prices!$E$3:$F$17,2,FALSE)*Urban!Q281)+(VLOOKUP($R$2,Prices!$E$3:$F$17,2,FALSE)*Urban!R281)+(VLOOKUP($S$2,Prices!$E$3:$F$17,2,FALSE)*Urban!S281)+(VLOOKUP($T$2,Prices!$E$3:$F$17,2,FALSE)*Urban!T281)+(VLOOKUP($U$2,Prices!$E$3:$F$17,2,FALSE)*Urban!U281)+(VLOOKUP($V$2,Prices!$E$3:$F$17,2,FALSE)*Urban!V281)+(VLOOKUP($W$2,Prices!$E$3:$F$17,2,FALSE)*Urban!W281)+(VLOOKUP($X$2,Prices!$E$3:$F$17,2,FALSE)*Urban!X281)+(VLOOKUP($Y$2,Prices!$E$3:$F$17,2,FALSE)*Urban!Y281)+(VLOOKUP($Z$2,Prices!$E$3:$F$17,2,FALSE)*Urban!Z281)+(VLOOKUP($AA$2,Prices!$E$3:$F$17,2,FALSE)*Urban!AA281)+(VLOOKUP($AB$2,Prices!$E$3:$F$17,2,FALSE)*Urban!AB281)+M281</f>
        <v>74220000</v>
      </c>
      <c r="AD281" s="18"/>
      <c r="AE281" s="18"/>
      <c r="AF281" s="4">
        <f t="shared" si="16"/>
        <v>0</v>
      </c>
      <c r="AG281" s="4"/>
      <c r="AH281" s="16">
        <f t="shared" si="17"/>
        <v>0</v>
      </c>
      <c r="AI281" s="21">
        <f t="shared" si="18"/>
        <v>0</v>
      </c>
      <c r="AJ281" s="20">
        <f t="shared" si="19"/>
        <v>0</v>
      </c>
      <c r="AK281" s="19"/>
    </row>
    <row r="282" spans="1:37" hidden="1">
      <c r="A282" s="3">
        <v>280</v>
      </c>
      <c r="B282" s="12"/>
      <c r="C282" s="13"/>
      <c r="D282" s="13"/>
      <c r="E282" s="13"/>
      <c r="F282" s="13"/>
      <c r="G282" s="13"/>
      <c r="H282" s="28"/>
      <c r="I282" s="39" t="s">
        <v>290</v>
      </c>
      <c r="J282" s="24" t="s">
        <v>1389</v>
      </c>
      <c r="K282" s="26" t="s">
        <v>668</v>
      </c>
      <c r="L282" s="26" t="s">
        <v>604</v>
      </c>
      <c r="M282" s="41">
        <f>IFERROR(VLOOKUP($L282,'[2]Top WH -National'!$D$9:$AC$124,26,0),0)</f>
        <v>94450000</v>
      </c>
      <c r="N282" s="41">
        <f>IFERROR(VLOOKUP($L282,'[2]Top WH -National'!$D$9:$AC$124,4,0),0)</f>
        <v>600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4">
        <f>(VLOOKUP($O$2,Prices!$E$3:$F$17,2,FALSE)*Urban!O282)+(VLOOKUP($P$2,Prices!$E$3:$F$17,2,FALSE)*Urban!P282)+(VLOOKUP($Q$2,Prices!$E$3:$F$17,2,FALSE)*Urban!Q282)+(VLOOKUP($R$2,Prices!$E$3:$F$17,2,FALSE)*Urban!R282)+(VLOOKUP($S$2,Prices!$E$3:$F$17,2,FALSE)*Urban!S282)+(VLOOKUP($T$2,Prices!$E$3:$F$17,2,FALSE)*Urban!T282)+(VLOOKUP($U$2,Prices!$E$3:$F$17,2,FALSE)*Urban!U282)+(VLOOKUP($V$2,Prices!$E$3:$F$17,2,FALSE)*Urban!V282)+(VLOOKUP($W$2,Prices!$E$3:$F$17,2,FALSE)*Urban!W282)+(VLOOKUP($X$2,Prices!$E$3:$F$17,2,FALSE)*Urban!X282)+(VLOOKUP($Y$2,Prices!$E$3:$F$17,2,FALSE)*Urban!Y282)+(VLOOKUP($Z$2,Prices!$E$3:$F$17,2,FALSE)*Urban!Z282)+(VLOOKUP($AA$2,Prices!$E$3:$F$17,2,FALSE)*Urban!AA282)+(VLOOKUP($AB$2,Prices!$E$3:$F$17,2,FALSE)*Urban!AB282)+M282</f>
        <v>94450000</v>
      </c>
      <c r="AD282" s="18"/>
      <c r="AE282" s="18"/>
      <c r="AF282" s="4">
        <f t="shared" si="16"/>
        <v>0</v>
      </c>
      <c r="AG282" s="4"/>
      <c r="AH282" s="16">
        <f t="shared" si="17"/>
        <v>0</v>
      </c>
      <c r="AI282" s="21">
        <f t="shared" si="18"/>
        <v>0</v>
      </c>
      <c r="AJ282" s="20">
        <f t="shared" si="19"/>
        <v>0</v>
      </c>
      <c r="AK282" s="9"/>
    </row>
    <row r="283" spans="1:37" hidden="1">
      <c r="A283" s="3">
        <v>281</v>
      </c>
      <c r="B283" s="12"/>
      <c r="C283" s="13"/>
      <c r="D283" s="13"/>
      <c r="E283" s="13"/>
      <c r="F283" s="13"/>
      <c r="G283" s="13"/>
      <c r="H283" s="28"/>
      <c r="I283" s="39" t="s">
        <v>291</v>
      </c>
      <c r="J283" s="24" t="s">
        <v>1389</v>
      </c>
      <c r="K283" s="26" t="s">
        <v>668</v>
      </c>
      <c r="L283" s="26" t="s">
        <v>605</v>
      </c>
      <c r="M283" s="41">
        <f>IFERROR(VLOOKUP($L283,'[2]Top WH -National'!$D$9:$AC$124,26,0),0)</f>
        <v>63855000</v>
      </c>
      <c r="N283" s="41">
        <f>IFERROR(VLOOKUP($L283,'[2]Top WH -National'!$D$9:$AC$124,4,0),0)</f>
        <v>396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4">
        <f>(VLOOKUP($O$2,Prices!$E$3:$F$17,2,FALSE)*Urban!O283)+(VLOOKUP($P$2,Prices!$E$3:$F$17,2,FALSE)*Urban!P283)+(VLOOKUP($Q$2,Prices!$E$3:$F$17,2,FALSE)*Urban!Q283)+(VLOOKUP($R$2,Prices!$E$3:$F$17,2,FALSE)*Urban!R283)+(VLOOKUP($S$2,Prices!$E$3:$F$17,2,FALSE)*Urban!S283)+(VLOOKUP($T$2,Prices!$E$3:$F$17,2,FALSE)*Urban!T283)+(VLOOKUP($U$2,Prices!$E$3:$F$17,2,FALSE)*Urban!U283)+(VLOOKUP($V$2,Prices!$E$3:$F$17,2,FALSE)*Urban!V283)+(VLOOKUP($W$2,Prices!$E$3:$F$17,2,FALSE)*Urban!W283)+(VLOOKUP($X$2,Prices!$E$3:$F$17,2,FALSE)*Urban!X283)+(VLOOKUP($Y$2,Prices!$E$3:$F$17,2,FALSE)*Urban!Y283)+(VLOOKUP($Z$2,Prices!$E$3:$F$17,2,FALSE)*Urban!Z283)+(VLOOKUP($AA$2,Prices!$E$3:$F$17,2,FALSE)*Urban!AA283)+(VLOOKUP($AB$2,Prices!$E$3:$F$17,2,FALSE)*Urban!AB283)+M283</f>
        <v>63855000</v>
      </c>
      <c r="AD283" s="18"/>
      <c r="AE283" s="18"/>
      <c r="AF283" s="4">
        <f t="shared" si="16"/>
        <v>0</v>
      </c>
      <c r="AG283" s="4"/>
      <c r="AH283" s="16">
        <f t="shared" si="17"/>
        <v>0</v>
      </c>
      <c r="AI283" s="21">
        <f t="shared" si="18"/>
        <v>0</v>
      </c>
      <c r="AJ283" s="20">
        <f t="shared" si="19"/>
        <v>0</v>
      </c>
      <c r="AK283" s="9"/>
    </row>
    <row r="284" spans="1:37" hidden="1">
      <c r="A284" s="3">
        <v>282</v>
      </c>
      <c r="B284" s="12"/>
      <c r="C284" s="13"/>
      <c r="D284" s="13"/>
      <c r="E284" s="13"/>
      <c r="F284" s="13"/>
      <c r="G284" s="13"/>
      <c r="H284" s="28"/>
      <c r="I284" s="39" t="s">
        <v>293</v>
      </c>
      <c r="J284" s="24" t="s">
        <v>1390</v>
      </c>
      <c r="K284" s="26" t="s">
        <v>669</v>
      </c>
      <c r="L284" s="26" t="s">
        <v>607</v>
      </c>
      <c r="M284" s="41">
        <f>IFERROR(VLOOKUP($L284,'[2]Top WH -National'!$D$9:$AC$124,26,0),0)</f>
        <v>76622000</v>
      </c>
      <c r="N284" s="41">
        <f>IFERROR(VLOOKUP($L284,'[2]Top WH -National'!$D$9:$AC$124,4,0),0)</f>
        <v>550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4">
        <f>(VLOOKUP($O$2,Prices!$E$3:$F$17,2,FALSE)*Urban!O284)+(VLOOKUP($P$2,Prices!$E$3:$F$17,2,FALSE)*Urban!P284)+(VLOOKUP($Q$2,Prices!$E$3:$F$17,2,FALSE)*Urban!Q284)+(VLOOKUP($R$2,Prices!$E$3:$F$17,2,FALSE)*Urban!R284)+(VLOOKUP($S$2,Prices!$E$3:$F$17,2,FALSE)*Urban!S284)+(VLOOKUP($T$2,Prices!$E$3:$F$17,2,FALSE)*Urban!T284)+(VLOOKUP($U$2,Prices!$E$3:$F$17,2,FALSE)*Urban!U284)+(VLOOKUP($V$2,Prices!$E$3:$F$17,2,FALSE)*Urban!V284)+(VLOOKUP($W$2,Prices!$E$3:$F$17,2,FALSE)*Urban!W284)+(VLOOKUP($X$2,Prices!$E$3:$F$17,2,FALSE)*Urban!X284)+(VLOOKUP($Y$2,Prices!$E$3:$F$17,2,FALSE)*Urban!Y284)+(VLOOKUP($Z$2,Prices!$E$3:$F$17,2,FALSE)*Urban!Z284)+(VLOOKUP($AA$2,Prices!$E$3:$F$17,2,FALSE)*Urban!AA284)+(VLOOKUP($AB$2,Prices!$E$3:$F$17,2,FALSE)*Urban!AB284)+M284</f>
        <v>76622000</v>
      </c>
      <c r="AD284" s="18"/>
      <c r="AE284" s="18"/>
      <c r="AF284" s="4">
        <f t="shared" si="16"/>
        <v>0</v>
      </c>
      <c r="AG284" s="4"/>
      <c r="AH284" s="16">
        <f t="shared" si="17"/>
        <v>0</v>
      </c>
      <c r="AI284" s="21">
        <f t="shared" si="18"/>
        <v>0</v>
      </c>
      <c r="AJ284" s="20">
        <f t="shared" si="19"/>
        <v>0</v>
      </c>
      <c r="AK284" s="9"/>
    </row>
    <row r="285" spans="1:37" hidden="1">
      <c r="A285" s="3">
        <v>283</v>
      </c>
      <c r="B285" s="12"/>
      <c r="C285" s="13"/>
      <c r="D285" s="13"/>
      <c r="E285" s="13"/>
      <c r="F285" s="13"/>
      <c r="G285" s="13"/>
      <c r="H285" s="28"/>
      <c r="I285" s="39" t="s">
        <v>294</v>
      </c>
      <c r="J285" s="24" t="s">
        <v>1390</v>
      </c>
      <c r="K285" s="26" t="s">
        <v>669</v>
      </c>
      <c r="L285" s="26" t="s">
        <v>608</v>
      </c>
      <c r="M285" s="41">
        <f>IFERROR(VLOOKUP($L285,'[2]Top WH -National'!$D$9:$AC$124,26,0),0)</f>
        <v>301461000</v>
      </c>
      <c r="N285" s="41">
        <f>IFERROR(VLOOKUP($L285,'[2]Top WH -National'!$D$9:$AC$124,4,0),0)</f>
        <v>2006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4">
        <f>(VLOOKUP($O$2,Prices!$E$3:$F$17,2,FALSE)*Urban!O285)+(VLOOKUP($P$2,Prices!$E$3:$F$17,2,FALSE)*Urban!P285)+(VLOOKUP($Q$2,Prices!$E$3:$F$17,2,FALSE)*Urban!Q285)+(VLOOKUP($R$2,Prices!$E$3:$F$17,2,FALSE)*Urban!R285)+(VLOOKUP($S$2,Prices!$E$3:$F$17,2,FALSE)*Urban!S285)+(VLOOKUP($T$2,Prices!$E$3:$F$17,2,FALSE)*Urban!T285)+(VLOOKUP($U$2,Prices!$E$3:$F$17,2,FALSE)*Urban!U285)+(VLOOKUP($V$2,Prices!$E$3:$F$17,2,FALSE)*Urban!V285)+(VLOOKUP($W$2,Prices!$E$3:$F$17,2,FALSE)*Urban!W285)+(VLOOKUP($X$2,Prices!$E$3:$F$17,2,FALSE)*Urban!X285)+(VLOOKUP($Y$2,Prices!$E$3:$F$17,2,FALSE)*Urban!Y285)+(VLOOKUP($Z$2,Prices!$E$3:$F$17,2,FALSE)*Urban!Z285)+(VLOOKUP($AA$2,Prices!$E$3:$F$17,2,FALSE)*Urban!AA285)+(VLOOKUP($AB$2,Prices!$E$3:$F$17,2,FALSE)*Urban!AB285)+M285</f>
        <v>301461000</v>
      </c>
      <c r="AD285" s="18"/>
      <c r="AE285" s="18"/>
      <c r="AF285" s="4">
        <f t="shared" si="16"/>
        <v>0</v>
      </c>
      <c r="AG285" s="4"/>
      <c r="AH285" s="16">
        <f t="shared" si="17"/>
        <v>0</v>
      </c>
      <c r="AI285" s="21">
        <f t="shared" si="18"/>
        <v>0</v>
      </c>
      <c r="AJ285" s="20">
        <f t="shared" si="19"/>
        <v>0</v>
      </c>
      <c r="AK285" s="9"/>
    </row>
    <row r="286" spans="1:37" hidden="1">
      <c r="A286" s="3">
        <v>284</v>
      </c>
      <c r="B286" s="12"/>
      <c r="C286" s="13"/>
      <c r="D286" s="13"/>
      <c r="E286" s="13"/>
      <c r="F286" s="13"/>
      <c r="G286" s="13"/>
      <c r="H286" s="28"/>
      <c r="I286" s="39" t="s">
        <v>295</v>
      </c>
      <c r="J286" s="24" t="s">
        <v>1390</v>
      </c>
      <c r="K286" s="26" t="s">
        <v>669</v>
      </c>
      <c r="L286" s="26" t="s">
        <v>609</v>
      </c>
      <c r="M286" s="41">
        <f>IFERROR(VLOOKUP($L286,'[2]Top WH -National'!$D$9:$AC$124,26,0),0)</f>
        <v>52995000</v>
      </c>
      <c r="N286" s="41">
        <f>IFERROR(VLOOKUP($L286,'[2]Top WH -National'!$D$9:$AC$124,4,0),0)</f>
        <v>347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4">
        <f>(VLOOKUP($O$2,Prices!$E$3:$F$17,2,FALSE)*Urban!O286)+(VLOOKUP($P$2,Prices!$E$3:$F$17,2,FALSE)*Urban!P286)+(VLOOKUP($Q$2,Prices!$E$3:$F$17,2,FALSE)*Urban!Q286)+(VLOOKUP($R$2,Prices!$E$3:$F$17,2,FALSE)*Urban!R286)+(VLOOKUP($S$2,Prices!$E$3:$F$17,2,FALSE)*Urban!S286)+(VLOOKUP($T$2,Prices!$E$3:$F$17,2,FALSE)*Urban!T286)+(VLOOKUP($U$2,Prices!$E$3:$F$17,2,FALSE)*Urban!U286)+(VLOOKUP($V$2,Prices!$E$3:$F$17,2,FALSE)*Urban!V286)+(VLOOKUP($W$2,Prices!$E$3:$F$17,2,FALSE)*Urban!W286)+(VLOOKUP($X$2,Prices!$E$3:$F$17,2,FALSE)*Urban!X286)+(VLOOKUP($Y$2,Prices!$E$3:$F$17,2,FALSE)*Urban!Y286)+(VLOOKUP($Z$2,Prices!$E$3:$F$17,2,FALSE)*Urban!Z286)+(VLOOKUP($AA$2,Prices!$E$3:$F$17,2,FALSE)*Urban!AA286)+(VLOOKUP($AB$2,Prices!$E$3:$F$17,2,FALSE)*Urban!AB286)+M286</f>
        <v>52995000</v>
      </c>
      <c r="AD286" s="18"/>
      <c r="AE286" s="18"/>
      <c r="AF286" s="4">
        <f t="shared" si="16"/>
        <v>0</v>
      </c>
      <c r="AG286" s="4"/>
      <c r="AH286" s="16">
        <f t="shared" si="17"/>
        <v>0</v>
      </c>
      <c r="AI286" s="21">
        <f t="shared" si="18"/>
        <v>0</v>
      </c>
      <c r="AJ286" s="20">
        <f t="shared" si="19"/>
        <v>0</v>
      </c>
      <c r="AK286" s="9"/>
    </row>
    <row r="287" spans="1:37" hidden="1">
      <c r="A287" s="3">
        <v>285</v>
      </c>
      <c r="B287" s="12"/>
      <c r="C287" s="13"/>
      <c r="D287" s="13"/>
      <c r="E287" s="13"/>
      <c r="F287" s="13"/>
      <c r="G287" s="13"/>
      <c r="H287" s="28"/>
      <c r="I287" s="39" t="s">
        <v>296</v>
      </c>
      <c r="J287" s="24" t="s">
        <v>1390</v>
      </c>
      <c r="K287" s="26" t="s">
        <v>669</v>
      </c>
      <c r="L287" s="26" t="s">
        <v>610</v>
      </c>
      <c r="M287" s="41">
        <f>IFERROR(VLOOKUP($L287,'[2]Top WH -National'!$D$9:$AC$124,26,0),0)</f>
        <v>356145000</v>
      </c>
      <c r="N287" s="41">
        <f>IFERROR(VLOOKUP($L287,'[2]Top WH -National'!$D$9:$AC$124,4,0),0)</f>
        <v>2336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4">
        <f>(VLOOKUP($O$2,Prices!$E$3:$F$17,2,FALSE)*Urban!O287)+(VLOOKUP($P$2,Prices!$E$3:$F$17,2,FALSE)*Urban!P287)+(VLOOKUP($Q$2,Prices!$E$3:$F$17,2,FALSE)*Urban!Q287)+(VLOOKUP($R$2,Prices!$E$3:$F$17,2,FALSE)*Urban!R287)+(VLOOKUP($S$2,Prices!$E$3:$F$17,2,FALSE)*Urban!S287)+(VLOOKUP($T$2,Prices!$E$3:$F$17,2,FALSE)*Urban!T287)+(VLOOKUP($U$2,Prices!$E$3:$F$17,2,FALSE)*Urban!U287)+(VLOOKUP($V$2,Prices!$E$3:$F$17,2,FALSE)*Urban!V287)+(VLOOKUP($W$2,Prices!$E$3:$F$17,2,FALSE)*Urban!W287)+(VLOOKUP($X$2,Prices!$E$3:$F$17,2,FALSE)*Urban!X287)+(VLOOKUP($Y$2,Prices!$E$3:$F$17,2,FALSE)*Urban!Y287)+(VLOOKUP($Z$2,Prices!$E$3:$F$17,2,FALSE)*Urban!Z287)+(VLOOKUP($AA$2,Prices!$E$3:$F$17,2,FALSE)*Urban!AA287)+(VLOOKUP($AB$2,Prices!$E$3:$F$17,2,FALSE)*Urban!AB287)+M287</f>
        <v>356145000</v>
      </c>
      <c r="AD287" s="18"/>
      <c r="AE287" s="18"/>
      <c r="AF287" s="4">
        <f t="shared" si="16"/>
        <v>0</v>
      </c>
      <c r="AG287" s="4"/>
      <c r="AH287" s="16">
        <f t="shared" si="17"/>
        <v>0</v>
      </c>
      <c r="AI287" s="21">
        <f t="shared" si="18"/>
        <v>0</v>
      </c>
      <c r="AJ287" s="20">
        <f t="shared" si="19"/>
        <v>0</v>
      </c>
      <c r="AK287" s="9"/>
    </row>
    <row r="288" spans="1:37" hidden="1">
      <c r="A288" s="3">
        <v>286</v>
      </c>
      <c r="B288" s="12"/>
      <c r="C288" s="13"/>
      <c r="D288" s="13"/>
      <c r="E288" s="13"/>
      <c r="F288" s="13"/>
      <c r="G288" s="13"/>
      <c r="H288" s="28"/>
      <c r="I288" s="39" t="s">
        <v>297</v>
      </c>
      <c r="J288" s="68" t="s">
        <v>1390</v>
      </c>
      <c r="K288" s="26" t="s">
        <v>669</v>
      </c>
      <c r="L288" s="26" t="s">
        <v>611</v>
      </c>
      <c r="M288" s="41">
        <f>IFERROR(VLOOKUP($L288,'[2]Top WH -National'!$D$9:$AC$124,26,0),0)</f>
        <v>174909000</v>
      </c>
      <c r="N288" s="41">
        <f>IFERROR(VLOOKUP($L288,'[2]Top WH -National'!$D$9:$AC$124,4,0),0)</f>
        <v>1265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4">
        <f>(VLOOKUP($O$2,Prices!$E$3:$F$17,2,FALSE)*Urban!O288)+(VLOOKUP($P$2,Prices!$E$3:$F$17,2,FALSE)*Urban!P288)+(VLOOKUP($Q$2,Prices!$E$3:$F$17,2,FALSE)*Urban!Q288)+(VLOOKUP($R$2,Prices!$E$3:$F$17,2,FALSE)*Urban!R288)+(VLOOKUP($S$2,Prices!$E$3:$F$17,2,FALSE)*Urban!S288)+(VLOOKUP($T$2,Prices!$E$3:$F$17,2,FALSE)*Urban!T288)+(VLOOKUP($U$2,Prices!$E$3:$F$17,2,FALSE)*Urban!U288)+(VLOOKUP($V$2,Prices!$E$3:$F$17,2,FALSE)*Urban!V288)+(VLOOKUP($W$2,Prices!$E$3:$F$17,2,FALSE)*Urban!W288)+(VLOOKUP($X$2,Prices!$E$3:$F$17,2,FALSE)*Urban!X288)+(VLOOKUP($Y$2,Prices!$E$3:$F$17,2,FALSE)*Urban!Y288)+(VLOOKUP($Z$2,Prices!$E$3:$F$17,2,FALSE)*Urban!Z288)+(VLOOKUP($AA$2,Prices!$E$3:$F$17,2,FALSE)*Urban!AA288)+(VLOOKUP($AB$2,Prices!$E$3:$F$17,2,FALSE)*Urban!AB288)+M288</f>
        <v>174909000</v>
      </c>
      <c r="AD288" s="18"/>
      <c r="AE288" s="18"/>
      <c r="AF288" s="4">
        <f t="shared" si="16"/>
        <v>0</v>
      </c>
      <c r="AG288" s="4"/>
      <c r="AH288" s="16">
        <f t="shared" si="17"/>
        <v>0</v>
      </c>
      <c r="AI288" s="21">
        <f t="shared" si="18"/>
        <v>0</v>
      </c>
      <c r="AJ288" s="20">
        <f t="shared" si="19"/>
        <v>0</v>
      </c>
      <c r="AK288" s="9"/>
    </row>
    <row r="289" spans="1:37" hidden="1">
      <c r="A289" s="3">
        <v>287</v>
      </c>
      <c r="B289" s="12"/>
      <c r="C289" s="13"/>
      <c r="D289" s="13"/>
      <c r="E289" s="13"/>
      <c r="F289" s="13"/>
      <c r="G289" s="13"/>
      <c r="H289" s="28"/>
      <c r="I289" s="39" t="s">
        <v>298</v>
      </c>
      <c r="J289" s="68" t="s">
        <v>1390</v>
      </c>
      <c r="K289" s="26" t="s">
        <v>669</v>
      </c>
      <c r="L289" s="26" t="s">
        <v>612</v>
      </c>
      <c r="M289" s="41">
        <f>IFERROR(VLOOKUP($L289,'[2]Top WH -National'!$D$9:$AC$124,26,0),0)</f>
        <v>283564000</v>
      </c>
      <c r="N289" s="41">
        <f>IFERROR(VLOOKUP($L289,'[2]Top WH -National'!$D$9:$AC$124,4,0),0)</f>
        <v>2016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4">
        <f>(VLOOKUP($O$2,Prices!$E$3:$F$17,2,FALSE)*Urban!O289)+(VLOOKUP($P$2,Prices!$E$3:$F$17,2,FALSE)*Urban!P289)+(VLOOKUP($Q$2,Prices!$E$3:$F$17,2,FALSE)*Urban!Q289)+(VLOOKUP($R$2,Prices!$E$3:$F$17,2,FALSE)*Urban!R289)+(VLOOKUP($S$2,Prices!$E$3:$F$17,2,FALSE)*Urban!S289)+(VLOOKUP($T$2,Prices!$E$3:$F$17,2,FALSE)*Urban!T289)+(VLOOKUP($U$2,Prices!$E$3:$F$17,2,FALSE)*Urban!U289)+(VLOOKUP($V$2,Prices!$E$3:$F$17,2,FALSE)*Urban!V289)+(VLOOKUP($W$2,Prices!$E$3:$F$17,2,FALSE)*Urban!W289)+(VLOOKUP($X$2,Prices!$E$3:$F$17,2,FALSE)*Urban!X289)+(VLOOKUP($Y$2,Prices!$E$3:$F$17,2,FALSE)*Urban!Y289)+(VLOOKUP($Z$2,Prices!$E$3:$F$17,2,FALSE)*Urban!Z289)+(VLOOKUP($AA$2,Prices!$E$3:$F$17,2,FALSE)*Urban!AA289)+(VLOOKUP($AB$2,Prices!$E$3:$F$17,2,FALSE)*Urban!AB289)+M289</f>
        <v>283564000</v>
      </c>
      <c r="AD289" s="18"/>
      <c r="AE289" s="18"/>
      <c r="AF289" s="4">
        <f t="shared" si="16"/>
        <v>0</v>
      </c>
      <c r="AG289" s="4"/>
      <c r="AH289" s="16">
        <f t="shared" si="17"/>
        <v>0</v>
      </c>
      <c r="AI289" s="21">
        <f t="shared" si="18"/>
        <v>0</v>
      </c>
      <c r="AJ289" s="20">
        <f t="shared" si="19"/>
        <v>0</v>
      </c>
      <c r="AK289" s="9"/>
    </row>
    <row r="290" spans="1:37" hidden="1">
      <c r="A290" s="3">
        <v>288</v>
      </c>
      <c r="B290" s="12"/>
      <c r="C290" s="13"/>
      <c r="D290" s="13"/>
      <c r="E290" s="13"/>
      <c r="F290" s="13"/>
      <c r="G290" s="13"/>
      <c r="H290" s="28"/>
      <c r="I290" s="24" t="s">
        <v>299</v>
      </c>
      <c r="J290" s="24" t="s">
        <v>1390</v>
      </c>
      <c r="K290" s="26" t="s">
        <v>669</v>
      </c>
      <c r="L290" s="26" t="s">
        <v>613</v>
      </c>
      <c r="M290" s="66">
        <f>IFERROR(VLOOKUP($L290,[1]Consolidated!$C$9:$AC$341,27,0),0)</f>
        <v>47208000</v>
      </c>
      <c r="N290" s="66">
        <f>IFERROR(VLOOKUP($L290,[1]Consolidated!$C$9:$AC$341,5,0),0)</f>
        <v>350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4">
        <f>(VLOOKUP($O$2,Prices!$E$3:$F$17,2,FALSE)*Urban!O290)+(VLOOKUP($P$2,Prices!$E$3:$F$17,2,FALSE)*Urban!P290)+(VLOOKUP($Q$2,Prices!$E$3:$F$17,2,FALSE)*Urban!Q290)+(VLOOKUP($R$2,Prices!$E$3:$F$17,2,FALSE)*Urban!R290)+(VLOOKUP($S$2,Prices!$E$3:$F$17,2,FALSE)*Urban!S290)+(VLOOKUP($T$2,Prices!$E$3:$F$17,2,FALSE)*Urban!T290)+(VLOOKUP($U$2,Prices!$E$3:$F$17,2,FALSE)*Urban!U290)+(VLOOKUP($V$2,Prices!$E$3:$F$17,2,FALSE)*Urban!V290)+(VLOOKUP($W$2,Prices!$E$3:$F$17,2,FALSE)*Urban!W290)+(VLOOKUP($X$2,Prices!$E$3:$F$17,2,FALSE)*Urban!X290)+(VLOOKUP($Y$2,Prices!$E$3:$F$17,2,FALSE)*Urban!Y290)+(VLOOKUP($Z$2,Prices!$E$3:$F$17,2,FALSE)*Urban!Z290)+(VLOOKUP($AA$2,Prices!$E$3:$F$17,2,FALSE)*Urban!AA290)+(VLOOKUP($AB$2,Prices!$E$3:$F$17,2,FALSE)*Urban!AB290)+M290</f>
        <v>47208000</v>
      </c>
      <c r="AD290" s="18"/>
      <c r="AE290" s="18"/>
      <c r="AF290" s="4">
        <f t="shared" si="16"/>
        <v>0</v>
      </c>
      <c r="AG290" s="4"/>
      <c r="AH290" s="16">
        <f t="shared" si="17"/>
        <v>0</v>
      </c>
      <c r="AI290" s="21">
        <f t="shared" si="18"/>
        <v>0</v>
      </c>
      <c r="AJ290" s="20">
        <f t="shared" si="19"/>
        <v>0</v>
      </c>
      <c r="AK290" s="19"/>
    </row>
    <row r="291" spans="1:37" hidden="1">
      <c r="A291" s="3">
        <v>289</v>
      </c>
      <c r="B291" s="12"/>
      <c r="C291" s="13"/>
      <c r="D291" s="13"/>
      <c r="E291" s="13"/>
      <c r="F291" s="13"/>
      <c r="G291" s="13"/>
      <c r="H291" s="28"/>
      <c r="I291" s="39" t="s">
        <v>300</v>
      </c>
      <c r="J291" s="24" t="s">
        <v>1390</v>
      </c>
      <c r="K291" s="26" t="s">
        <v>669</v>
      </c>
      <c r="L291" s="26" t="s">
        <v>614</v>
      </c>
      <c r="M291" s="41">
        <f>IFERROR(VLOOKUP($L291,'[2]Top WH -National'!$D$9:$AC$124,26,0),0)</f>
        <v>178450000</v>
      </c>
      <c r="N291" s="41">
        <f>IFERROR(VLOOKUP($L291,'[2]Top WH -National'!$D$9:$AC$124,4,0),0)</f>
        <v>1318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4">
        <f>(VLOOKUP($O$2,Prices!$E$3:$F$17,2,FALSE)*Urban!O291)+(VLOOKUP($P$2,Prices!$E$3:$F$17,2,FALSE)*Urban!P291)+(VLOOKUP($Q$2,Prices!$E$3:$F$17,2,FALSE)*Urban!Q291)+(VLOOKUP($R$2,Prices!$E$3:$F$17,2,FALSE)*Urban!R291)+(VLOOKUP($S$2,Prices!$E$3:$F$17,2,FALSE)*Urban!S291)+(VLOOKUP($T$2,Prices!$E$3:$F$17,2,FALSE)*Urban!T291)+(VLOOKUP($U$2,Prices!$E$3:$F$17,2,FALSE)*Urban!U291)+(VLOOKUP($V$2,Prices!$E$3:$F$17,2,FALSE)*Urban!V291)+(VLOOKUP($W$2,Prices!$E$3:$F$17,2,FALSE)*Urban!W291)+(VLOOKUP($X$2,Prices!$E$3:$F$17,2,FALSE)*Urban!X291)+(VLOOKUP($Y$2,Prices!$E$3:$F$17,2,FALSE)*Urban!Y291)+(VLOOKUP($Z$2,Prices!$E$3:$F$17,2,FALSE)*Urban!Z291)+(VLOOKUP($AA$2,Prices!$E$3:$F$17,2,FALSE)*Urban!AA291)+(VLOOKUP($AB$2,Prices!$E$3:$F$17,2,FALSE)*Urban!AB291)+M291</f>
        <v>178450000</v>
      </c>
      <c r="AD291" s="18"/>
      <c r="AE291" s="18"/>
      <c r="AF291" s="4">
        <f t="shared" si="16"/>
        <v>0</v>
      </c>
      <c r="AG291" s="4"/>
      <c r="AH291" s="16">
        <f t="shared" si="17"/>
        <v>0</v>
      </c>
      <c r="AI291" s="21">
        <f t="shared" si="18"/>
        <v>0</v>
      </c>
      <c r="AJ291" s="20">
        <f t="shared" si="19"/>
        <v>0</v>
      </c>
      <c r="AK291" s="9"/>
    </row>
    <row r="292" spans="1:37" hidden="1">
      <c r="A292" s="3">
        <v>290</v>
      </c>
      <c r="B292" s="12"/>
      <c r="C292" s="13"/>
      <c r="D292" s="13"/>
      <c r="E292" s="13"/>
      <c r="F292" s="13"/>
      <c r="G292" s="13"/>
      <c r="H292" s="28"/>
      <c r="I292" s="39" t="s">
        <v>301</v>
      </c>
      <c r="J292" s="24" t="s">
        <v>1390</v>
      </c>
      <c r="K292" s="26" t="s">
        <v>670</v>
      </c>
      <c r="L292" s="26" t="s">
        <v>616</v>
      </c>
      <c r="M292" s="41">
        <f>IFERROR(VLOOKUP($L292,'[2]Top WH -National'!$D$9:$AC$124,26,0),0)</f>
        <v>321110000</v>
      </c>
      <c r="N292" s="41">
        <f>IFERROR(VLOOKUP($L292,'[2]Top WH -National'!$D$9:$AC$124,4,0),0)</f>
        <v>1980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4">
        <f>(VLOOKUP($O$2,Prices!$E$3:$F$17,2,FALSE)*Urban!O292)+(VLOOKUP($P$2,Prices!$E$3:$F$17,2,FALSE)*Urban!P292)+(VLOOKUP($Q$2,Prices!$E$3:$F$17,2,FALSE)*Urban!Q292)+(VLOOKUP($R$2,Prices!$E$3:$F$17,2,FALSE)*Urban!R292)+(VLOOKUP($S$2,Prices!$E$3:$F$17,2,FALSE)*Urban!S292)+(VLOOKUP($T$2,Prices!$E$3:$F$17,2,FALSE)*Urban!T292)+(VLOOKUP($U$2,Prices!$E$3:$F$17,2,FALSE)*Urban!U292)+(VLOOKUP($V$2,Prices!$E$3:$F$17,2,FALSE)*Urban!V292)+(VLOOKUP($W$2,Prices!$E$3:$F$17,2,FALSE)*Urban!W292)+(VLOOKUP($X$2,Prices!$E$3:$F$17,2,FALSE)*Urban!X292)+(VLOOKUP($Y$2,Prices!$E$3:$F$17,2,FALSE)*Urban!Y292)+(VLOOKUP($Z$2,Prices!$E$3:$F$17,2,FALSE)*Urban!Z292)+(VLOOKUP($AA$2,Prices!$E$3:$F$17,2,FALSE)*Urban!AA292)+(VLOOKUP($AB$2,Prices!$E$3:$F$17,2,FALSE)*Urban!AB292)+M292</f>
        <v>321110000</v>
      </c>
      <c r="AD292" s="18"/>
      <c r="AE292" s="18"/>
      <c r="AF292" s="4">
        <f t="shared" si="16"/>
        <v>0</v>
      </c>
      <c r="AG292" s="4"/>
      <c r="AH292" s="16">
        <f t="shared" si="17"/>
        <v>0</v>
      </c>
      <c r="AI292" s="21">
        <f t="shared" si="18"/>
        <v>0</v>
      </c>
      <c r="AJ292" s="20">
        <f t="shared" si="19"/>
        <v>0</v>
      </c>
      <c r="AK292" s="9"/>
    </row>
    <row r="293" spans="1:37" hidden="1">
      <c r="A293" s="3">
        <v>291</v>
      </c>
      <c r="B293" s="12"/>
      <c r="C293" s="13"/>
      <c r="D293" s="13"/>
      <c r="E293" s="13"/>
      <c r="F293" s="13"/>
      <c r="G293" s="13"/>
      <c r="H293" s="28"/>
      <c r="I293" s="39" t="s">
        <v>302</v>
      </c>
      <c r="J293" s="68" t="s">
        <v>1390</v>
      </c>
      <c r="K293" s="26" t="s">
        <v>670</v>
      </c>
      <c r="L293" s="26" t="s">
        <v>617</v>
      </c>
      <c r="M293" s="41">
        <f>IFERROR(VLOOKUP($L293,'[2]Top WH -National'!$D$9:$AC$124,26,0),0)</f>
        <v>56840000</v>
      </c>
      <c r="N293" s="41">
        <f>IFERROR(VLOOKUP($L293,'[2]Top WH -National'!$D$9:$AC$124,4,0),0)</f>
        <v>350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4">
        <f>(VLOOKUP($O$2,Prices!$E$3:$F$17,2,FALSE)*Urban!O293)+(VLOOKUP($P$2,Prices!$E$3:$F$17,2,FALSE)*Urban!P293)+(VLOOKUP($Q$2,Prices!$E$3:$F$17,2,FALSE)*Urban!Q293)+(VLOOKUP($R$2,Prices!$E$3:$F$17,2,FALSE)*Urban!R293)+(VLOOKUP($S$2,Prices!$E$3:$F$17,2,FALSE)*Urban!S293)+(VLOOKUP($T$2,Prices!$E$3:$F$17,2,FALSE)*Urban!T293)+(VLOOKUP($U$2,Prices!$E$3:$F$17,2,FALSE)*Urban!U293)+(VLOOKUP($V$2,Prices!$E$3:$F$17,2,FALSE)*Urban!V293)+(VLOOKUP($W$2,Prices!$E$3:$F$17,2,FALSE)*Urban!W293)+(VLOOKUP($X$2,Prices!$E$3:$F$17,2,FALSE)*Urban!X293)+(VLOOKUP($Y$2,Prices!$E$3:$F$17,2,FALSE)*Urban!Y293)+(VLOOKUP($Z$2,Prices!$E$3:$F$17,2,FALSE)*Urban!Z293)+(VLOOKUP($AA$2,Prices!$E$3:$F$17,2,FALSE)*Urban!AA293)+(VLOOKUP($AB$2,Prices!$E$3:$F$17,2,FALSE)*Urban!AB293)+M293</f>
        <v>56840000</v>
      </c>
      <c r="AD293" s="18"/>
      <c r="AE293" s="18"/>
      <c r="AF293" s="4">
        <f t="shared" si="16"/>
        <v>0</v>
      </c>
      <c r="AG293" s="4"/>
      <c r="AH293" s="16">
        <f t="shared" si="17"/>
        <v>0</v>
      </c>
      <c r="AI293" s="21">
        <f t="shared" si="18"/>
        <v>0</v>
      </c>
      <c r="AJ293" s="20">
        <f t="shared" si="19"/>
        <v>0</v>
      </c>
      <c r="AK293" s="9"/>
    </row>
    <row r="294" spans="1:37" hidden="1">
      <c r="A294" s="3">
        <v>292</v>
      </c>
      <c r="B294" s="12"/>
      <c r="C294" s="13"/>
      <c r="D294" s="13"/>
      <c r="E294" s="13"/>
      <c r="F294" s="13"/>
      <c r="G294" s="13"/>
      <c r="H294" s="28"/>
      <c r="I294" s="24" t="s">
        <v>1391</v>
      </c>
      <c r="J294" s="24" t="s">
        <v>1390</v>
      </c>
      <c r="K294" s="26" t="s">
        <v>670</v>
      </c>
      <c r="L294" s="26" t="s">
        <v>615</v>
      </c>
      <c r="M294" s="66">
        <f>IFERROR(VLOOKUP($L294,[1]Consolidated!$C$9:$AC$341,27,0),0)</f>
        <v>0</v>
      </c>
      <c r="N294" s="66">
        <f>IFERROR(VLOOKUP($L294,[1]Consolidated!$C$9:$AC$341,5,0),0)</f>
        <v>0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4">
        <f>(VLOOKUP($O$2,Prices!$E$3:$F$17,2,FALSE)*Urban!O294)+(VLOOKUP($P$2,Prices!$E$3:$F$17,2,FALSE)*Urban!P294)+(VLOOKUP($Q$2,Prices!$E$3:$F$17,2,FALSE)*Urban!Q294)+(VLOOKUP($R$2,Prices!$E$3:$F$17,2,FALSE)*Urban!R294)+(VLOOKUP($S$2,Prices!$E$3:$F$17,2,FALSE)*Urban!S294)+(VLOOKUP($T$2,Prices!$E$3:$F$17,2,FALSE)*Urban!T294)+(VLOOKUP($U$2,Prices!$E$3:$F$17,2,FALSE)*Urban!U294)+(VLOOKUP($V$2,Prices!$E$3:$F$17,2,FALSE)*Urban!V294)+(VLOOKUP($W$2,Prices!$E$3:$F$17,2,FALSE)*Urban!W294)+(VLOOKUP($X$2,Prices!$E$3:$F$17,2,FALSE)*Urban!X294)+(VLOOKUP($Y$2,Prices!$E$3:$F$17,2,FALSE)*Urban!Y294)+(VLOOKUP($Z$2,Prices!$E$3:$F$17,2,FALSE)*Urban!Z294)+(VLOOKUP($AA$2,Prices!$E$3:$F$17,2,FALSE)*Urban!AA294)+(VLOOKUP($AB$2,Prices!$E$3:$F$17,2,FALSE)*Urban!AB294)+M294</f>
        <v>0</v>
      </c>
      <c r="AD294" s="18"/>
      <c r="AE294" s="18"/>
      <c r="AF294" s="4">
        <f t="shared" si="16"/>
        <v>0</v>
      </c>
      <c r="AG294" s="4"/>
      <c r="AH294" s="16">
        <f t="shared" si="17"/>
        <v>0</v>
      </c>
      <c r="AI294" s="21" t="e">
        <f t="shared" si="18"/>
        <v>#DIV/0!</v>
      </c>
      <c r="AJ294" s="20" t="e">
        <f t="shared" si="19"/>
        <v>#DIV/0!</v>
      </c>
      <c r="AK294" s="9"/>
    </row>
    <row r="295" spans="1:37" hidden="1">
      <c r="A295" s="3">
        <v>293</v>
      </c>
      <c r="B295" s="12"/>
      <c r="C295" s="13"/>
      <c r="D295" s="13"/>
      <c r="E295" s="13"/>
      <c r="F295" s="13"/>
      <c r="G295" s="13"/>
      <c r="H295" s="28"/>
      <c r="I295" s="39" t="s">
        <v>303</v>
      </c>
      <c r="J295" s="68" t="s">
        <v>1390</v>
      </c>
      <c r="K295" s="26" t="s">
        <v>670</v>
      </c>
      <c r="L295" s="26" t="s">
        <v>618</v>
      </c>
      <c r="M295" s="41">
        <f>IFERROR(VLOOKUP($L295,'[2]Top WH -National'!$D$9:$AC$124,26,0),0)</f>
        <v>61910000</v>
      </c>
      <c r="N295" s="41">
        <f>IFERROR(VLOOKUP($L295,'[2]Top WH -National'!$D$9:$AC$124,4,0),0)</f>
        <v>368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4">
        <f>(VLOOKUP($O$2,Prices!$E$3:$F$17,2,FALSE)*Urban!O295)+(VLOOKUP($P$2,Prices!$E$3:$F$17,2,FALSE)*Urban!P295)+(VLOOKUP($Q$2,Prices!$E$3:$F$17,2,FALSE)*Urban!Q295)+(VLOOKUP($R$2,Prices!$E$3:$F$17,2,FALSE)*Urban!R295)+(VLOOKUP($S$2,Prices!$E$3:$F$17,2,FALSE)*Urban!S295)+(VLOOKUP($T$2,Prices!$E$3:$F$17,2,FALSE)*Urban!T295)+(VLOOKUP($U$2,Prices!$E$3:$F$17,2,FALSE)*Urban!U295)+(VLOOKUP($V$2,Prices!$E$3:$F$17,2,FALSE)*Urban!V295)+(VLOOKUP($W$2,Prices!$E$3:$F$17,2,FALSE)*Urban!W295)+(VLOOKUP($X$2,Prices!$E$3:$F$17,2,FALSE)*Urban!X295)+(VLOOKUP($Y$2,Prices!$E$3:$F$17,2,FALSE)*Urban!Y295)+(VLOOKUP($Z$2,Prices!$E$3:$F$17,2,FALSE)*Urban!Z295)+(VLOOKUP($AA$2,Prices!$E$3:$F$17,2,FALSE)*Urban!AA295)+(VLOOKUP($AB$2,Prices!$E$3:$F$17,2,FALSE)*Urban!AB295)+M295</f>
        <v>61910000</v>
      </c>
      <c r="AD295" s="18"/>
      <c r="AE295" s="18"/>
      <c r="AF295" s="4">
        <f t="shared" si="16"/>
        <v>0</v>
      </c>
      <c r="AG295" s="4"/>
      <c r="AH295" s="16">
        <f t="shared" si="17"/>
        <v>0</v>
      </c>
      <c r="AI295" s="21">
        <f t="shared" si="18"/>
        <v>0</v>
      </c>
      <c r="AJ295" s="20">
        <f t="shared" si="19"/>
        <v>0</v>
      </c>
      <c r="AK295" s="9"/>
    </row>
    <row r="296" spans="1:37" hidden="1">
      <c r="A296" s="3">
        <v>294</v>
      </c>
      <c r="B296" s="12"/>
      <c r="C296" s="13"/>
      <c r="D296" s="13"/>
      <c r="E296" s="13"/>
      <c r="F296" s="13"/>
      <c r="G296" s="13"/>
      <c r="H296" s="28"/>
      <c r="I296" s="24" t="s">
        <v>304</v>
      </c>
      <c r="J296" s="24" t="s">
        <v>1390</v>
      </c>
      <c r="K296" s="26" t="s">
        <v>671</v>
      </c>
      <c r="L296" s="26" t="s">
        <v>619</v>
      </c>
      <c r="M296" s="66">
        <f>IFERROR(VLOOKUP($L296,[1]Consolidated!$C$9:$AC$341,27,0),0)</f>
        <v>0</v>
      </c>
      <c r="N296" s="66">
        <f>IFERROR(VLOOKUP($L296,[1]Consolidated!$C$9:$AC$341,5,0),0)</f>
        <v>0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4">
        <f>(VLOOKUP($O$2,Prices!$E$3:$F$17,2,FALSE)*Urban!O296)+(VLOOKUP($P$2,Prices!$E$3:$F$17,2,FALSE)*Urban!P296)+(VLOOKUP($Q$2,Prices!$E$3:$F$17,2,FALSE)*Urban!Q296)+(VLOOKUP($R$2,Prices!$E$3:$F$17,2,FALSE)*Urban!R296)+(VLOOKUP($S$2,Prices!$E$3:$F$17,2,FALSE)*Urban!S296)+(VLOOKUP($T$2,Prices!$E$3:$F$17,2,FALSE)*Urban!T296)+(VLOOKUP($U$2,Prices!$E$3:$F$17,2,FALSE)*Urban!U296)+(VLOOKUP($V$2,Prices!$E$3:$F$17,2,FALSE)*Urban!V296)+(VLOOKUP($W$2,Prices!$E$3:$F$17,2,FALSE)*Urban!W296)+(VLOOKUP($X$2,Prices!$E$3:$F$17,2,FALSE)*Urban!X296)+(VLOOKUP($Y$2,Prices!$E$3:$F$17,2,FALSE)*Urban!Y296)+(VLOOKUP($Z$2,Prices!$E$3:$F$17,2,FALSE)*Urban!Z296)+(VLOOKUP($AA$2,Prices!$E$3:$F$17,2,FALSE)*Urban!AA296)+(VLOOKUP($AB$2,Prices!$E$3:$F$17,2,FALSE)*Urban!AB296)+M296</f>
        <v>0</v>
      </c>
      <c r="AD296" s="18"/>
      <c r="AE296" s="18"/>
      <c r="AF296" s="4">
        <f t="shared" si="16"/>
        <v>0</v>
      </c>
      <c r="AG296" s="4"/>
      <c r="AH296" s="16">
        <f t="shared" si="17"/>
        <v>0</v>
      </c>
      <c r="AI296" s="21" t="e">
        <f t="shared" si="18"/>
        <v>#DIV/0!</v>
      </c>
      <c r="AJ296" s="20" t="e">
        <f t="shared" si="19"/>
        <v>#DIV/0!</v>
      </c>
      <c r="AK296" s="9"/>
    </row>
    <row r="297" spans="1:37" hidden="1">
      <c r="A297" s="3">
        <v>295</v>
      </c>
      <c r="B297" s="12"/>
      <c r="C297" s="13"/>
      <c r="D297" s="13"/>
      <c r="E297" s="13"/>
      <c r="F297" s="13"/>
      <c r="G297" s="13"/>
      <c r="H297" s="28"/>
      <c r="I297" s="40" t="s">
        <v>305</v>
      </c>
      <c r="J297" s="68" t="s">
        <v>1390</v>
      </c>
      <c r="K297" s="26" t="s">
        <v>671</v>
      </c>
      <c r="L297" s="26" t="s">
        <v>620</v>
      </c>
      <c r="M297" s="41">
        <f>IFERROR(VLOOKUP($L297,'[2]Top WH -National'!$D$9:$AC$124,26,0),0)</f>
        <v>50824000</v>
      </c>
      <c r="N297" s="41">
        <f>IFERROR(VLOOKUP($L297,'[2]Top WH -National'!$D$9:$AC$124,4,0),0)</f>
        <v>342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4">
        <f>(VLOOKUP($O$2,Prices!$E$3:$F$17,2,FALSE)*Urban!O297)+(VLOOKUP($P$2,Prices!$E$3:$F$17,2,FALSE)*Urban!P297)+(VLOOKUP($Q$2,Prices!$E$3:$F$17,2,FALSE)*Urban!Q297)+(VLOOKUP($R$2,Prices!$E$3:$F$17,2,FALSE)*Urban!R297)+(VLOOKUP($S$2,Prices!$E$3:$F$17,2,FALSE)*Urban!S297)+(VLOOKUP($T$2,Prices!$E$3:$F$17,2,FALSE)*Urban!T297)+(VLOOKUP($U$2,Prices!$E$3:$F$17,2,FALSE)*Urban!U297)+(VLOOKUP($V$2,Prices!$E$3:$F$17,2,FALSE)*Urban!V297)+(VLOOKUP($W$2,Prices!$E$3:$F$17,2,FALSE)*Urban!W297)+(VLOOKUP($X$2,Prices!$E$3:$F$17,2,FALSE)*Urban!X297)+(VLOOKUP($Y$2,Prices!$E$3:$F$17,2,FALSE)*Urban!Y297)+(VLOOKUP($Z$2,Prices!$E$3:$F$17,2,FALSE)*Urban!Z297)+(VLOOKUP($AA$2,Prices!$E$3:$F$17,2,FALSE)*Urban!AA297)+(VLOOKUP($AB$2,Prices!$E$3:$F$17,2,FALSE)*Urban!AB297)+M297</f>
        <v>50824000</v>
      </c>
      <c r="AD297" s="18"/>
      <c r="AE297" s="18"/>
      <c r="AF297" s="4">
        <f t="shared" si="16"/>
        <v>0</v>
      </c>
      <c r="AG297" s="4"/>
      <c r="AH297" s="16">
        <f t="shared" si="17"/>
        <v>0</v>
      </c>
      <c r="AI297" s="21">
        <f t="shared" si="18"/>
        <v>0</v>
      </c>
      <c r="AJ297" s="20">
        <f t="shared" si="19"/>
        <v>0</v>
      </c>
      <c r="AK297" s="9"/>
    </row>
    <row r="298" spans="1:37" hidden="1">
      <c r="A298" s="3">
        <v>296</v>
      </c>
      <c r="B298" s="12"/>
      <c r="C298" s="13"/>
      <c r="D298" s="13"/>
      <c r="E298" s="13"/>
      <c r="F298" s="13"/>
      <c r="G298" s="13"/>
      <c r="H298" s="28"/>
      <c r="I298" s="24" t="s">
        <v>306</v>
      </c>
      <c r="J298" s="24" t="s">
        <v>1390</v>
      </c>
      <c r="K298" s="26" t="s">
        <v>671</v>
      </c>
      <c r="L298" s="26" t="s">
        <v>621</v>
      </c>
      <c r="M298" s="66">
        <f>IFERROR(VLOOKUP($L298,[1]Consolidated!$C$9:$AC$341,27,0),0)</f>
        <v>19780000</v>
      </c>
      <c r="N298" s="66">
        <f>IFERROR(VLOOKUP($L298,[1]Consolidated!$C$9:$AC$341,5,0),0)</f>
        <v>125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4">
        <f>(VLOOKUP($O$2,Prices!$E$3:$F$17,2,FALSE)*Urban!O298)+(VLOOKUP($P$2,Prices!$E$3:$F$17,2,FALSE)*Urban!P298)+(VLOOKUP($Q$2,Prices!$E$3:$F$17,2,FALSE)*Urban!Q298)+(VLOOKUP($R$2,Prices!$E$3:$F$17,2,FALSE)*Urban!R298)+(VLOOKUP($S$2,Prices!$E$3:$F$17,2,FALSE)*Urban!S298)+(VLOOKUP($T$2,Prices!$E$3:$F$17,2,FALSE)*Urban!T298)+(VLOOKUP($U$2,Prices!$E$3:$F$17,2,FALSE)*Urban!U298)+(VLOOKUP($V$2,Prices!$E$3:$F$17,2,FALSE)*Urban!V298)+(VLOOKUP($W$2,Prices!$E$3:$F$17,2,FALSE)*Urban!W298)+(VLOOKUP($X$2,Prices!$E$3:$F$17,2,FALSE)*Urban!X298)+(VLOOKUP($Y$2,Prices!$E$3:$F$17,2,FALSE)*Urban!Y298)+(VLOOKUP($Z$2,Prices!$E$3:$F$17,2,FALSE)*Urban!Z298)+(VLOOKUP($AA$2,Prices!$E$3:$F$17,2,FALSE)*Urban!AA298)+(VLOOKUP($AB$2,Prices!$E$3:$F$17,2,FALSE)*Urban!AB298)+M298</f>
        <v>19780000</v>
      </c>
      <c r="AD298" s="18"/>
      <c r="AE298" s="18"/>
      <c r="AF298" s="4">
        <f t="shared" si="16"/>
        <v>0</v>
      </c>
      <c r="AG298" s="4"/>
      <c r="AH298" s="16">
        <f t="shared" si="17"/>
        <v>0</v>
      </c>
      <c r="AI298" s="21">
        <f t="shared" si="18"/>
        <v>0</v>
      </c>
      <c r="AJ298" s="20">
        <f t="shared" si="19"/>
        <v>0</v>
      </c>
      <c r="AK298" s="9"/>
    </row>
    <row r="299" spans="1:37" hidden="1">
      <c r="A299" s="3">
        <v>297</v>
      </c>
      <c r="B299" s="12"/>
      <c r="C299" s="13"/>
      <c r="D299" s="13"/>
      <c r="E299" s="13"/>
      <c r="F299" s="13"/>
      <c r="G299" s="13"/>
      <c r="H299" s="28"/>
      <c r="I299" s="24" t="s">
        <v>307</v>
      </c>
      <c r="J299" s="24" t="s">
        <v>1390</v>
      </c>
      <c r="K299" s="26" t="s">
        <v>671</v>
      </c>
      <c r="L299" s="26" t="s">
        <v>622</v>
      </c>
      <c r="M299" s="66">
        <f>IFERROR(VLOOKUP($L299,[1]Consolidated!$C$9:$AC$341,27,0),0)</f>
        <v>17822000</v>
      </c>
      <c r="N299" s="66">
        <f>IFERROR(VLOOKUP($L299,[1]Consolidated!$C$9:$AC$341,5,0),0)</f>
        <v>120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4">
        <f>(VLOOKUP($O$2,Prices!$E$3:$F$17,2,FALSE)*Urban!O299)+(VLOOKUP($P$2,Prices!$E$3:$F$17,2,FALSE)*Urban!P299)+(VLOOKUP($Q$2,Prices!$E$3:$F$17,2,FALSE)*Urban!Q299)+(VLOOKUP($R$2,Prices!$E$3:$F$17,2,FALSE)*Urban!R299)+(VLOOKUP($S$2,Prices!$E$3:$F$17,2,FALSE)*Urban!S299)+(VLOOKUP($T$2,Prices!$E$3:$F$17,2,FALSE)*Urban!T299)+(VLOOKUP($U$2,Prices!$E$3:$F$17,2,FALSE)*Urban!U299)+(VLOOKUP($V$2,Prices!$E$3:$F$17,2,FALSE)*Urban!V299)+(VLOOKUP($W$2,Prices!$E$3:$F$17,2,FALSE)*Urban!W299)+(VLOOKUP($X$2,Prices!$E$3:$F$17,2,FALSE)*Urban!X299)+(VLOOKUP($Y$2,Prices!$E$3:$F$17,2,FALSE)*Urban!Y299)+(VLOOKUP($Z$2,Prices!$E$3:$F$17,2,FALSE)*Urban!Z299)+(VLOOKUP($AA$2,Prices!$E$3:$F$17,2,FALSE)*Urban!AA299)+(VLOOKUP($AB$2,Prices!$E$3:$F$17,2,FALSE)*Urban!AB299)+M299</f>
        <v>17822000</v>
      </c>
      <c r="AD299" s="18"/>
      <c r="AE299" s="18"/>
      <c r="AF299" s="4">
        <f t="shared" si="16"/>
        <v>0</v>
      </c>
      <c r="AG299" s="4"/>
      <c r="AH299" s="16">
        <f t="shared" si="17"/>
        <v>0</v>
      </c>
      <c r="AI299" s="21">
        <f t="shared" si="18"/>
        <v>0</v>
      </c>
      <c r="AJ299" s="20">
        <f t="shared" si="19"/>
        <v>0</v>
      </c>
      <c r="AK299" s="9"/>
    </row>
    <row r="300" spans="1:37" hidden="1">
      <c r="A300" s="3">
        <v>298</v>
      </c>
      <c r="B300" s="12"/>
      <c r="C300" s="13"/>
      <c r="D300" s="13"/>
      <c r="E300" s="13"/>
      <c r="F300" s="13"/>
      <c r="G300" s="13"/>
      <c r="H300" s="28"/>
      <c r="I300" s="24" t="s">
        <v>308</v>
      </c>
      <c r="J300" s="24" t="s">
        <v>1390</v>
      </c>
      <c r="K300" s="26" t="s">
        <v>671</v>
      </c>
      <c r="L300" s="26" t="s">
        <v>623</v>
      </c>
      <c r="M300" s="66">
        <f>IFERROR(VLOOKUP($L300,[1]Consolidated!$C$9:$AC$341,27,0),0)</f>
        <v>17822000</v>
      </c>
      <c r="N300" s="66">
        <f>IFERROR(VLOOKUP($L300,[1]Consolidated!$C$9:$AC$341,5,0),0)</f>
        <v>120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4">
        <f>(VLOOKUP($O$2,Prices!$E$3:$F$17,2,FALSE)*Urban!O300)+(VLOOKUP($P$2,Prices!$E$3:$F$17,2,FALSE)*Urban!P300)+(VLOOKUP($Q$2,Prices!$E$3:$F$17,2,FALSE)*Urban!Q300)+(VLOOKUP($R$2,Prices!$E$3:$F$17,2,FALSE)*Urban!R300)+(VLOOKUP($S$2,Prices!$E$3:$F$17,2,FALSE)*Urban!S300)+(VLOOKUP($T$2,Prices!$E$3:$F$17,2,FALSE)*Urban!T300)+(VLOOKUP($U$2,Prices!$E$3:$F$17,2,FALSE)*Urban!U300)+(VLOOKUP($V$2,Prices!$E$3:$F$17,2,FALSE)*Urban!V300)+(VLOOKUP($W$2,Prices!$E$3:$F$17,2,FALSE)*Urban!W300)+(VLOOKUP($X$2,Prices!$E$3:$F$17,2,FALSE)*Urban!X300)+(VLOOKUP($Y$2,Prices!$E$3:$F$17,2,FALSE)*Urban!Y300)+(VLOOKUP($Z$2,Prices!$E$3:$F$17,2,FALSE)*Urban!Z300)+(VLOOKUP($AA$2,Prices!$E$3:$F$17,2,FALSE)*Urban!AA300)+(VLOOKUP($AB$2,Prices!$E$3:$F$17,2,FALSE)*Urban!AB300)+M300</f>
        <v>17822000</v>
      </c>
      <c r="AD300" s="18"/>
      <c r="AE300" s="18"/>
      <c r="AF300" s="4">
        <f t="shared" si="16"/>
        <v>0</v>
      </c>
      <c r="AG300" s="4"/>
      <c r="AH300" s="16">
        <f t="shared" si="17"/>
        <v>0</v>
      </c>
      <c r="AI300" s="21">
        <f t="shared" si="18"/>
        <v>0</v>
      </c>
      <c r="AJ300" s="20">
        <f t="shared" si="19"/>
        <v>0</v>
      </c>
      <c r="AK300" s="9"/>
    </row>
    <row r="301" spans="1:37" hidden="1">
      <c r="A301" s="3">
        <v>299</v>
      </c>
      <c r="B301" s="12"/>
      <c r="C301" s="13"/>
      <c r="D301" s="13"/>
      <c r="E301" s="13"/>
      <c r="F301" s="13"/>
      <c r="G301" s="13"/>
      <c r="H301" s="28"/>
      <c r="I301" s="24" t="s">
        <v>309</v>
      </c>
      <c r="J301" s="24" t="s">
        <v>1390</v>
      </c>
      <c r="K301" s="26" t="s">
        <v>671</v>
      </c>
      <c r="L301" s="26" t="s">
        <v>624</v>
      </c>
      <c r="M301" s="66">
        <f>IFERROR(VLOOKUP($L301,[1]Consolidated!$C$9:$AC$341,27,0),0)</f>
        <v>17822000</v>
      </c>
      <c r="N301" s="66">
        <f>IFERROR(VLOOKUP($L301,[1]Consolidated!$C$9:$AC$341,5,0),0)</f>
        <v>120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4">
        <f>(VLOOKUP($O$2,Prices!$E$3:$F$17,2,FALSE)*Urban!O301)+(VLOOKUP($P$2,Prices!$E$3:$F$17,2,FALSE)*Urban!P301)+(VLOOKUP($Q$2,Prices!$E$3:$F$17,2,FALSE)*Urban!Q301)+(VLOOKUP($R$2,Prices!$E$3:$F$17,2,FALSE)*Urban!R301)+(VLOOKUP($S$2,Prices!$E$3:$F$17,2,FALSE)*Urban!S301)+(VLOOKUP($T$2,Prices!$E$3:$F$17,2,FALSE)*Urban!T301)+(VLOOKUP($U$2,Prices!$E$3:$F$17,2,FALSE)*Urban!U301)+(VLOOKUP($V$2,Prices!$E$3:$F$17,2,FALSE)*Urban!V301)+(VLOOKUP($W$2,Prices!$E$3:$F$17,2,FALSE)*Urban!W301)+(VLOOKUP($X$2,Prices!$E$3:$F$17,2,FALSE)*Urban!X301)+(VLOOKUP($Y$2,Prices!$E$3:$F$17,2,FALSE)*Urban!Y301)+(VLOOKUP($Z$2,Prices!$E$3:$F$17,2,FALSE)*Urban!Z301)+(VLOOKUP($AA$2,Prices!$E$3:$F$17,2,FALSE)*Urban!AA301)+(VLOOKUP($AB$2,Prices!$E$3:$F$17,2,FALSE)*Urban!AB301)+M301</f>
        <v>17822000</v>
      </c>
      <c r="AD301" s="18"/>
      <c r="AE301" s="18"/>
      <c r="AF301" s="4">
        <f t="shared" si="16"/>
        <v>0</v>
      </c>
      <c r="AG301" s="4"/>
      <c r="AH301" s="16">
        <f t="shared" si="17"/>
        <v>0</v>
      </c>
      <c r="AI301" s="21">
        <f t="shared" si="18"/>
        <v>0</v>
      </c>
      <c r="AJ301" s="20">
        <f t="shared" si="19"/>
        <v>0</v>
      </c>
      <c r="AK301" s="9"/>
    </row>
    <row r="302" spans="1:37" hidden="1">
      <c r="A302" s="3">
        <v>300</v>
      </c>
      <c r="B302" s="12"/>
      <c r="C302" s="13"/>
      <c r="D302" s="13"/>
      <c r="E302" s="13"/>
      <c r="F302" s="13"/>
      <c r="G302" s="13"/>
      <c r="H302" s="28"/>
      <c r="I302" s="24" t="s">
        <v>310</v>
      </c>
      <c r="J302" s="24" t="s">
        <v>1390</v>
      </c>
      <c r="K302" s="26" t="s">
        <v>671</v>
      </c>
      <c r="L302" s="26" t="s">
        <v>625</v>
      </c>
      <c r="M302" s="66">
        <f>IFERROR(VLOOKUP($L302,[1]Consolidated!$C$9:$AC$341,27,0),0)</f>
        <v>17822000</v>
      </c>
      <c r="N302" s="66">
        <f>IFERROR(VLOOKUP($L302,[1]Consolidated!$C$9:$AC$341,5,0),0)</f>
        <v>120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4">
        <f>(VLOOKUP($O$2,Prices!$E$3:$F$17,2,FALSE)*Urban!O302)+(VLOOKUP($P$2,Prices!$E$3:$F$17,2,FALSE)*Urban!P302)+(VLOOKUP($Q$2,Prices!$E$3:$F$17,2,FALSE)*Urban!Q302)+(VLOOKUP($R$2,Prices!$E$3:$F$17,2,FALSE)*Urban!R302)+(VLOOKUP($S$2,Prices!$E$3:$F$17,2,FALSE)*Urban!S302)+(VLOOKUP($T$2,Prices!$E$3:$F$17,2,FALSE)*Urban!T302)+(VLOOKUP($U$2,Prices!$E$3:$F$17,2,FALSE)*Urban!U302)+(VLOOKUP($V$2,Prices!$E$3:$F$17,2,FALSE)*Urban!V302)+(VLOOKUP($W$2,Prices!$E$3:$F$17,2,FALSE)*Urban!W302)+(VLOOKUP($X$2,Prices!$E$3:$F$17,2,FALSE)*Urban!X302)+(VLOOKUP($Y$2,Prices!$E$3:$F$17,2,FALSE)*Urban!Y302)+(VLOOKUP($Z$2,Prices!$E$3:$F$17,2,FALSE)*Urban!Z302)+(VLOOKUP($AA$2,Prices!$E$3:$F$17,2,FALSE)*Urban!AA302)+(VLOOKUP($AB$2,Prices!$E$3:$F$17,2,FALSE)*Urban!AB302)+M302</f>
        <v>17822000</v>
      </c>
      <c r="AD302" s="18"/>
      <c r="AE302" s="18"/>
      <c r="AF302" s="4">
        <f t="shared" si="16"/>
        <v>0</v>
      </c>
      <c r="AG302" s="4"/>
      <c r="AH302" s="16">
        <f t="shared" si="17"/>
        <v>0</v>
      </c>
      <c r="AI302" s="21">
        <f t="shared" si="18"/>
        <v>0</v>
      </c>
      <c r="AJ302" s="20">
        <f t="shared" si="19"/>
        <v>0</v>
      </c>
      <c r="AK302" s="19"/>
    </row>
    <row r="303" spans="1:37" hidden="1">
      <c r="A303" s="3">
        <v>301</v>
      </c>
      <c r="B303" s="12"/>
      <c r="C303" s="13"/>
      <c r="D303" s="13"/>
      <c r="E303" s="13"/>
      <c r="F303" s="13"/>
      <c r="G303" s="13"/>
      <c r="H303" s="28"/>
      <c r="I303" s="24" t="s">
        <v>311</v>
      </c>
      <c r="J303" s="24" t="s">
        <v>1390</v>
      </c>
      <c r="K303" s="26" t="s">
        <v>671</v>
      </c>
      <c r="L303" s="26" t="s">
        <v>626</v>
      </c>
      <c r="M303" s="66">
        <f>IFERROR(VLOOKUP($L303,[1]Consolidated!$C$9:$AC$341,27,0),0)</f>
        <v>40567000</v>
      </c>
      <c r="N303" s="66">
        <f>IFERROR(VLOOKUP($L303,[1]Consolidated!$C$9:$AC$341,5,0),0)</f>
        <v>250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4">
        <f>(VLOOKUP($O$2,Prices!$E$3:$F$17,2,FALSE)*Urban!O303)+(VLOOKUP($P$2,Prices!$E$3:$F$17,2,FALSE)*Urban!P303)+(VLOOKUP($Q$2,Prices!$E$3:$F$17,2,FALSE)*Urban!Q303)+(VLOOKUP($R$2,Prices!$E$3:$F$17,2,FALSE)*Urban!R303)+(VLOOKUP($S$2,Prices!$E$3:$F$17,2,FALSE)*Urban!S303)+(VLOOKUP($T$2,Prices!$E$3:$F$17,2,FALSE)*Urban!T303)+(VLOOKUP($U$2,Prices!$E$3:$F$17,2,FALSE)*Urban!U303)+(VLOOKUP($V$2,Prices!$E$3:$F$17,2,FALSE)*Urban!V303)+(VLOOKUP($W$2,Prices!$E$3:$F$17,2,FALSE)*Urban!W303)+(VLOOKUP($X$2,Prices!$E$3:$F$17,2,FALSE)*Urban!X303)+(VLOOKUP($Y$2,Prices!$E$3:$F$17,2,FALSE)*Urban!Y303)+(VLOOKUP($Z$2,Prices!$E$3:$F$17,2,FALSE)*Urban!Z303)+(VLOOKUP($AA$2,Prices!$E$3:$F$17,2,FALSE)*Urban!AA303)+(VLOOKUP($AB$2,Prices!$E$3:$F$17,2,FALSE)*Urban!AB303)+M303</f>
        <v>40567000</v>
      </c>
      <c r="AD303" s="18"/>
      <c r="AE303" s="18"/>
      <c r="AF303" s="4">
        <f t="shared" si="16"/>
        <v>0</v>
      </c>
      <c r="AG303" s="4"/>
      <c r="AH303" s="16">
        <f t="shared" si="17"/>
        <v>0</v>
      </c>
      <c r="AI303" s="21">
        <f t="shared" si="18"/>
        <v>0</v>
      </c>
      <c r="AJ303" s="20">
        <f t="shared" si="19"/>
        <v>0</v>
      </c>
      <c r="AK303" s="9"/>
    </row>
    <row r="304" spans="1:37" hidden="1">
      <c r="A304" s="3">
        <v>302</v>
      </c>
      <c r="B304" s="12"/>
      <c r="C304" s="13"/>
      <c r="D304" s="13"/>
      <c r="E304" s="13"/>
      <c r="F304" s="13"/>
      <c r="G304" s="13"/>
      <c r="H304" s="28"/>
      <c r="I304" s="39" t="s">
        <v>312</v>
      </c>
      <c r="J304" s="24" t="s">
        <v>1390</v>
      </c>
      <c r="K304" s="26" t="s">
        <v>671</v>
      </c>
      <c r="L304" s="26" t="s">
        <v>627</v>
      </c>
      <c r="M304" s="41">
        <f>IFERROR(VLOOKUP($L304,'[2]Top WH -National'!$D$9:$AC$124,26,0),0)</f>
        <v>52555000</v>
      </c>
      <c r="N304" s="41">
        <f>IFERROR(VLOOKUP($L304,'[2]Top WH -National'!$D$9:$AC$124,4,0),0)</f>
        <v>409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4">
        <f>(VLOOKUP($O$2,Prices!$E$3:$F$17,2,FALSE)*Urban!O304)+(VLOOKUP($P$2,Prices!$E$3:$F$17,2,FALSE)*Urban!P304)+(VLOOKUP($Q$2,Prices!$E$3:$F$17,2,FALSE)*Urban!Q304)+(VLOOKUP($R$2,Prices!$E$3:$F$17,2,FALSE)*Urban!R304)+(VLOOKUP($S$2,Prices!$E$3:$F$17,2,FALSE)*Urban!S304)+(VLOOKUP($T$2,Prices!$E$3:$F$17,2,FALSE)*Urban!T304)+(VLOOKUP($U$2,Prices!$E$3:$F$17,2,FALSE)*Urban!U304)+(VLOOKUP($V$2,Prices!$E$3:$F$17,2,FALSE)*Urban!V304)+(VLOOKUP($W$2,Prices!$E$3:$F$17,2,FALSE)*Urban!W304)+(VLOOKUP($X$2,Prices!$E$3:$F$17,2,FALSE)*Urban!X304)+(VLOOKUP($Y$2,Prices!$E$3:$F$17,2,FALSE)*Urban!Y304)+(VLOOKUP($Z$2,Prices!$E$3:$F$17,2,FALSE)*Urban!Z304)+(VLOOKUP($AA$2,Prices!$E$3:$F$17,2,FALSE)*Urban!AA304)+(VLOOKUP($AB$2,Prices!$E$3:$F$17,2,FALSE)*Urban!AB304)+M304</f>
        <v>52555000</v>
      </c>
      <c r="AD304" s="18"/>
      <c r="AE304" s="18"/>
      <c r="AF304" s="4">
        <f t="shared" si="16"/>
        <v>0</v>
      </c>
      <c r="AG304" s="4"/>
      <c r="AH304" s="16">
        <f t="shared" si="17"/>
        <v>0</v>
      </c>
      <c r="AI304" s="21">
        <f t="shared" si="18"/>
        <v>0</v>
      </c>
      <c r="AJ304" s="20">
        <f t="shared" si="19"/>
        <v>0</v>
      </c>
      <c r="AK304" s="9"/>
    </row>
    <row r="305" spans="1:37" hidden="1">
      <c r="A305" s="3">
        <v>303</v>
      </c>
      <c r="B305" s="12"/>
      <c r="C305" s="13"/>
      <c r="D305" s="13"/>
      <c r="E305" s="13"/>
      <c r="F305" s="13"/>
      <c r="G305" s="13"/>
      <c r="H305" s="28"/>
      <c r="I305" s="24" t="s">
        <v>313</v>
      </c>
      <c r="J305" s="24" t="s">
        <v>1390</v>
      </c>
      <c r="K305" s="26" t="s">
        <v>671</v>
      </c>
      <c r="L305" s="26" t="s">
        <v>628</v>
      </c>
      <c r="M305" s="66">
        <f>IFERROR(VLOOKUP($L305,[1]Consolidated!$C$9:$AC$341,27,0),0)</f>
        <v>18772000</v>
      </c>
      <c r="N305" s="66">
        <f>IFERROR(VLOOKUP($L305,[1]Consolidated!$C$9:$AC$341,5,0),0)</f>
        <v>130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4">
        <f>(VLOOKUP($O$2,Prices!$E$3:$F$17,2,FALSE)*Urban!O305)+(VLOOKUP($P$2,Prices!$E$3:$F$17,2,FALSE)*Urban!P305)+(VLOOKUP($Q$2,Prices!$E$3:$F$17,2,FALSE)*Urban!Q305)+(VLOOKUP($R$2,Prices!$E$3:$F$17,2,FALSE)*Urban!R305)+(VLOOKUP($S$2,Prices!$E$3:$F$17,2,FALSE)*Urban!S305)+(VLOOKUP($T$2,Prices!$E$3:$F$17,2,FALSE)*Urban!T305)+(VLOOKUP($U$2,Prices!$E$3:$F$17,2,FALSE)*Urban!U305)+(VLOOKUP($V$2,Prices!$E$3:$F$17,2,FALSE)*Urban!V305)+(VLOOKUP($W$2,Prices!$E$3:$F$17,2,FALSE)*Urban!W305)+(VLOOKUP($X$2,Prices!$E$3:$F$17,2,FALSE)*Urban!X305)+(VLOOKUP($Y$2,Prices!$E$3:$F$17,2,FALSE)*Urban!Y305)+(VLOOKUP($Z$2,Prices!$E$3:$F$17,2,FALSE)*Urban!Z305)+(VLOOKUP($AA$2,Prices!$E$3:$F$17,2,FALSE)*Urban!AA305)+(VLOOKUP($AB$2,Prices!$E$3:$F$17,2,FALSE)*Urban!AB305)+M305</f>
        <v>18772000</v>
      </c>
      <c r="AD305" s="18"/>
      <c r="AE305" s="18"/>
      <c r="AF305" s="4">
        <f t="shared" si="16"/>
        <v>0</v>
      </c>
      <c r="AG305" s="4"/>
      <c r="AH305" s="16">
        <f t="shared" si="17"/>
        <v>0</v>
      </c>
      <c r="AI305" s="21">
        <f t="shared" si="18"/>
        <v>0</v>
      </c>
      <c r="AJ305" s="20">
        <f t="shared" si="19"/>
        <v>0</v>
      </c>
      <c r="AK305" s="9"/>
    </row>
    <row r="306" spans="1:37" hidden="1">
      <c r="A306" s="3">
        <v>304</v>
      </c>
      <c r="B306" s="12"/>
      <c r="C306" s="13"/>
      <c r="D306" s="13"/>
      <c r="E306" s="13"/>
      <c r="F306" s="13"/>
      <c r="G306" s="13"/>
      <c r="H306" s="28"/>
      <c r="I306" s="24" t="s">
        <v>314</v>
      </c>
      <c r="J306" s="24" t="s">
        <v>1390</v>
      </c>
      <c r="K306" s="26" t="s">
        <v>671</v>
      </c>
      <c r="L306" s="26" t="s">
        <v>629</v>
      </c>
      <c r="M306" s="66">
        <f>IFERROR(VLOOKUP($L306,[1]Consolidated!$C$9:$AC$341,27,0),0)</f>
        <v>0</v>
      </c>
      <c r="N306" s="66">
        <f>IFERROR(VLOOKUP($L306,[1]Consolidated!$C$9:$AC$341,5,0),0)</f>
        <v>0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4">
        <f>(VLOOKUP($O$2,Prices!$E$3:$F$17,2,FALSE)*Urban!O306)+(VLOOKUP($P$2,Prices!$E$3:$F$17,2,FALSE)*Urban!P306)+(VLOOKUP($Q$2,Prices!$E$3:$F$17,2,FALSE)*Urban!Q306)+(VLOOKUP($R$2,Prices!$E$3:$F$17,2,FALSE)*Urban!R306)+(VLOOKUP($S$2,Prices!$E$3:$F$17,2,FALSE)*Urban!S306)+(VLOOKUP($T$2,Prices!$E$3:$F$17,2,FALSE)*Urban!T306)+(VLOOKUP($U$2,Prices!$E$3:$F$17,2,FALSE)*Urban!U306)+(VLOOKUP($V$2,Prices!$E$3:$F$17,2,FALSE)*Urban!V306)+(VLOOKUP($W$2,Prices!$E$3:$F$17,2,FALSE)*Urban!W306)+(VLOOKUP($X$2,Prices!$E$3:$F$17,2,FALSE)*Urban!X306)+(VLOOKUP($Y$2,Prices!$E$3:$F$17,2,FALSE)*Urban!Y306)+(VLOOKUP($Z$2,Prices!$E$3:$F$17,2,FALSE)*Urban!Z306)+(VLOOKUP($AA$2,Prices!$E$3:$F$17,2,FALSE)*Urban!AA306)+(VLOOKUP($AB$2,Prices!$E$3:$F$17,2,FALSE)*Urban!AB306)+M306</f>
        <v>0</v>
      </c>
      <c r="AD306" s="18"/>
      <c r="AE306" s="18"/>
      <c r="AF306" s="4">
        <f t="shared" si="16"/>
        <v>0</v>
      </c>
      <c r="AG306" s="4"/>
      <c r="AH306" s="16">
        <f t="shared" si="17"/>
        <v>0</v>
      </c>
      <c r="AI306" s="21" t="e">
        <f t="shared" si="18"/>
        <v>#DIV/0!</v>
      </c>
      <c r="AJ306" s="20" t="e">
        <f t="shared" si="19"/>
        <v>#DIV/0!</v>
      </c>
      <c r="AK306" s="9"/>
    </row>
    <row r="307" spans="1:37" hidden="1">
      <c r="A307" s="3">
        <v>305</v>
      </c>
      <c r="B307" s="12"/>
      <c r="C307" s="13"/>
      <c r="D307" s="13"/>
      <c r="E307" s="13"/>
      <c r="F307" s="13"/>
      <c r="G307" s="13"/>
      <c r="H307" s="28"/>
      <c r="I307" s="39" t="s">
        <v>315</v>
      </c>
      <c r="J307" s="24" t="s">
        <v>1390</v>
      </c>
      <c r="K307" s="26" t="s">
        <v>671</v>
      </c>
      <c r="L307" s="26" t="s">
        <v>630</v>
      </c>
      <c r="M307" s="41">
        <f>IFERROR(VLOOKUP($L307,'[2]Top WH -National'!$D$9:$AC$124,26,0),0)</f>
        <v>159827000</v>
      </c>
      <c r="N307" s="41">
        <f>IFERROR(VLOOKUP($L307,'[2]Top WH -National'!$D$9:$AC$124,4,0),0)</f>
        <v>1208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4">
        <f>(VLOOKUP($O$2,Prices!$E$3:$F$17,2,FALSE)*Urban!O307)+(VLOOKUP($P$2,Prices!$E$3:$F$17,2,FALSE)*Urban!P307)+(VLOOKUP($Q$2,Prices!$E$3:$F$17,2,FALSE)*Urban!Q307)+(VLOOKUP($R$2,Prices!$E$3:$F$17,2,FALSE)*Urban!R307)+(VLOOKUP($S$2,Prices!$E$3:$F$17,2,FALSE)*Urban!S307)+(VLOOKUP($T$2,Prices!$E$3:$F$17,2,FALSE)*Urban!T307)+(VLOOKUP($U$2,Prices!$E$3:$F$17,2,FALSE)*Urban!U307)+(VLOOKUP($V$2,Prices!$E$3:$F$17,2,FALSE)*Urban!V307)+(VLOOKUP($W$2,Prices!$E$3:$F$17,2,FALSE)*Urban!W307)+(VLOOKUP($X$2,Prices!$E$3:$F$17,2,FALSE)*Urban!X307)+(VLOOKUP($Y$2,Prices!$E$3:$F$17,2,FALSE)*Urban!Y307)+(VLOOKUP($Z$2,Prices!$E$3:$F$17,2,FALSE)*Urban!Z307)+(VLOOKUP($AA$2,Prices!$E$3:$F$17,2,FALSE)*Urban!AA307)+(VLOOKUP($AB$2,Prices!$E$3:$F$17,2,FALSE)*Urban!AB307)+M307</f>
        <v>159827000</v>
      </c>
      <c r="AD307" s="18"/>
      <c r="AE307" s="18"/>
      <c r="AF307" s="4">
        <f t="shared" si="16"/>
        <v>0</v>
      </c>
      <c r="AG307" s="4"/>
      <c r="AH307" s="16">
        <f t="shared" si="17"/>
        <v>0</v>
      </c>
      <c r="AI307" s="21">
        <f t="shared" si="18"/>
        <v>0</v>
      </c>
      <c r="AJ307" s="20">
        <f t="shared" si="19"/>
        <v>0</v>
      </c>
      <c r="AK307" s="9"/>
    </row>
    <row r="308" spans="1:37" hidden="1">
      <c r="A308" s="3">
        <v>306</v>
      </c>
      <c r="B308" s="12"/>
      <c r="C308" s="13"/>
      <c r="D308" s="13"/>
      <c r="E308" s="13"/>
      <c r="F308" s="13"/>
      <c r="G308" s="13"/>
      <c r="H308" s="28"/>
      <c r="I308" s="39" t="s">
        <v>316</v>
      </c>
      <c r="J308" s="24" t="s">
        <v>1390</v>
      </c>
      <c r="K308" s="26" t="s">
        <v>671</v>
      </c>
      <c r="L308" s="26" t="s">
        <v>631</v>
      </c>
      <c r="M308" s="41">
        <f>IFERROR(VLOOKUP($L308,'[2]Top WH -National'!$D$9:$AC$124,26,0),0)</f>
        <v>49701000</v>
      </c>
      <c r="N308" s="41">
        <f>IFERROR(VLOOKUP($L308,'[2]Top WH -National'!$D$9:$AC$124,4,0),0)</f>
        <v>347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4">
        <f>(VLOOKUP($O$2,Prices!$E$3:$F$17,2,FALSE)*Urban!O308)+(VLOOKUP($P$2,Prices!$E$3:$F$17,2,FALSE)*Urban!P308)+(VLOOKUP($Q$2,Prices!$E$3:$F$17,2,FALSE)*Urban!Q308)+(VLOOKUP($R$2,Prices!$E$3:$F$17,2,FALSE)*Urban!R308)+(VLOOKUP($S$2,Prices!$E$3:$F$17,2,FALSE)*Urban!S308)+(VLOOKUP($T$2,Prices!$E$3:$F$17,2,FALSE)*Urban!T308)+(VLOOKUP($U$2,Prices!$E$3:$F$17,2,FALSE)*Urban!U308)+(VLOOKUP($V$2,Prices!$E$3:$F$17,2,FALSE)*Urban!V308)+(VLOOKUP($W$2,Prices!$E$3:$F$17,2,FALSE)*Urban!W308)+(VLOOKUP($X$2,Prices!$E$3:$F$17,2,FALSE)*Urban!X308)+(VLOOKUP($Y$2,Prices!$E$3:$F$17,2,FALSE)*Urban!Y308)+(VLOOKUP($Z$2,Prices!$E$3:$F$17,2,FALSE)*Urban!Z308)+(VLOOKUP($AA$2,Prices!$E$3:$F$17,2,FALSE)*Urban!AA308)+(VLOOKUP($AB$2,Prices!$E$3:$F$17,2,FALSE)*Urban!AB308)+M308</f>
        <v>49701000</v>
      </c>
      <c r="AD308" s="18"/>
      <c r="AE308" s="18"/>
      <c r="AF308" s="4">
        <f t="shared" si="16"/>
        <v>0</v>
      </c>
      <c r="AG308" s="4"/>
      <c r="AH308" s="16">
        <f t="shared" si="17"/>
        <v>0</v>
      </c>
      <c r="AI308" s="21">
        <f t="shared" si="18"/>
        <v>0</v>
      </c>
      <c r="AJ308" s="20">
        <f t="shared" si="19"/>
        <v>0</v>
      </c>
      <c r="AK308" s="9"/>
    </row>
    <row r="309" spans="1:37" hidden="1">
      <c r="A309" s="3">
        <v>307</v>
      </c>
      <c r="B309" s="12"/>
      <c r="C309" s="13"/>
      <c r="D309" s="13"/>
      <c r="E309" s="13"/>
      <c r="F309" s="13"/>
      <c r="G309" s="13"/>
      <c r="H309" s="28"/>
      <c r="I309" s="39" t="s">
        <v>317</v>
      </c>
      <c r="J309" s="68" t="s">
        <v>1390</v>
      </c>
      <c r="K309" s="26" t="s">
        <v>671</v>
      </c>
      <c r="L309" s="26" t="s">
        <v>632</v>
      </c>
      <c r="M309" s="41">
        <f>IFERROR(VLOOKUP($L309,'[2]Top WH -National'!$D$9:$AC$124,26,0),0)</f>
        <v>130950000</v>
      </c>
      <c r="N309" s="41">
        <f>IFERROR(VLOOKUP($L309,'[2]Top WH -National'!$D$9:$AC$124,4,0),0)</f>
        <v>955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4">
        <f>(VLOOKUP($O$2,Prices!$E$3:$F$17,2,FALSE)*Urban!O309)+(VLOOKUP($P$2,Prices!$E$3:$F$17,2,FALSE)*Urban!P309)+(VLOOKUP($Q$2,Prices!$E$3:$F$17,2,FALSE)*Urban!Q309)+(VLOOKUP($R$2,Prices!$E$3:$F$17,2,FALSE)*Urban!R309)+(VLOOKUP($S$2,Prices!$E$3:$F$17,2,FALSE)*Urban!S309)+(VLOOKUP($T$2,Prices!$E$3:$F$17,2,FALSE)*Urban!T309)+(VLOOKUP($U$2,Prices!$E$3:$F$17,2,FALSE)*Urban!U309)+(VLOOKUP($V$2,Prices!$E$3:$F$17,2,FALSE)*Urban!V309)+(VLOOKUP($W$2,Prices!$E$3:$F$17,2,FALSE)*Urban!W309)+(VLOOKUP($X$2,Prices!$E$3:$F$17,2,FALSE)*Urban!X309)+(VLOOKUP($Y$2,Prices!$E$3:$F$17,2,FALSE)*Urban!Y309)+(VLOOKUP($Z$2,Prices!$E$3:$F$17,2,FALSE)*Urban!Z309)+(VLOOKUP($AA$2,Prices!$E$3:$F$17,2,FALSE)*Urban!AA309)+(VLOOKUP($AB$2,Prices!$E$3:$F$17,2,FALSE)*Urban!AB309)+M309</f>
        <v>130950000</v>
      </c>
      <c r="AD309" s="18"/>
      <c r="AE309" s="18"/>
      <c r="AF309" s="4">
        <f t="shared" si="16"/>
        <v>0</v>
      </c>
      <c r="AG309" s="4"/>
      <c r="AH309" s="16">
        <f t="shared" si="17"/>
        <v>0</v>
      </c>
      <c r="AI309" s="21">
        <f t="shared" si="18"/>
        <v>0</v>
      </c>
      <c r="AJ309" s="20">
        <f t="shared" si="19"/>
        <v>0</v>
      </c>
      <c r="AK309" s="9"/>
    </row>
    <row r="310" spans="1:37" hidden="1">
      <c r="A310" s="3">
        <v>308</v>
      </c>
      <c r="B310" s="12"/>
      <c r="C310" s="13"/>
      <c r="D310" s="13"/>
      <c r="E310" s="13"/>
      <c r="F310" s="13"/>
      <c r="G310" s="13"/>
      <c r="H310" s="28"/>
      <c r="I310" s="24" t="s">
        <v>318</v>
      </c>
      <c r="J310" s="24" t="s">
        <v>1390</v>
      </c>
      <c r="K310" s="26" t="s">
        <v>671</v>
      </c>
      <c r="L310" s="26" t="s">
        <v>633</v>
      </c>
      <c r="M310" s="66">
        <f>IFERROR(VLOOKUP($L310,[1]Consolidated!$C$9:$AC$341,27,0),0)</f>
        <v>18297000</v>
      </c>
      <c r="N310" s="66">
        <f>IFERROR(VLOOKUP($L310,[1]Consolidated!$C$9:$AC$341,5,0),0)</f>
        <v>125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4">
        <f>(VLOOKUP($O$2,Prices!$E$3:$F$17,2,FALSE)*Urban!O310)+(VLOOKUP($P$2,Prices!$E$3:$F$17,2,FALSE)*Urban!P310)+(VLOOKUP($Q$2,Prices!$E$3:$F$17,2,FALSE)*Urban!Q310)+(VLOOKUP($R$2,Prices!$E$3:$F$17,2,FALSE)*Urban!R310)+(VLOOKUP($S$2,Prices!$E$3:$F$17,2,FALSE)*Urban!S310)+(VLOOKUP($T$2,Prices!$E$3:$F$17,2,FALSE)*Urban!T310)+(VLOOKUP($U$2,Prices!$E$3:$F$17,2,FALSE)*Urban!U310)+(VLOOKUP($V$2,Prices!$E$3:$F$17,2,FALSE)*Urban!V310)+(VLOOKUP($W$2,Prices!$E$3:$F$17,2,FALSE)*Urban!W310)+(VLOOKUP($X$2,Prices!$E$3:$F$17,2,FALSE)*Urban!X310)+(VLOOKUP($Y$2,Prices!$E$3:$F$17,2,FALSE)*Urban!Y310)+(VLOOKUP($Z$2,Prices!$E$3:$F$17,2,FALSE)*Urban!Z310)+(VLOOKUP($AA$2,Prices!$E$3:$F$17,2,FALSE)*Urban!AA310)+(VLOOKUP($AB$2,Prices!$E$3:$F$17,2,FALSE)*Urban!AB310)+M310</f>
        <v>18297000</v>
      </c>
      <c r="AD310" s="18"/>
      <c r="AE310" s="18"/>
      <c r="AF310" s="4">
        <f t="shared" si="16"/>
        <v>0</v>
      </c>
      <c r="AG310" s="4"/>
      <c r="AH310" s="16">
        <f t="shared" si="17"/>
        <v>0</v>
      </c>
      <c r="AI310" s="21">
        <f t="shared" si="18"/>
        <v>0</v>
      </c>
      <c r="AJ310" s="20">
        <f t="shared" si="19"/>
        <v>0</v>
      </c>
      <c r="AK310" s="9"/>
    </row>
    <row r="311" spans="1:37" hidden="1">
      <c r="A311" s="3">
        <v>309</v>
      </c>
      <c r="B311" s="12"/>
      <c r="C311" s="13"/>
      <c r="D311" s="13"/>
      <c r="E311" s="13"/>
      <c r="F311" s="13"/>
      <c r="G311" s="13"/>
      <c r="H311" s="28"/>
      <c r="I311" s="24" t="s">
        <v>319</v>
      </c>
      <c r="J311" s="24" t="s">
        <v>1390</v>
      </c>
      <c r="K311" s="26" t="s">
        <v>671</v>
      </c>
      <c r="L311" s="26" t="s">
        <v>634</v>
      </c>
      <c r="M311" s="66">
        <f>IFERROR(VLOOKUP($L311,[1]Consolidated!$C$9:$AC$341,27,0),0)</f>
        <v>17822000</v>
      </c>
      <c r="N311" s="66">
        <f>IFERROR(VLOOKUP($L311,[1]Consolidated!$C$9:$AC$341,5,0),0)</f>
        <v>120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4">
        <f>(VLOOKUP($O$2,Prices!$E$3:$F$17,2,FALSE)*Urban!O311)+(VLOOKUP($P$2,Prices!$E$3:$F$17,2,FALSE)*Urban!P311)+(VLOOKUP($Q$2,Prices!$E$3:$F$17,2,FALSE)*Urban!Q311)+(VLOOKUP($R$2,Prices!$E$3:$F$17,2,FALSE)*Urban!R311)+(VLOOKUP($S$2,Prices!$E$3:$F$17,2,FALSE)*Urban!S311)+(VLOOKUP($T$2,Prices!$E$3:$F$17,2,FALSE)*Urban!T311)+(VLOOKUP($U$2,Prices!$E$3:$F$17,2,FALSE)*Urban!U311)+(VLOOKUP($V$2,Prices!$E$3:$F$17,2,FALSE)*Urban!V311)+(VLOOKUP($W$2,Prices!$E$3:$F$17,2,FALSE)*Urban!W311)+(VLOOKUP($X$2,Prices!$E$3:$F$17,2,FALSE)*Urban!X311)+(VLOOKUP($Y$2,Prices!$E$3:$F$17,2,FALSE)*Urban!Y311)+(VLOOKUP($Z$2,Prices!$E$3:$F$17,2,FALSE)*Urban!Z311)+(VLOOKUP($AA$2,Prices!$E$3:$F$17,2,FALSE)*Urban!AA311)+(VLOOKUP($AB$2,Prices!$E$3:$F$17,2,FALSE)*Urban!AB311)+M311</f>
        <v>17822000</v>
      </c>
      <c r="AD311" s="18"/>
      <c r="AE311" s="18"/>
      <c r="AF311" s="4">
        <f t="shared" si="16"/>
        <v>0</v>
      </c>
      <c r="AG311" s="4"/>
      <c r="AH311" s="16">
        <f t="shared" si="17"/>
        <v>0</v>
      </c>
      <c r="AI311" s="21">
        <f t="shared" si="18"/>
        <v>0</v>
      </c>
      <c r="AJ311" s="20">
        <f t="shared" si="19"/>
        <v>0</v>
      </c>
      <c r="AK311" s="19"/>
    </row>
    <row r="312" spans="1:37" hidden="1">
      <c r="A312" s="3">
        <v>310</v>
      </c>
      <c r="B312" s="12"/>
      <c r="C312" s="13"/>
      <c r="D312" s="13"/>
      <c r="E312" s="13"/>
      <c r="F312" s="13"/>
      <c r="G312" s="13"/>
      <c r="H312" s="28"/>
      <c r="I312" s="24" t="s">
        <v>320</v>
      </c>
      <c r="J312" s="24" t="s">
        <v>1390</v>
      </c>
      <c r="K312" s="26" t="s">
        <v>671</v>
      </c>
      <c r="L312" s="26" t="s">
        <v>635</v>
      </c>
      <c r="M312" s="66">
        <f>IFERROR(VLOOKUP($L312,[1]Consolidated!$C$9:$AC$341,27,0),0)</f>
        <v>10246000</v>
      </c>
      <c r="N312" s="66">
        <f>IFERROR(VLOOKUP($L312,[1]Consolidated!$C$9:$AC$341,5,0),0)</f>
        <v>70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4">
        <f>(VLOOKUP($O$2,Prices!$E$3:$F$17,2,FALSE)*Urban!O312)+(VLOOKUP($P$2,Prices!$E$3:$F$17,2,FALSE)*Urban!P312)+(VLOOKUP($Q$2,Prices!$E$3:$F$17,2,FALSE)*Urban!Q312)+(VLOOKUP($R$2,Prices!$E$3:$F$17,2,FALSE)*Urban!R312)+(VLOOKUP($S$2,Prices!$E$3:$F$17,2,FALSE)*Urban!S312)+(VLOOKUP($T$2,Prices!$E$3:$F$17,2,FALSE)*Urban!T312)+(VLOOKUP($U$2,Prices!$E$3:$F$17,2,FALSE)*Urban!U312)+(VLOOKUP($V$2,Prices!$E$3:$F$17,2,FALSE)*Urban!V312)+(VLOOKUP($W$2,Prices!$E$3:$F$17,2,FALSE)*Urban!W312)+(VLOOKUP($X$2,Prices!$E$3:$F$17,2,FALSE)*Urban!X312)+(VLOOKUP($Y$2,Prices!$E$3:$F$17,2,FALSE)*Urban!Y312)+(VLOOKUP($Z$2,Prices!$E$3:$F$17,2,FALSE)*Urban!Z312)+(VLOOKUP($AA$2,Prices!$E$3:$F$17,2,FALSE)*Urban!AA312)+(VLOOKUP($AB$2,Prices!$E$3:$F$17,2,FALSE)*Urban!AB312)+M312</f>
        <v>10246000</v>
      </c>
      <c r="AD312" s="18"/>
      <c r="AE312" s="18"/>
      <c r="AF312" s="4">
        <f t="shared" si="16"/>
        <v>0</v>
      </c>
      <c r="AG312" s="4"/>
      <c r="AH312" s="16">
        <f t="shared" si="17"/>
        <v>0</v>
      </c>
      <c r="AI312" s="21">
        <f t="shared" si="18"/>
        <v>0</v>
      </c>
      <c r="AJ312" s="20">
        <f t="shared" si="19"/>
        <v>0</v>
      </c>
      <c r="AK312" s="9"/>
    </row>
    <row r="313" spans="1:37" hidden="1">
      <c r="A313" s="3">
        <v>311</v>
      </c>
      <c r="B313" s="12"/>
      <c r="C313" s="13"/>
      <c r="D313" s="13"/>
      <c r="E313" s="13"/>
      <c r="F313" s="13"/>
      <c r="G313" s="13"/>
      <c r="H313" s="28"/>
      <c r="I313" s="24" t="s">
        <v>321</v>
      </c>
      <c r="J313" s="24" t="s">
        <v>1390</v>
      </c>
      <c r="K313" s="26" t="s">
        <v>671</v>
      </c>
      <c r="L313" s="26" t="s">
        <v>636</v>
      </c>
      <c r="M313" s="66">
        <f>IFERROR(VLOOKUP($L313,[1]Consolidated!$C$9:$AC$341,27,0),0)</f>
        <v>10246000</v>
      </c>
      <c r="N313" s="66">
        <f>IFERROR(VLOOKUP($L313,[1]Consolidated!$C$9:$AC$341,5,0),0)</f>
        <v>70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4">
        <f>(VLOOKUP($O$2,Prices!$E$3:$F$17,2,FALSE)*Urban!O313)+(VLOOKUP($P$2,Prices!$E$3:$F$17,2,FALSE)*Urban!P313)+(VLOOKUP($Q$2,Prices!$E$3:$F$17,2,FALSE)*Urban!Q313)+(VLOOKUP($R$2,Prices!$E$3:$F$17,2,FALSE)*Urban!R313)+(VLOOKUP($S$2,Prices!$E$3:$F$17,2,FALSE)*Urban!S313)+(VLOOKUP($T$2,Prices!$E$3:$F$17,2,FALSE)*Urban!T313)+(VLOOKUP($U$2,Prices!$E$3:$F$17,2,FALSE)*Urban!U313)+(VLOOKUP($V$2,Prices!$E$3:$F$17,2,FALSE)*Urban!V313)+(VLOOKUP($W$2,Prices!$E$3:$F$17,2,FALSE)*Urban!W313)+(VLOOKUP($X$2,Prices!$E$3:$F$17,2,FALSE)*Urban!X313)+(VLOOKUP($Y$2,Prices!$E$3:$F$17,2,FALSE)*Urban!Y313)+(VLOOKUP($Z$2,Prices!$E$3:$F$17,2,FALSE)*Urban!Z313)+(VLOOKUP($AA$2,Prices!$E$3:$F$17,2,FALSE)*Urban!AA313)+(VLOOKUP($AB$2,Prices!$E$3:$F$17,2,FALSE)*Urban!AB313)+M313</f>
        <v>10246000</v>
      </c>
      <c r="AD313" s="18"/>
      <c r="AE313" s="18"/>
      <c r="AF313" s="4">
        <f t="shared" si="16"/>
        <v>0</v>
      </c>
      <c r="AG313" s="4"/>
      <c r="AH313" s="16">
        <f t="shared" si="17"/>
        <v>0</v>
      </c>
      <c r="AI313" s="21">
        <f t="shared" si="18"/>
        <v>0</v>
      </c>
      <c r="AJ313" s="20">
        <f t="shared" si="19"/>
        <v>0</v>
      </c>
      <c r="AK313" s="9"/>
    </row>
    <row r="314" spans="1:37" hidden="1">
      <c r="A314" s="3">
        <v>312</v>
      </c>
      <c r="B314" s="12"/>
      <c r="C314" s="13"/>
      <c r="D314" s="13"/>
      <c r="E314" s="13"/>
      <c r="F314" s="13"/>
      <c r="G314" s="13"/>
      <c r="H314" s="28"/>
      <c r="I314" s="24" t="s">
        <v>322</v>
      </c>
      <c r="J314" s="24" t="s">
        <v>1390</v>
      </c>
      <c r="K314" s="26" t="s">
        <v>671</v>
      </c>
      <c r="L314" s="26" t="s">
        <v>637</v>
      </c>
      <c r="M314" s="66">
        <f>IFERROR(VLOOKUP($L314,[1]Consolidated!$C$9:$AC$341,27,0),0)</f>
        <v>40567000</v>
      </c>
      <c r="N314" s="66">
        <f>IFERROR(VLOOKUP($L314,[1]Consolidated!$C$9:$AC$341,5,0),0)</f>
        <v>250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4">
        <f>(VLOOKUP($O$2,Prices!$E$3:$F$17,2,FALSE)*Urban!O314)+(VLOOKUP($P$2,Prices!$E$3:$F$17,2,FALSE)*Urban!P314)+(VLOOKUP($Q$2,Prices!$E$3:$F$17,2,FALSE)*Urban!Q314)+(VLOOKUP($R$2,Prices!$E$3:$F$17,2,FALSE)*Urban!R314)+(VLOOKUP($S$2,Prices!$E$3:$F$17,2,FALSE)*Urban!S314)+(VLOOKUP($T$2,Prices!$E$3:$F$17,2,FALSE)*Urban!T314)+(VLOOKUP($U$2,Prices!$E$3:$F$17,2,FALSE)*Urban!U314)+(VLOOKUP($V$2,Prices!$E$3:$F$17,2,FALSE)*Urban!V314)+(VLOOKUP($W$2,Prices!$E$3:$F$17,2,FALSE)*Urban!W314)+(VLOOKUP($X$2,Prices!$E$3:$F$17,2,FALSE)*Urban!X314)+(VLOOKUP($Y$2,Prices!$E$3:$F$17,2,FALSE)*Urban!Y314)+(VLOOKUP($Z$2,Prices!$E$3:$F$17,2,FALSE)*Urban!Z314)+(VLOOKUP($AA$2,Prices!$E$3:$F$17,2,FALSE)*Urban!AA314)+(VLOOKUP($AB$2,Prices!$E$3:$F$17,2,FALSE)*Urban!AB314)+M314</f>
        <v>40567000</v>
      </c>
      <c r="AD314" s="18"/>
      <c r="AE314" s="18"/>
      <c r="AF314" s="4">
        <f t="shared" si="16"/>
        <v>0</v>
      </c>
      <c r="AG314" s="4"/>
      <c r="AH314" s="16">
        <f t="shared" si="17"/>
        <v>0</v>
      </c>
      <c r="AI314" s="21">
        <f t="shared" si="18"/>
        <v>0</v>
      </c>
      <c r="AJ314" s="20">
        <f t="shared" si="19"/>
        <v>0</v>
      </c>
      <c r="AK314" s="9"/>
    </row>
    <row r="315" spans="1:37" hidden="1">
      <c r="A315" s="3">
        <v>313</v>
      </c>
      <c r="B315" s="12"/>
      <c r="C315" s="13"/>
      <c r="D315" s="13"/>
      <c r="E315" s="13"/>
      <c r="F315" s="13"/>
      <c r="G315" s="13"/>
      <c r="H315" s="28"/>
      <c r="I315" s="24" t="s">
        <v>323</v>
      </c>
      <c r="J315" s="24" t="s">
        <v>1390</v>
      </c>
      <c r="K315" s="26" t="s">
        <v>672</v>
      </c>
      <c r="L315" s="26" t="s">
        <v>638</v>
      </c>
      <c r="M315" s="66">
        <f>IFERROR(VLOOKUP($L315,[1]Consolidated!$C$9:$AC$341,27,0),0)</f>
        <v>34548000</v>
      </c>
      <c r="N315" s="66">
        <f>IFERROR(VLOOKUP($L315,[1]Consolidated!$C$9:$AC$341,5,0),0)</f>
        <v>255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4">
        <f>(VLOOKUP($O$2,Prices!$E$3:$F$17,2,FALSE)*Urban!O315)+(VLOOKUP($P$2,Prices!$E$3:$F$17,2,FALSE)*Urban!P315)+(VLOOKUP($Q$2,Prices!$E$3:$F$17,2,FALSE)*Urban!Q315)+(VLOOKUP($R$2,Prices!$E$3:$F$17,2,FALSE)*Urban!R315)+(VLOOKUP($S$2,Prices!$E$3:$F$17,2,FALSE)*Urban!S315)+(VLOOKUP($T$2,Prices!$E$3:$F$17,2,FALSE)*Urban!T315)+(VLOOKUP($U$2,Prices!$E$3:$F$17,2,FALSE)*Urban!U315)+(VLOOKUP($V$2,Prices!$E$3:$F$17,2,FALSE)*Urban!V315)+(VLOOKUP($W$2,Prices!$E$3:$F$17,2,FALSE)*Urban!W315)+(VLOOKUP($X$2,Prices!$E$3:$F$17,2,FALSE)*Urban!X315)+(VLOOKUP($Y$2,Prices!$E$3:$F$17,2,FALSE)*Urban!Y315)+(VLOOKUP($Z$2,Prices!$E$3:$F$17,2,FALSE)*Urban!Z315)+(VLOOKUP($AA$2,Prices!$E$3:$F$17,2,FALSE)*Urban!AA315)+(VLOOKUP($AB$2,Prices!$E$3:$F$17,2,FALSE)*Urban!AB315)+M315</f>
        <v>34548000</v>
      </c>
      <c r="AD315" s="18"/>
      <c r="AE315" s="18"/>
      <c r="AF315" s="4">
        <f t="shared" si="16"/>
        <v>0</v>
      </c>
      <c r="AG315" s="4"/>
      <c r="AH315" s="16">
        <f t="shared" si="17"/>
        <v>0</v>
      </c>
      <c r="AI315" s="21">
        <f t="shared" si="18"/>
        <v>0</v>
      </c>
      <c r="AJ315" s="20">
        <f t="shared" si="19"/>
        <v>0</v>
      </c>
      <c r="AK315" s="9"/>
    </row>
    <row r="316" spans="1:37" hidden="1">
      <c r="A316" s="3">
        <v>314</v>
      </c>
      <c r="B316" s="12"/>
      <c r="C316" s="13"/>
      <c r="D316" s="13"/>
      <c r="E316" s="13"/>
      <c r="F316" s="13"/>
      <c r="G316" s="13"/>
      <c r="H316" s="28"/>
      <c r="I316" s="24" t="s">
        <v>324</v>
      </c>
      <c r="J316" s="24" t="s">
        <v>1390</v>
      </c>
      <c r="K316" s="26" t="s">
        <v>672</v>
      </c>
      <c r="L316" s="26" t="s">
        <v>639</v>
      </c>
      <c r="M316" s="66">
        <f>IFERROR(VLOOKUP($L316,[1]Consolidated!$C$9:$AC$341,27,0),0)</f>
        <v>29628000</v>
      </c>
      <c r="N316" s="66">
        <f>IFERROR(VLOOKUP($L316,[1]Consolidated!$C$9:$AC$341,5,0),0)</f>
        <v>249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4">
        <f>(VLOOKUP($O$2,Prices!$E$3:$F$17,2,FALSE)*Urban!O316)+(VLOOKUP($P$2,Prices!$E$3:$F$17,2,FALSE)*Urban!P316)+(VLOOKUP($Q$2,Prices!$E$3:$F$17,2,FALSE)*Urban!Q316)+(VLOOKUP($R$2,Prices!$E$3:$F$17,2,FALSE)*Urban!R316)+(VLOOKUP($S$2,Prices!$E$3:$F$17,2,FALSE)*Urban!S316)+(VLOOKUP($T$2,Prices!$E$3:$F$17,2,FALSE)*Urban!T316)+(VLOOKUP($U$2,Prices!$E$3:$F$17,2,FALSE)*Urban!U316)+(VLOOKUP($V$2,Prices!$E$3:$F$17,2,FALSE)*Urban!V316)+(VLOOKUP($W$2,Prices!$E$3:$F$17,2,FALSE)*Urban!W316)+(VLOOKUP($X$2,Prices!$E$3:$F$17,2,FALSE)*Urban!X316)+(VLOOKUP($Y$2,Prices!$E$3:$F$17,2,FALSE)*Urban!Y316)+(VLOOKUP($Z$2,Prices!$E$3:$F$17,2,FALSE)*Urban!Z316)+(VLOOKUP($AA$2,Prices!$E$3:$F$17,2,FALSE)*Urban!AA316)+(VLOOKUP($AB$2,Prices!$E$3:$F$17,2,FALSE)*Urban!AB316)+M316</f>
        <v>29628000</v>
      </c>
      <c r="AD316" s="18"/>
      <c r="AE316" s="18"/>
      <c r="AF316" s="4">
        <f t="shared" si="16"/>
        <v>0</v>
      </c>
      <c r="AG316" s="4"/>
      <c r="AH316" s="16">
        <f t="shared" si="17"/>
        <v>0</v>
      </c>
      <c r="AI316" s="21">
        <f t="shared" si="18"/>
        <v>0</v>
      </c>
      <c r="AJ316" s="20">
        <f t="shared" si="19"/>
        <v>0</v>
      </c>
      <c r="AK316" s="9"/>
    </row>
    <row r="317" spans="1:37" hidden="1">
      <c r="A317" s="3">
        <v>315</v>
      </c>
      <c r="B317" s="12"/>
      <c r="C317" s="13"/>
      <c r="D317" s="13"/>
      <c r="E317" s="13"/>
      <c r="F317" s="13"/>
      <c r="G317" s="13"/>
      <c r="H317" s="28"/>
      <c r="I317" s="24" t="s">
        <v>325</v>
      </c>
      <c r="J317" s="24" t="s">
        <v>1390</v>
      </c>
      <c r="K317" s="26" t="s">
        <v>672</v>
      </c>
      <c r="L317" s="26" t="s">
        <v>640</v>
      </c>
      <c r="M317" s="66">
        <f>IFERROR(VLOOKUP($L317,[1]Consolidated!$C$9:$AC$341,27,0),0)</f>
        <v>0</v>
      </c>
      <c r="N317" s="66">
        <f>IFERROR(VLOOKUP($L317,[1]Consolidated!$C$9:$AC$341,5,0),0)</f>
        <v>0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4">
        <f>(VLOOKUP($O$2,Prices!$E$3:$F$17,2,FALSE)*Urban!O317)+(VLOOKUP($P$2,Prices!$E$3:$F$17,2,FALSE)*Urban!P317)+(VLOOKUP($Q$2,Prices!$E$3:$F$17,2,FALSE)*Urban!Q317)+(VLOOKUP($R$2,Prices!$E$3:$F$17,2,FALSE)*Urban!R317)+(VLOOKUP($S$2,Prices!$E$3:$F$17,2,FALSE)*Urban!S317)+(VLOOKUP($T$2,Prices!$E$3:$F$17,2,FALSE)*Urban!T317)+(VLOOKUP($U$2,Prices!$E$3:$F$17,2,FALSE)*Urban!U317)+(VLOOKUP($V$2,Prices!$E$3:$F$17,2,FALSE)*Urban!V317)+(VLOOKUP($W$2,Prices!$E$3:$F$17,2,FALSE)*Urban!W317)+(VLOOKUP($X$2,Prices!$E$3:$F$17,2,FALSE)*Urban!X317)+(VLOOKUP($Y$2,Prices!$E$3:$F$17,2,FALSE)*Urban!Y317)+(VLOOKUP($Z$2,Prices!$E$3:$F$17,2,FALSE)*Urban!Z317)+(VLOOKUP($AA$2,Prices!$E$3:$F$17,2,FALSE)*Urban!AA317)+(VLOOKUP($AB$2,Prices!$E$3:$F$17,2,FALSE)*Urban!AB317)+M317</f>
        <v>0</v>
      </c>
      <c r="AD317" s="18"/>
      <c r="AE317" s="18"/>
      <c r="AF317" s="4">
        <f t="shared" si="16"/>
        <v>0</v>
      </c>
      <c r="AG317" s="4"/>
      <c r="AH317" s="16">
        <f t="shared" si="17"/>
        <v>0</v>
      </c>
      <c r="AI317" s="21" t="e">
        <f t="shared" si="18"/>
        <v>#DIV/0!</v>
      </c>
      <c r="AJ317" s="20" t="e">
        <f t="shared" si="19"/>
        <v>#DIV/0!</v>
      </c>
      <c r="AK317" s="9"/>
    </row>
    <row r="318" spans="1:37" hidden="1">
      <c r="A318" s="3">
        <v>316</v>
      </c>
      <c r="B318" s="12"/>
      <c r="C318" s="13"/>
      <c r="D318" s="13"/>
      <c r="E318" s="13"/>
      <c r="F318" s="13"/>
      <c r="G318" s="13"/>
      <c r="H318" s="28"/>
      <c r="I318" s="25" t="s">
        <v>326</v>
      </c>
      <c r="J318" s="24" t="s">
        <v>1390</v>
      </c>
      <c r="K318" s="26" t="s">
        <v>672</v>
      </c>
      <c r="L318" s="26" t="s">
        <v>641</v>
      </c>
      <c r="M318" s="66">
        <f>IFERROR(VLOOKUP($L318,[1]Consolidated!$C$9:$AC$341,27,0),0)</f>
        <v>22658000</v>
      </c>
      <c r="N318" s="66">
        <f>IFERROR(VLOOKUP($L318,[1]Consolidated!$C$9:$AC$341,5,0),0)</f>
        <v>120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4">
        <f>(VLOOKUP($O$2,Prices!$E$3:$F$17,2,FALSE)*Urban!O318)+(VLOOKUP($P$2,Prices!$E$3:$F$17,2,FALSE)*Urban!P318)+(VLOOKUP($Q$2,Prices!$E$3:$F$17,2,FALSE)*Urban!Q318)+(VLOOKUP($R$2,Prices!$E$3:$F$17,2,FALSE)*Urban!R318)+(VLOOKUP($S$2,Prices!$E$3:$F$17,2,FALSE)*Urban!S318)+(VLOOKUP($T$2,Prices!$E$3:$F$17,2,FALSE)*Urban!T318)+(VLOOKUP($U$2,Prices!$E$3:$F$17,2,FALSE)*Urban!U318)+(VLOOKUP($V$2,Prices!$E$3:$F$17,2,FALSE)*Urban!V318)+(VLOOKUP($W$2,Prices!$E$3:$F$17,2,FALSE)*Urban!W318)+(VLOOKUP($X$2,Prices!$E$3:$F$17,2,FALSE)*Urban!X318)+(VLOOKUP($Y$2,Prices!$E$3:$F$17,2,FALSE)*Urban!Y318)+(VLOOKUP($Z$2,Prices!$E$3:$F$17,2,FALSE)*Urban!Z318)+(VLOOKUP($AA$2,Prices!$E$3:$F$17,2,FALSE)*Urban!AA318)+(VLOOKUP($AB$2,Prices!$E$3:$F$17,2,FALSE)*Urban!AB318)+M318</f>
        <v>22658000</v>
      </c>
      <c r="AD318" s="18"/>
      <c r="AE318" s="18"/>
      <c r="AF318" s="4">
        <f t="shared" si="16"/>
        <v>0</v>
      </c>
      <c r="AG318" s="4"/>
      <c r="AH318" s="16">
        <f t="shared" si="17"/>
        <v>0</v>
      </c>
      <c r="AI318" s="21">
        <f t="shared" si="18"/>
        <v>0</v>
      </c>
      <c r="AJ318" s="20">
        <f t="shared" si="19"/>
        <v>0</v>
      </c>
      <c r="AK318" s="9"/>
    </row>
    <row r="319" spans="1:37" hidden="1">
      <c r="A319" s="3">
        <v>317</v>
      </c>
      <c r="B319" s="12"/>
      <c r="C319" s="13"/>
      <c r="D319" s="13"/>
      <c r="E319" s="13"/>
      <c r="F319" s="13"/>
      <c r="G319" s="13"/>
      <c r="H319" s="28"/>
      <c r="I319" s="39" t="s">
        <v>327</v>
      </c>
      <c r="J319" s="24" t="s">
        <v>1390</v>
      </c>
      <c r="K319" s="26" t="s">
        <v>672</v>
      </c>
      <c r="L319" s="26" t="s">
        <v>642</v>
      </c>
      <c r="M319" s="41">
        <f>IFERROR(VLOOKUP($L319,'[2]Top WH -National'!$D$9:$AC$124,26,0),0)</f>
        <v>216379000</v>
      </c>
      <c r="N319" s="41">
        <f>IFERROR(VLOOKUP($L319,'[2]Top WH -National'!$D$9:$AC$124,4,0),0)</f>
        <v>1481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4">
        <f>(VLOOKUP($O$2,Prices!$E$3:$F$17,2,FALSE)*Urban!O319)+(VLOOKUP($P$2,Prices!$E$3:$F$17,2,FALSE)*Urban!P319)+(VLOOKUP($Q$2,Prices!$E$3:$F$17,2,FALSE)*Urban!Q319)+(VLOOKUP($R$2,Prices!$E$3:$F$17,2,FALSE)*Urban!R319)+(VLOOKUP($S$2,Prices!$E$3:$F$17,2,FALSE)*Urban!S319)+(VLOOKUP($T$2,Prices!$E$3:$F$17,2,FALSE)*Urban!T319)+(VLOOKUP($U$2,Prices!$E$3:$F$17,2,FALSE)*Urban!U319)+(VLOOKUP($V$2,Prices!$E$3:$F$17,2,FALSE)*Urban!V319)+(VLOOKUP($W$2,Prices!$E$3:$F$17,2,FALSE)*Urban!W319)+(VLOOKUP($X$2,Prices!$E$3:$F$17,2,FALSE)*Urban!X319)+(VLOOKUP($Y$2,Prices!$E$3:$F$17,2,FALSE)*Urban!Y319)+(VLOOKUP($Z$2,Prices!$E$3:$F$17,2,FALSE)*Urban!Z319)+(VLOOKUP($AA$2,Prices!$E$3:$F$17,2,FALSE)*Urban!AA319)+(VLOOKUP($AB$2,Prices!$E$3:$F$17,2,FALSE)*Urban!AB319)+M319</f>
        <v>216379000</v>
      </c>
      <c r="AD319" s="18"/>
      <c r="AE319" s="18"/>
      <c r="AF319" s="4">
        <f t="shared" si="16"/>
        <v>0</v>
      </c>
      <c r="AG319" s="4"/>
      <c r="AH319" s="16">
        <f t="shared" si="17"/>
        <v>0</v>
      </c>
      <c r="AI319" s="21">
        <f t="shared" si="18"/>
        <v>0</v>
      </c>
      <c r="AJ319" s="20">
        <f t="shared" si="19"/>
        <v>0</v>
      </c>
      <c r="AK319" s="9"/>
    </row>
    <row r="320" spans="1:37" hidden="1">
      <c r="A320" s="3">
        <v>318</v>
      </c>
      <c r="B320" s="12"/>
      <c r="C320" s="13"/>
      <c r="D320" s="13"/>
      <c r="E320" s="13"/>
      <c r="F320" s="13"/>
      <c r="G320" s="13"/>
      <c r="H320" s="28"/>
      <c r="I320" s="39" t="s">
        <v>328</v>
      </c>
      <c r="J320" s="68" t="s">
        <v>1390</v>
      </c>
      <c r="K320" s="26" t="s">
        <v>672</v>
      </c>
      <c r="L320" s="26" t="s">
        <v>643</v>
      </c>
      <c r="M320" s="41">
        <f>IFERROR(VLOOKUP($L320,'[2]Top WH -National'!$D$9:$AC$124,26,0),0)</f>
        <v>52406000</v>
      </c>
      <c r="N320" s="41">
        <f>IFERROR(VLOOKUP($L320,'[2]Top WH -National'!$D$9:$AC$124,4,0),0)</f>
        <v>350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4">
        <f>(VLOOKUP($O$2,Prices!$E$3:$F$17,2,FALSE)*Urban!O320)+(VLOOKUP($P$2,Prices!$E$3:$F$17,2,FALSE)*Urban!P320)+(VLOOKUP($Q$2,Prices!$E$3:$F$17,2,FALSE)*Urban!Q320)+(VLOOKUP($R$2,Prices!$E$3:$F$17,2,FALSE)*Urban!R320)+(VLOOKUP($S$2,Prices!$E$3:$F$17,2,FALSE)*Urban!S320)+(VLOOKUP($T$2,Prices!$E$3:$F$17,2,FALSE)*Urban!T320)+(VLOOKUP($U$2,Prices!$E$3:$F$17,2,FALSE)*Urban!U320)+(VLOOKUP($V$2,Prices!$E$3:$F$17,2,FALSE)*Urban!V320)+(VLOOKUP($W$2,Prices!$E$3:$F$17,2,FALSE)*Urban!W320)+(VLOOKUP($X$2,Prices!$E$3:$F$17,2,FALSE)*Urban!X320)+(VLOOKUP($Y$2,Prices!$E$3:$F$17,2,FALSE)*Urban!Y320)+(VLOOKUP($Z$2,Prices!$E$3:$F$17,2,FALSE)*Urban!Z320)+(VLOOKUP($AA$2,Prices!$E$3:$F$17,2,FALSE)*Urban!AA320)+(VLOOKUP($AB$2,Prices!$E$3:$F$17,2,FALSE)*Urban!AB320)+M320</f>
        <v>52406000</v>
      </c>
      <c r="AD320" s="18"/>
      <c r="AE320" s="18"/>
      <c r="AF320" s="4">
        <f t="shared" si="16"/>
        <v>0</v>
      </c>
      <c r="AG320" s="4"/>
      <c r="AH320" s="16">
        <f t="shared" si="17"/>
        <v>0</v>
      </c>
      <c r="AI320" s="21">
        <f t="shared" si="18"/>
        <v>0</v>
      </c>
      <c r="AJ320" s="20">
        <f t="shared" si="19"/>
        <v>0</v>
      </c>
      <c r="AK320" s="9"/>
    </row>
    <row r="321" spans="1:37" hidden="1">
      <c r="A321" s="3">
        <v>319</v>
      </c>
      <c r="B321" s="12"/>
      <c r="C321" s="13"/>
      <c r="D321" s="13"/>
      <c r="E321" s="13"/>
      <c r="F321" s="13"/>
      <c r="G321" s="13"/>
      <c r="H321" s="28"/>
      <c r="I321" s="24" t="s">
        <v>329</v>
      </c>
      <c r="J321" s="24" t="s">
        <v>1390</v>
      </c>
      <c r="K321" s="26" t="s">
        <v>672</v>
      </c>
      <c r="L321" s="26" t="s">
        <v>644</v>
      </c>
      <c r="M321" s="66">
        <f>IFERROR(VLOOKUP($L321,[1]Consolidated!$C$9:$AC$341,27,0),0)</f>
        <v>17423000</v>
      </c>
      <c r="N321" s="66">
        <f>IFERROR(VLOOKUP($L321,[1]Consolidated!$C$9:$AC$341,5,0),0)</f>
        <v>120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4">
        <f>(VLOOKUP($O$2,Prices!$E$3:$F$17,2,FALSE)*Urban!O321)+(VLOOKUP($P$2,Prices!$E$3:$F$17,2,FALSE)*Urban!P321)+(VLOOKUP($Q$2,Prices!$E$3:$F$17,2,FALSE)*Urban!Q321)+(VLOOKUP($R$2,Prices!$E$3:$F$17,2,FALSE)*Urban!R321)+(VLOOKUP($S$2,Prices!$E$3:$F$17,2,FALSE)*Urban!S321)+(VLOOKUP($T$2,Prices!$E$3:$F$17,2,FALSE)*Urban!T321)+(VLOOKUP($U$2,Prices!$E$3:$F$17,2,FALSE)*Urban!U321)+(VLOOKUP($V$2,Prices!$E$3:$F$17,2,FALSE)*Urban!V321)+(VLOOKUP($W$2,Prices!$E$3:$F$17,2,FALSE)*Urban!W321)+(VLOOKUP($X$2,Prices!$E$3:$F$17,2,FALSE)*Urban!X321)+(VLOOKUP($Y$2,Prices!$E$3:$F$17,2,FALSE)*Urban!Y321)+(VLOOKUP($Z$2,Prices!$E$3:$F$17,2,FALSE)*Urban!Z321)+(VLOOKUP($AA$2,Prices!$E$3:$F$17,2,FALSE)*Urban!AA321)+(VLOOKUP($AB$2,Prices!$E$3:$F$17,2,FALSE)*Urban!AB321)+M321</f>
        <v>17423000</v>
      </c>
      <c r="AD321" s="18"/>
      <c r="AE321" s="18"/>
      <c r="AF321" s="4">
        <f t="shared" si="16"/>
        <v>0</v>
      </c>
      <c r="AG321" s="4"/>
      <c r="AH321" s="16">
        <f t="shared" si="17"/>
        <v>0</v>
      </c>
      <c r="AI321" s="21">
        <f t="shared" si="18"/>
        <v>0</v>
      </c>
      <c r="AJ321" s="20">
        <f t="shared" si="19"/>
        <v>0</v>
      </c>
      <c r="AK321" s="9"/>
    </row>
    <row r="322" spans="1:37" hidden="1">
      <c r="A322" s="3">
        <v>320</v>
      </c>
      <c r="B322" s="12"/>
      <c r="C322" s="13"/>
      <c r="D322" s="13"/>
      <c r="E322" s="13"/>
      <c r="F322" s="13"/>
      <c r="G322" s="13"/>
      <c r="H322" s="28"/>
      <c r="I322" s="39" t="s">
        <v>330</v>
      </c>
      <c r="J322" s="68" t="s">
        <v>1390</v>
      </c>
      <c r="K322" s="26" t="s">
        <v>672</v>
      </c>
      <c r="L322" s="26" t="s">
        <v>645</v>
      </c>
      <c r="M322" s="41">
        <f>IFERROR(VLOOKUP($L322,'[2]Top WH -National'!$D$9:$AC$124,26,0),0)</f>
        <v>62044000</v>
      </c>
      <c r="N322" s="41">
        <f>IFERROR(VLOOKUP($L322,'[2]Top WH -National'!$D$9:$AC$124,4,0),0)</f>
        <v>399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4">
        <f>(VLOOKUP($O$2,Prices!$E$3:$F$17,2,FALSE)*Urban!O322)+(VLOOKUP($P$2,Prices!$E$3:$F$17,2,FALSE)*Urban!P322)+(VLOOKUP($Q$2,Prices!$E$3:$F$17,2,FALSE)*Urban!Q322)+(VLOOKUP($R$2,Prices!$E$3:$F$17,2,FALSE)*Urban!R322)+(VLOOKUP($S$2,Prices!$E$3:$F$17,2,FALSE)*Urban!S322)+(VLOOKUP($T$2,Prices!$E$3:$F$17,2,FALSE)*Urban!T322)+(VLOOKUP($U$2,Prices!$E$3:$F$17,2,FALSE)*Urban!U322)+(VLOOKUP($V$2,Prices!$E$3:$F$17,2,FALSE)*Urban!V322)+(VLOOKUP($W$2,Prices!$E$3:$F$17,2,FALSE)*Urban!W322)+(VLOOKUP($X$2,Prices!$E$3:$F$17,2,FALSE)*Urban!X322)+(VLOOKUP($Y$2,Prices!$E$3:$F$17,2,FALSE)*Urban!Y322)+(VLOOKUP($Z$2,Prices!$E$3:$F$17,2,FALSE)*Urban!Z322)+(VLOOKUP($AA$2,Prices!$E$3:$F$17,2,FALSE)*Urban!AA322)+(VLOOKUP($AB$2,Prices!$E$3:$F$17,2,FALSE)*Urban!AB322)+M322</f>
        <v>62044000</v>
      </c>
      <c r="AD322" s="18"/>
      <c r="AE322" s="18"/>
      <c r="AF322" s="4">
        <f t="shared" si="16"/>
        <v>0</v>
      </c>
      <c r="AG322" s="4"/>
      <c r="AH322" s="16">
        <f t="shared" si="17"/>
        <v>0</v>
      </c>
      <c r="AI322" s="21">
        <f t="shared" si="18"/>
        <v>0</v>
      </c>
      <c r="AJ322" s="20">
        <f t="shared" si="19"/>
        <v>0</v>
      </c>
      <c r="AK322" s="9"/>
    </row>
    <row r="323" spans="1:37" hidden="1">
      <c r="A323" s="3">
        <v>321</v>
      </c>
      <c r="B323" s="12"/>
      <c r="C323" s="13"/>
      <c r="D323" s="13"/>
      <c r="E323" s="13"/>
      <c r="F323" s="13"/>
      <c r="G323" s="13"/>
      <c r="H323" s="28"/>
      <c r="I323" s="24" t="s">
        <v>331</v>
      </c>
      <c r="J323" s="24" t="s">
        <v>1390</v>
      </c>
      <c r="K323" s="26" t="s">
        <v>672</v>
      </c>
      <c r="L323" s="26" t="s">
        <v>646</v>
      </c>
      <c r="M323" s="66">
        <f>IFERROR(VLOOKUP($L323,[1]Consolidated!$C$9:$AC$341,27,0),0)</f>
        <v>0</v>
      </c>
      <c r="N323" s="66">
        <f>IFERROR(VLOOKUP($L323,[1]Consolidated!$C$9:$AC$341,5,0),0)</f>
        <v>0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4">
        <f>(VLOOKUP($O$2,Prices!$E$3:$F$17,2,FALSE)*Urban!O323)+(VLOOKUP($P$2,Prices!$E$3:$F$17,2,FALSE)*Urban!P323)+(VLOOKUP($Q$2,Prices!$E$3:$F$17,2,FALSE)*Urban!Q323)+(VLOOKUP($R$2,Prices!$E$3:$F$17,2,FALSE)*Urban!R323)+(VLOOKUP($S$2,Prices!$E$3:$F$17,2,FALSE)*Urban!S323)+(VLOOKUP($T$2,Prices!$E$3:$F$17,2,FALSE)*Urban!T323)+(VLOOKUP($U$2,Prices!$E$3:$F$17,2,FALSE)*Urban!U323)+(VLOOKUP($V$2,Prices!$E$3:$F$17,2,FALSE)*Urban!V323)+(VLOOKUP($W$2,Prices!$E$3:$F$17,2,FALSE)*Urban!W323)+(VLOOKUP($X$2,Prices!$E$3:$F$17,2,FALSE)*Urban!X323)+(VLOOKUP($Y$2,Prices!$E$3:$F$17,2,FALSE)*Urban!Y323)+(VLOOKUP($Z$2,Prices!$E$3:$F$17,2,FALSE)*Urban!Z323)+(VLOOKUP($AA$2,Prices!$E$3:$F$17,2,FALSE)*Urban!AA323)+(VLOOKUP($AB$2,Prices!$E$3:$F$17,2,FALSE)*Urban!AB323)+M323</f>
        <v>0</v>
      </c>
      <c r="AD323" s="18"/>
      <c r="AE323" s="18"/>
      <c r="AF323" s="4">
        <f t="shared" ref="AF323:AF333" si="20">AD323-AE323</f>
        <v>0</v>
      </c>
      <c r="AG323" s="4"/>
      <c r="AH323" s="16">
        <f t="shared" ref="AH323:AH333" si="21">AD323+AG323</f>
        <v>0</v>
      </c>
      <c r="AI323" s="21" t="e">
        <f t="shared" ref="AI323:AI333" si="22">AH323/M323</f>
        <v>#DIV/0!</v>
      </c>
      <c r="AJ323" s="20" t="e">
        <f t="shared" ref="AJ323:AJ333" si="23">AH323/AC323</f>
        <v>#DIV/0!</v>
      </c>
      <c r="AK323" s="19"/>
    </row>
    <row r="324" spans="1:37" hidden="1">
      <c r="A324" s="3">
        <v>322</v>
      </c>
      <c r="B324" s="12"/>
      <c r="C324" s="13"/>
      <c r="D324" s="13"/>
      <c r="E324" s="13"/>
      <c r="F324" s="13"/>
      <c r="G324" s="13"/>
      <c r="H324" s="28"/>
      <c r="I324" s="24" t="s">
        <v>332</v>
      </c>
      <c r="J324" s="24" t="s">
        <v>1390</v>
      </c>
      <c r="K324" s="26" t="s">
        <v>672</v>
      </c>
      <c r="L324" s="26" t="s">
        <v>647</v>
      </c>
      <c r="M324" s="66">
        <f>IFERROR(VLOOKUP($L324,[1]Consolidated!$C$9:$AC$341,27,0),0)</f>
        <v>0</v>
      </c>
      <c r="N324" s="66">
        <f>IFERROR(VLOOKUP($L324,[1]Consolidated!$C$9:$AC$341,5,0),0)</f>
        <v>0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4">
        <f>(VLOOKUP($O$2,Prices!$E$3:$F$17,2,FALSE)*Urban!O324)+(VLOOKUP($P$2,Prices!$E$3:$F$17,2,FALSE)*Urban!P324)+(VLOOKUP($Q$2,Prices!$E$3:$F$17,2,FALSE)*Urban!Q324)+(VLOOKUP($R$2,Prices!$E$3:$F$17,2,FALSE)*Urban!R324)+(VLOOKUP($S$2,Prices!$E$3:$F$17,2,FALSE)*Urban!S324)+(VLOOKUP($T$2,Prices!$E$3:$F$17,2,FALSE)*Urban!T324)+(VLOOKUP($U$2,Prices!$E$3:$F$17,2,FALSE)*Urban!U324)+(VLOOKUP($V$2,Prices!$E$3:$F$17,2,FALSE)*Urban!V324)+(VLOOKUP($W$2,Prices!$E$3:$F$17,2,FALSE)*Urban!W324)+(VLOOKUP($X$2,Prices!$E$3:$F$17,2,FALSE)*Urban!X324)+(VLOOKUP($Y$2,Prices!$E$3:$F$17,2,FALSE)*Urban!Y324)+(VLOOKUP($Z$2,Prices!$E$3:$F$17,2,FALSE)*Urban!Z324)+(VLOOKUP($AA$2,Prices!$E$3:$F$17,2,FALSE)*Urban!AA324)+(VLOOKUP($AB$2,Prices!$E$3:$F$17,2,FALSE)*Urban!AB324)+M324</f>
        <v>0</v>
      </c>
      <c r="AD324" s="18"/>
      <c r="AE324" s="18"/>
      <c r="AF324" s="4">
        <f t="shared" si="20"/>
        <v>0</v>
      </c>
      <c r="AG324" s="4"/>
      <c r="AH324" s="16">
        <f t="shared" si="21"/>
        <v>0</v>
      </c>
      <c r="AI324" s="21" t="e">
        <f t="shared" si="22"/>
        <v>#DIV/0!</v>
      </c>
      <c r="AJ324" s="20" t="e">
        <f t="shared" si="23"/>
        <v>#DIV/0!</v>
      </c>
      <c r="AK324" s="9"/>
    </row>
    <row r="325" spans="1:37" hidden="1">
      <c r="A325" s="3">
        <v>323</v>
      </c>
      <c r="B325" s="12"/>
      <c r="C325" s="13"/>
      <c r="D325" s="13"/>
      <c r="E325" s="13"/>
      <c r="F325" s="13"/>
      <c r="G325" s="13"/>
      <c r="H325" s="28"/>
      <c r="I325" s="24" t="s">
        <v>334</v>
      </c>
      <c r="J325" s="24" t="s">
        <v>1390</v>
      </c>
      <c r="K325" s="26" t="s">
        <v>672</v>
      </c>
      <c r="L325" s="26" t="s">
        <v>649</v>
      </c>
      <c r="M325" s="66">
        <f>IFERROR(VLOOKUP($L325,[1]Consolidated!$C$9:$AC$341,27,0),0)</f>
        <v>51806000</v>
      </c>
      <c r="N325" s="66">
        <f>IFERROR(VLOOKUP($L325,[1]Consolidated!$C$9:$AC$341,5,0),0)</f>
        <v>337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4">
        <f>(VLOOKUP($O$2,Prices!$E$3:$F$17,2,FALSE)*Urban!O325)+(VLOOKUP($P$2,Prices!$E$3:$F$17,2,FALSE)*Urban!P325)+(VLOOKUP($Q$2,Prices!$E$3:$F$17,2,FALSE)*Urban!Q325)+(VLOOKUP($R$2,Prices!$E$3:$F$17,2,FALSE)*Urban!R325)+(VLOOKUP($S$2,Prices!$E$3:$F$17,2,FALSE)*Urban!S325)+(VLOOKUP($T$2,Prices!$E$3:$F$17,2,FALSE)*Urban!T325)+(VLOOKUP($U$2,Prices!$E$3:$F$17,2,FALSE)*Urban!U325)+(VLOOKUP($V$2,Prices!$E$3:$F$17,2,FALSE)*Urban!V325)+(VLOOKUP($W$2,Prices!$E$3:$F$17,2,FALSE)*Urban!W325)+(VLOOKUP($X$2,Prices!$E$3:$F$17,2,FALSE)*Urban!X325)+(VLOOKUP($Y$2,Prices!$E$3:$F$17,2,FALSE)*Urban!Y325)+(VLOOKUP($Z$2,Prices!$E$3:$F$17,2,FALSE)*Urban!Z325)+(VLOOKUP($AA$2,Prices!$E$3:$F$17,2,FALSE)*Urban!AA325)+(VLOOKUP($AB$2,Prices!$E$3:$F$17,2,FALSE)*Urban!AB325)+M325</f>
        <v>51806000</v>
      </c>
      <c r="AD325" s="18"/>
      <c r="AE325" s="18"/>
      <c r="AF325" s="4">
        <f t="shared" si="20"/>
        <v>0</v>
      </c>
      <c r="AG325" s="4"/>
      <c r="AH325" s="16">
        <f t="shared" si="21"/>
        <v>0</v>
      </c>
      <c r="AI325" s="21">
        <f t="shared" si="22"/>
        <v>0</v>
      </c>
      <c r="AJ325" s="20">
        <f t="shared" si="23"/>
        <v>0</v>
      </c>
      <c r="AK325" s="9"/>
    </row>
    <row r="326" spans="1:37" hidden="1">
      <c r="A326" s="3">
        <v>324</v>
      </c>
      <c r="B326" s="12"/>
      <c r="C326" s="13"/>
      <c r="D326" s="13"/>
      <c r="E326" s="13"/>
      <c r="F326" s="13"/>
      <c r="G326" s="13"/>
      <c r="H326" s="28"/>
      <c r="I326" s="24" t="s">
        <v>333</v>
      </c>
      <c r="J326" s="68" t="s">
        <v>1390</v>
      </c>
      <c r="K326" s="26" t="s">
        <v>672</v>
      </c>
      <c r="L326" s="26" t="s">
        <v>648</v>
      </c>
      <c r="M326" s="66">
        <f>IFERROR(VLOOKUP($L326,[1]Consolidated!$C$9:$AC$341,27,0),0)</f>
        <v>24864000</v>
      </c>
      <c r="N326" s="66">
        <f>IFERROR(VLOOKUP($L326,[1]Consolidated!$C$9:$AC$341,5,0),0)</f>
        <v>125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4">
        <f>(VLOOKUP($O$2,Prices!$E$3:$F$17,2,FALSE)*Urban!O326)+(VLOOKUP($P$2,Prices!$E$3:$F$17,2,FALSE)*Urban!P326)+(VLOOKUP($Q$2,Prices!$E$3:$F$17,2,FALSE)*Urban!Q326)+(VLOOKUP($R$2,Prices!$E$3:$F$17,2,FALSE)*Urban!R326)+(VLOOKUP($S$2,Prices!$E$3:$F$17,2,FALSE)*Urban!S326)+(VLOOKUP($T$2,Prices!$E$3:$F$17,2,FALSE)*Urban!T326)+(VLOOKUP($U$2,Prices!$E$3:$F$17,2,FALSE)*Urban!U326)+(VLOOKUP($V$2,Prices!$E$3:$F$17,2,FALSE)*Urban!V326)+(VLOOKUP($W$2,Prices!$E$3:$F$17,2,FALSE)*Urban!W326)+(VLOOKUP($X$2,Prices!$E$3:$F$17,2,FALSE)*Urban!X326)+(VLOOKUP($Y$2,Prices!$E$3:$F$17,2,FALSE)*Urban!Y326)+(VLOOKUP($Z$2,Prices!$E$3:$F$17,2,FALSE)*Urban!Z326)+(VLOOKUP($AA$2,Prices!$E$3:$F$17,2,FALSE)*Urban!AA326)+(VLOOKUP($AB$2,Prices!$E$3:$F$17,2,FALSE)*Urban!AB326)+M326</f>
        <v>24864000</v>
      </c>
      <c r="AD326" s="18"/>
      <c r="AE326" s="18"/>
      <c r="AF326" s="4">
        <f t="shared" si="20"/>
        <v>0</v>
      </c>
      <c r="AG326" s="4"/>
      <c r="AH326" s="16">
        <f t="shared" si="21"/>
        <v>0</v>
      </c>
      <c r="AI326" s="21">
        <f t="shared" si="22"/>
        <v>0</v>
      </c>
      <c r="AJ326" s="20">
        <f t="shared" si="23"/>
        <v>0</v>
      </c>
      <c r="AK326" s="9"/>
    </row>
    <row r="327" spans="1:37" hidden="1">
      <c r="A327" s="3">
        <v>325</v>
      </c>
      <c r="B327" s="12"/>
      <c r="C327" s="13"/>
      <c r="D327" s="13"/>
      <c r="E327" s="13"/>
      <c r="F327" s="13"/>
      <c r="G327" s="13"/>
      <c r="H327" s="28"/>
      <c r="I327" s="39" t="s">
        <v>335</v>
      </c>
      <c r="J327" s="68" t="s">
        <v>1390</v>
      </c>
      <c r="K327" s="26" t="s">
        <v>672</v>
      </c>
      <c r="L327" s="26" t="s">
        <v>650</v>
      </c>
      <c r="M327" s="41">
        <f>IFERROR(VLOOKUP($L327,'[2]Top WH -National'!$D$9:$AC$124,26,0),0)</f>
        <v>52066000</v>
      </c>
      <c r="N327" s="41">
        <f>IFERROR(VLOOKUP($L327,'[2]Top WH -National'!$D$9:$AC$124,4,0),0)</f>
        <v>315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4">
        <f>(VLOOKUP($O$2,Prices!$E$3:$F$17,2,FALSE)*Urban!O327)+(VLOOKUP($P$2,Prices!$E$3:$F$17,2,FALSE)*Urban!P327)+(VLOOKUP($Q$2,Prices!$E$3:$F$17,2,FALSE)*Urban!Q327)+(VLOOKUP($R$2,Prices!$E$3:$F$17,2,FALSE)*Urban!R327)+(VLOOKUP($S$2,Prices!$E$3:$F$17,2,FALSE)*Urban!S327)+(VLOOKUP($T$2,Prices!$E$3:$F$17,2,FALSE)*Urban!T327)+(VLOOKUP($U$2,Prices!$E$3:$F$17,2,FALSE)*Urban!U327)+(VLOOKUP($V$2,Prices!$E$3:$F$17,2,FALSE)*Urban!V327)+(VLOOKUP($W$2,Prices!$E$3:$F$17,2,FALSE)*Urban!W327)+(VLOOKUP($X$2,Prices!$E$3:$F$17,2,FALSE)*Urban!X327)+(VLOOKUP($Y$2,Prices!$E$3:$F$17,2,FALSE)*Urban!Y327)+(VLOOKUP($Z$2,Prices!$E$3:$F$17,2,FALSE)*Urban!Z327)+(VLOOKUP($AA$2,Prices!$E$3:$F$17,2,FALSE)*Urban!AA327)+(VLOOKUP($AB$2,Prices!$E$3:$F$17,2,FALSE)*Urban!AB327)+M327</f>
        <v>52066000</v>
      </c>
      <c r="AD327" s="18"/>
      <c r="AE327" s="18"/>
      <c r="AF327" s="4">
        <f t="shared" si="20"/>
        <v>0</v>
      </c>
      <c r="AG327" s="4"/>
      <c r="AH327" s="16">
        <f t="shared" si="21"/>
        <v>0</v>
      </c>
      <c r="AI327" s="21">
        <f t="shared" si="22"/>
        <v>0</v>
      </c>
      <c r="AJ327" s="20">
        <f t="shared" si="23"/>
        <v>0</v>
      </c>
      <c r="AK327" s="9"/>
    </row>
    <row r="328" spans="1:37" hidden="1">
      <c r="A328" s="3">
        <v>326</v>
      </c>
      <c r="B328" s="12"/>
      <c r="C328" s="13"/>
      <c r="D328" s="13"/>
      <c r="E328" s="13"/>
      <c r="F328" s="13"/>
      <c r="G328" s="13"/>
      <c r="H328" s="28"/>
      <c r="I328" s="39" t="s">
        <v>336</v>
      </c>
      <c r="J328" s="24" t="s">
        <v>1390</v>
      </c>
      <c r="K328" s="26" t="s">
        <v>672</v>
      </c>
      <c r="L328" s="26" t="s">
        <v>651</v>
      </c>
      <c r="M328" s="41">
        <f>IFERROR(VLOOKUP($L328,'[2]Top WH -National'!$D$9:$AC$124,26,0),0)</f>
        <v>54364000</v>
      </c>
      <c r="N328" s="41">
        <f>IFERROR(VLOOKUP($L328,'[2]Top WH -National'!$D$9:$AC$124,4,0),0)</f>
        <v>400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4">
        <f>(VLOOKUP($O$2,Prices!$E$3:$F$17,2,FALSE)*Urban!O328)+(VLOOKUP($P$2,Prices!$E$3:$F$17,2,FALSE)*Urban!P328)+(VLOOKUP($Q$2,Prices!$E$3:$F$17,2,FALSE)*Urban!Q328)+(VLOOKUP($R$2,Prices!$E$3:$F$17,2,FALSE)*Urban!R328)+(VLOOKUP($S$2,Prices!$E$3:$F$17,2,FALSE)*Urban!S328)+(VLOOKUP($T$2,Prices!$E$3:$F$17,2,FALSE)*Urban!T328)+(VLOOKUP($U$2,Prices!$E$3:$F$17,2,FALSE)*Urban!U328)+(VLOOKUP($V$2,Prices!$E$3:$F$17,2,FALSE)*Urban!V328)+(VLOOKUP($W$2,Prices!$E$3:$F$17,2,FALSE)*Urban!W328)+(VLOOKUP($X$2,Prices!$E$3:$F$17,2,FALSE)*Urban!X328)+(VLOOKUP($Y$2,Prices!$E$3:$F$17,2,FALSE)*Urban!Y328)+(VLOOKUP($Z$2,Prices!$E$3:$F$17,2,FALSE)*Urban!Z328)+(VLOOKUP($AA$2,Prices!$E$3:$F$17,2,FALSE)*Urban!AA328)+(VLOOKUP($AB$2,Prices!$E$3:$F$17,2,FALSE)*Urban!AB328)+M328</f>
        <v>54364000</v>
      </c>
      <c r="AD328" s="18"/>
      <c r="AE328" s="18"/>
      <c r="AF328" s="4">
        <f t="shared" si="20"/>
        <v>0</v>
      </c>
      <c r="AG328" s="4"/>
      <c r="AH328" s="16">
        <f t="shared" si="21"/>
        <v>0</v>
      </c>
      <c r="AI328" s="21">
        <f t="shared" si="22"/>
        <v>0</v>
      </c>
      <c r="AJ328" s="20">
        <f t="shared" si="23"/>
        <v>0</v>
      </c>
      <c r="AK328" s="9"/>
    </row>
    <row r="329" spans="1:37" hidden="1">
      <c r="A329" s="3">
        <v>327</v>
      </c>
      <c r="B329" s="12"/>
      <c r="C329" s="13"/>
      <c r="D329" s="13"/>
      <c r="E329" s="13"/>
      <c r="F329" s="13"/>
      <c r="G329" s="13"/>
      <c r="H329" s="28"/>
      <c r="I329" s="39" t="s">
        <v>1476</v>
      </c>
      <c r="J329" s="24" t="s">
        <v>1389</v>
      </c>
      <c r="K329" s="26" t="s">
        <v>665</v>
      </c>
      <c r="L329" s="26" t="s">
        <v>1474</v>
      </c>
      <c r="M329" s="41">
        <f>IFERROR(VLOOKUP($L329,'[2]Top WH -National'!$D$9:$AC$124,26,0),0)</f>
        <v>96240000</v>
      </c>
      <c r="N329" s="41">
        <f>IFERROR(VLOOKUP($L329,'[2]Top WH -National'!$D$9:$AC$124,4,0),0)</f>
        <v>460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4">
        <f>(VLOOKUP($O$2,Prices!$E$3:$F$17,2,FALSE)*Urban!O329)+(VLOOKUP($P$2,Prices!$E$3:$F$17,2,FALSE)*Urban!P329)+(VLOOKUP($Q$2,Prices!$E$3:$F$17,2,FALSE)*Urban!Q329)+(VLOOKUP($R$2,Prices!$E$3:$F$17,2,FALSE)*Urban!R329)+(VLOOKUP($S$2,Prices!$E$3:$F$17,2,FALSE)*Urban!S329)+(VLOOKUP($T$2,Prices!$E$3:$F$17,2,FALSE)*Urban!T329)+(VLOOKUP($U$2,Prices!$E$3:$F$17,2,FALSE)*Urban!U329)+(VLOOKUP($V$2,Prices!$E$3:$F$17,2,FALSE)*Urban!V329)+(VLOOKUP($W$2,Prices!$E$3:$F$17,2,FALSE)*Urban!W329)+(VLOOKUP($X$2,Prices!$E$3:$F$17,2,FALSE)*Urban!X329)+(VLOOKUP($Y$2,Prices!$E$3:$F$17,2,FALSE)*Urban!Y329)+(VLOOKUP($Z$2,Prices!$E$3:$F$17,2,FALSE)*Urban!Z329)+(VLOOKUP($AA$2,Prices!$E$3:$F$17,2,FALSE)*Urban!AA329)+(VLOOKUP($AB$2,Prices!$E$3:$F$17,2,FALSE)*Urban!AB329)+M329</f>
        <v>96240000</v>
      </c>
      <c r="AD329" s="18"/>
      <c r="AE329" s="18"/>
      <c r="AF329" s="4">
        <f t="shared" si="20"/>
        <v>0</v>
      </c>
      <c r="AG329" s="4"/>
      <c r="AH329" s="16">
        <f t="shared" si="21"/>
        <v>0</v>
      </c>
      <c r="AI329" s="21">
        <f t="shared" si="22"/>
        <v>0</v>
      </c>
      <c r="AJ329" s="20">
        <f t="shared" si="23"/>
        <v>0</v>
      </c>
      <c r="AK329" s="9"/>
    </row>
    <row r="330" spans="1:37" hidden="1">
      <c r="A330" s="3">
        <v>328</v>
      </c>
      <c r="B330" s="12"/>
      <c r="C330" s="13"/>
      <c r="D330" s="13"/>
      <c r="E330" s="13"/>
      <c r="F330" s="13"/>
      <c r="G330" s="13"/>
      <c r="H330" s="28"/>
      <c r="I330" s="24" t="s">
        <v>1477</v>
      </c>
      <c r="J330" s="24" t="s">
        <v>1389</v>
      </c>
      <c r="K330" s="26" t="s">
        <v>667</v>
      </c>
      <c r="L330" s="26" t="s">
        <v>1475</v>
      </c>
      <c r="M330" s="66">
        <f>IFERROR(VLOOKUP($L330,[1]Consolidated!$C$9:$AC$341,27,0),0)</f>
        <v>17815000</v>
      </c>
      <c r="N330" s="66">
        <f>IFERROR(VLOOKUP($L330,[1]Consolidated!$C$9:$AC$341,5,0),0)</f>
        <v>120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4">
        <f>(VLOOKUP($O$2,Prices!$E$3:$F$17,2,FALSE)*Urban!O330)+(VLOOKUP($P$2,Prices!$E$3:$F$17,2,FALSE)*Urban!P330)+(VLOOKUP($Q$2,Prices!$E$3:$F$17,2,FALSE)*Urban!Q330)+(VLOOKUP($R$2,Prices!$E$3:$F$17,2,FALSE)*Urban!R330)+(VLOOKUP($S$2,Prices!$E$3:$F$17,2,FALSE)*Urban!S330)+(VLOOKUP($T$2,Prices!$E$3:$F$17,2,FALSE)*Urban!T330)+(VLOOKUP($U$2,Prices!$E$3:$F$17,2,FALSE)*Urban!U330)+(VLOOKUP($V$2,Prices!$E$3:$F$17,2,FALSE)*Urban!V330)+(VLOOKUP($W$2,Prices!$E$3:$F$17,2,FALSE)*Urban!W330)+(VLOOKUP($X$2,Prices!$E$3:$F$17,2,FALSE)*Urban!X330)+(VLOOKUP($Y$2,Prices!$E$3:$F$17,2,FALSE)*Urban!Y330)+(VLOOKUP($Z$2,Prices!$E$3:$F$17,2,FALSE)*Urban!Z330)+(VLOOKUP($AA$2,Prices!$E$3:$F$17,2,FALSE)*Urban!AA330)+(VLOOKUP($AB$2,Prices!$E$3:$F$17,2,FALSE)*Urban!AB330)+M330</f>
        <v>17815000</v>
      </c>
      <c r="AD330" s="18"/>
      <c r="AE330" s="18"/>
      <c r="AF330" s="4">
        <f t="shared" si="20"/>
        <v>0</v>
      </c>
      <c r="AG330" s="4"/>
      <c r="AH330" s="16">
        <f t="shared" si="21"/>
        <v>0</v>
      </c>
      <c r="AI330" s="21">
        <f t="shared" si="22"/>
        <v>0</v>
      </c>
      <c r="AJ330" s="20">
        <f t="shared" si="23"/>
        <v>0</v>
      </c>
      <c r="AK330" s="9"/>
    </row>
    <row r="331" spans="1:37" hidden="1">
      <c r="A331" s="3">
        <v>329</v>
      </c>
      <c r="B331" s="12"/>
      <c r="C331" s="13"/>
      <c r="D331" s="13"/>
      <c r="E331" s="13"/>
      <c r="F331" s="13"/>
      <c r="G331" s="13"/>
      <c r="H331" s="28"/>
      <c r="I331" s="61" t="s">
        <v>1494</v>
      </c>
      <c r="J331" s="24" t="s">
        <v>1390</v>
      </c>
      <c r="K331" s="26" t="s">
        <v>671</v>
      </c>
      <c r="L331" s="61" t="s">
        <v>1497</v>
      </c>
      <c r="M331" s="66">
        <f>IFERROR(VLOOKUP($L331,[1]Consolidated!$C$9:$AC$341,27,0),0)</f>
        <v>12477000</v>
      </c>
      <c r="N331" s="66">
        <f>IFERROR(VLOOKUP($L331,[1]Consolidated!$C$9:$AC$341,5,0),0)</f>
        <v>70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4">
        <f>(VLOOKUP($O$2,Prices!$E$3:$F$17,2,FALSE)*Urban!O331)+(VLOOKUP($P$2,Prices!$E$3:$F$17,2,FALSE)*Urban!P331)+(VLOOKUP($Q$2,Prices!$E$3:$F$17,2,FALSE)*Urban!Q331)+(VLOOKUP($R$2,Prices!$E$3:$F$17,2,FALSE)*Urban!R331)+(VLOOKUP($S$2,Prices!$E$3:$F$17,2,FALSE)*Urban!S331)+(VLOOKUP($T$2,Prices!$E$3:$F$17,2,FALSE)*Urban!T331)+(VLOOKUP($U$2,Prices!$E$3:$F$17,2,FALSE)*Urban!U331)+(VLOOKUP($V$2,Prices!$E$3:$F$17,2,FALSE)*Urban!V331)+(VLOOKUP($W$2,Prices!$E$3:$F$17,2,FALSE)*Urban!W331)+(VLOOKUP($X$2,Prices!$E$3:$F$17,2,FALSE)*Urban!X331)+(VLOOKUP($Y$2,Prices!$E$3:$F$17,2,FALSE)*Urban!Y331)+(VLOOKUP($Z$2,Prices!$E$3:$F$17,2,FALSE)*Urban!Z331)+(VLOOKUP($AA$2,Prices!$E$3:$F$17,2,FALSE)*Urban!AA331)+(VLOOKUP($AB$2,Prices!$E$3:$F$17,2,FALSE)*Urban!AB331)+M331</f>
        <v>12477000</v>
      </c>
      <c r="AD331" s="18"/>
      <c r="AE331" s="18"/>
      <c r="AF331" s="4">
        <f t="shared" si="20"/>
        <v>0</v>
      </c>
      <c r="AG331" s="4"/>
      <c r="AH331" s="16">
        <f t="shared" si="21"/>
        <v>0</v>
      </c>
      <c r="AI331" s="21">
        <f t="shared" si="22"/>
        <v>0</v>
      </c>
      <c r="AJ331" s="20">
        <f t="shared" si="23"/>
        <v>0</v>
      </c>
      <c r="AK331" s="9"/>
    </row>
    <row r="332" spans="1:37" hidden="1">
      <c r="A332" s="3">
        <v>330</v>
      </c>
      <c r="B332" s="12"/>
      <c r="C332" s="13"/>
      <c r="D332" s="13"/>
      <c r="E332" s="13"/>
      <c r="F332" s="13"/>
      <c r="G332" s="13"/>
      <c r="H332" s="28"/>
      <c r="I332" s="61" t="s">
        <v>1495</v>
      </c>
      <c r="J332" s="24" t="s">
        <v>1390</v>
      </c>
      <c r="K332" s="26" t="s">
        <v>670</v>
      </c>
      <c r="L332" s="61" t="s">
        <v>1496</v>
      </c>
      <c r="M332" s="66">
        <f>IFERROR(VLOOKUP($L332,[1]Consolidated!$C$9:$AC$341,27,0),0)</f>
        <v>0</v>
      </c>
      <c r="N332" s="66">
        <f>IFERROR(VLOOKUP($L332,[1]Consolidated!$C$9:$AC$341,5,0),0)</f>
        <v>0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4">
        <f>(VLOOKUP($O$2,Prices!$E$3:$F$17,2,FALSE)*Urban!O332)+(VLOOKUP($P$2,Prices!$E$3:$F$17,2,FALSE)*Urban!P332)+(VLOOKUP($Q$2,Prices!$E$3:$F$17,2,FALSE)*Urban!Q332)+(VLOOKUP($R$2,Prices!$E$3:$F$17,2,FALSE)*Urban!R332)+(VLOOKUP($S$2,Prices!$E$3:$F$17,2,FALSE)*Urban!S332)+(VLOOKUP($T$2,Prices!$E$3:$F$17,2,FALSE)*Urban!T332)+(VLOOKUP($U$2,Prices!$E$3:$F$17,2,FALSE)*Urban!U332)+(VLOOKUP($V$2,Prices!$E$3:$F$17,2,FALSE)*Urban!V332)+(VLOOKUP($W$2,Prices!$E$3:$F$17,2,FALSE)*Urban!W332)+(VLOOKUP($X$2,Prices!$E$3:$F$17,2,FALSE)*Urban!X332)+(VLOOKUP($Y$2,Prices!$E$3:$F$17,2,FALSE)*Urban!Y332)+(VLOOKUP($Z$2,Prices!$E$3:$F$17,2,FALSE)*Urban!Z332)+(VLOOKUP($AA$2,Prices!$E$3:$F$17,2,FALSE)*Urban!AA332)+(VLOOKUP($AB$2,Prices!$E$3:$F$17,2,FALSE)*Urban!AB332)+M332</f>
        <v>0</v>
      </c>
      <c r="AD332" s="70"/>
      <c r="AE332" s="18"/>
      <c r="AF332" s="4">
        <f t="shared" si="20"/>
        <v>0</v>
      </c>
      <c r="AG332" s="4"/>
      <c r="AH332" s="16">
        <f t="shared" si="21"/>
        <v>0</v>
      </c>
      <c r="AI332" s="21" t="e">
        <f t="shared" si="22"/>
        <v>#DIV/0!</v>
      </c>
      <c r="AJ332" s="20" t="e">
        <f t="shared" si="23"/>
        <v>#DIV/0!</v>
      </c>
      <c r="AK332" s="19"/>
    </row>
    <row r="333" spans="1:37" hidden="1">
      <c r="A333" s="3">
        <v>331</v>
      </c>
      <c r="B333" s="12"/>
      <c r="C333" s="13"/>
      <c r="D333" s="13"/>
      <c r="E333" s="13"/>
      <c r="F333" s="13"/>
      <c r="G333" s="13"/>
      <c r="H333" s="28"/>
      <c r="I333" s="61" t="s">
        <v>1499</v>
      </c>
      <c r="J333" s="24" t="s">
        <v>1387</v>
      </c>
      <c r="K333" s="26" t="s">
        <v>653</v>
      </c>
      <c r="L333" s="61" t="s">
        <v>1498</v>
      </c>
      <c r="M333" s="66">
        <f>IFERROR(VLOOKUP($L333,[1]Consolidated!$C$9:$AC$341,27,0),0)</f>
        <v>19636500</v>
      </c>
      <c r="N333" s="66">
        <f>IFERROR(VLOOKUP($L333,[1]Consolidated!$C$9:$AC$341,5,0),0)</f>
        <v>90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4">
        <f>(VLOOKUP($O$2,Prices!$E$3:$F$17,2,FALSE)*Urban!O333)+(VLOOKUP($P$2,Prices!$E$3:$F$17,2,FALSE)*Urban!P333)+(VLOOKUP($Q$2,Prices!$E$3:$F$17,2,FALSE)*Urban!Q333)+(VLOOKUP($R$2,Prices!$E$3:$F$17,2,FALSE)*Urban!R333)+(VLOOKUP($S$2,Prices!$E$3:$F$17,2,FALSE)*Urban!S333)+(VLOOKUP($T$2,Prices!$E$3:$F$17,2,FALSE)*Urban!T333)+(VLOOKUP($U$2,Prices!$E$3:$F$17,2,FALSE)*Urban!U333)+(VLOOKUP($V$2,Prices!$E$3:$F$17,2,FALSE)*Urban!V333)+(VLOOKUP($W$2,Prices!$E$3:$F$17,2,FALSE)*Urban!W333)+(VLOOKUP($X$2,Prices!$E$3:$F$17,2,FALSE)*Urban!X333)+(VLOOKUP($Y$2,Prices!$E$3:$F$17,2,FALSE)*Urban!Y333)+(VLOOKUP($Z$2,Prices!$E$3:$F$17,2,FALSE)*Urban!Z333)+(VLOOKUP($AA$2,Prices!$E$3:$F$17,2,FALSE)*Urban!AA333)+(VLOOKUP($AB$2,Prices!$E$3:$F$17,2,FALSE)*Urban!AB333)+M333</f>
        <v>19636500</v>
      </c>
      <c r="AD333" s="13">
        <v>0</v>
      </c>
      <c r="AE333" s="18"/>
      <c r="AF333" s="4">
        <f t="shared" si="20"/>
        <v>0</v>
      </c>
      <c r="AG333" s="4"/>
      <c r="AH333" s="16">
        <f t="shared" si="21"/>
        <v>0</v>
      </c>
      <c r="AI333" s="21">
        <f t="shared" si="22"/>
        <v>0</v>
      </c>
      <c r="AJ333" s="20">
        <f t="shared" si="23"/>
        <v>0</v>
      </c>
      <c r="AK333" s="9"/>
    </row>
    <row r="334" spans="1:37" hidden="1"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7">
      <c r="M335" s="1"/>
      <c r="N335" s="4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4"/>
      <c r="AF335" s="1"/>
    </row>
    <row r="336" spans="1:37">
      <c r="M336" s="1"/>
      <c r="N336" s="4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4"/>
      <c r="AF336" s="1"/>
    </row>
  </sheetData>
  <autoFilter ref="A2:AK334" xr:uid="{00000000-0009-0000-0000-000000000000}">
    <filterColumn colId="9">
      <filters>
        <filter val="SWR"/>
      </filters>
    </filterColumn>
    <filterColumn colId="32">
      <filters>
        <filter val="1,880,000"/>
        <filter val="11,290,300"/>
        <filter val="11,359,250"/>
        <filter val="17,430,200"/>
        <filter val="4,000,000"/>
        <filter val="5,255,750"/>
        <filter val="7,000,000"/>
        <filter val="8,680,000"/>
        <filter val="9,000,000"/>
      </filters>
    </filterColumn>
  </autoFilter>
  <sortState xmlns:xlrd2="http://schemas.microsoft.com/office/spreadsheetml/2017/richdata2" ref="A3:AK333">
    <sortCondition ref="A3:A333"/>
  </sortState>
  <mergeCells count="2">
    <mergeCell ref="B1:H1"/>
    <mergeCell ref="O1:AB1"/>
  </mergeCells>
  <conditionalFormatting sqref="AI2:AJ2">
    <cfRule type="duplicateValues" dxfId="20" priority="6"/>
  </conditionalFormatting>
  <conditionalFormatting sqref="AD2 AG2">
    <cfRule type="duplicateValues" dxfId="19" priority="2"/>
  </conditionalFormatting>
  <conditionalFormatting sqref="L2">
    <cfRule type="duplicateValues" dxfId="18" priority="3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2567-3AFA-4CBA-AC2C-31BF925EA1D8}">
  <sheetPr filterMode="1"/>
  <dimension ref="A1:AK391"/>
  <sheetViews>
    <sheetView showGridLines="0" zoomScale="80" zoomScaleNormal="80" workbookViewId="0">
      <pane xSplit="13" ySplit="114" topLeftCell="AD115" activePane="bottomRight" state="frozen"/>
      <selection pane="topRight" activeCell="N1" sqref="N1"/>
      <selection pane="bottomLeft" activeCell="A115" sqref="A115"/>
      <selection pane="bottomRight" activeCell="AJ395" sqref="AJ395"/>
    </sheetView>
  </sheetViews>
  <sheetFormatPr defaultColWidth="9.1796875" defaultRowHeight="14.5" outlineLevelCol="1"/>
  <cols>
    <col min="1" max="1" width="7.26953125" style="82" customWidth="1"/>
    <col min="2" max="2" width="17.7265625" style="73" hidden="1" customWidth="1"/>
    <col min="3" max="3" width="0" style="73" hidden="1" customWidth="1"/>
    <col min="4" max="4" width="15.26953125" style="73" hidden="1" customWidth="1"/>
    <col min="5" max="5" width="14.26953125" style="73" hidden="1" customWidth="1"/>
    <col min="6" max="6" width="13.7265625" style="73" hidden="1" customWidth="1"/>
    <col min="7" max="7" width="16.1796875" style="73" hidden="1" customWidth="1"/>
    <col min="8" max="8" width="15.81640625" style="73" hidden="1" customWidth="1"/>
    <col min="9" max="9" width="19.90625" style="22" customWidth="1"/>
    <col min="10" max="10" width="8.453125" style="22" customWidth="1"/>
    <col min="11" max="11" width="8.26953125" style="73" customWidth="1"/>
    <col min="12" max="12" width="11.54296875" style="73" customWidth="1"/>
    <col min="13" max="13" width="18.1796875" style="83" customWidth="1"/>
    <col min="14" max="14" width="12.54296875" style="83" customWidth="1"/>
    <col min="15" max="28" width="16.1796875" style="83" customWidth="1" outlineLevel="1"/>
    <col min="29" max="29" width="18.1796875" style="83" customWidth="1"/>
    <col min="30" max="30" width="20.7265625" style="83" customWidth="1"/>
    <col min="31" max="32" width="21.453125" style="83" hidden="1" customWidth="1"/>
    <col min="33" max="33" width="16.1796875" style="73" customWidth="1"/>
    <col min="34" max="34" width="18.453125" style="73" customWidth="1"/>
    <col min="35" max="35" width="12.26953125" style="22" hidden="1" customWidth="1"/>
    <col min="36" max="36" width="13.453125" style="22" customWidth="1"/>
    <col min="37" max="37" width="58.453125" style="73" customWidth="1"/>
    <col min="38" max="16384" width="9.1796875" style="73"/>
  </cols>
  <sheetData>
    <row r="1" spans="1:37" ht="15" thickBot="1">
      <c r="A1" s="8"/>
      <c r="B1" s="95"/>
      <c r="C1" s="96"/>
      <c r="D1" s="96"/>
      <c r="E1" s="96"/>
      <c r="F1" s="96"/>
      <c r="G1" s="96"/>
      <c r="H1" s="97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 spans="1:37" ht="58.5" thickBot="1">
      <c r="A2" s="74" t="s">
        <v>3</v>
      </c>
      <c r="B2" s="11" t="s">
        <v>9</v>
      </c>
      <c r="C2" s="11" t="s">
        <v>10</v>
      </c>
      <c r="D2" s="11" t="s">
        <v>1</v>
      </c>
      <c r="E2" s="11" t="s">
        <v>11</v>
      </c>
      <c r="F2" s="11" t="s">
        <v>12</v>
      </c>
      <c r="G2" s="11" t="s">
        <v>13</v>
      </c>
      <c r="H2" s="11" t="s">
        <v>14</v>
      </c>
      <c r="I2" s="55" t="s">
        <v>2</v>
      </c>
      <c r="J2" s="55" t="s">
        <v>1386</v>
      </c>
      <c r="K2" s="56" t="s">
        <v>0</v>
      </c>
      <c r="L2" s="56" t="s">
        <v>1</v>
      </c>
      <c r="M2" s="57" t="s">
        <v>1503</v>
      </c>
      <c r="N2" s="57" t="s">
        <v>6</v>
      </c>
      <c r="O2" s="58" t="s">
        <v>1480</v>
      </c>
      <c r="P2" s="58" t="s">
        <v>1481</v>
      </c>
      <c r="Q2" s="58" t="s">
        <v>1482</v>
      </c>
      <c r="R2" s="58" t="s">
        <v>1483</v>
      </c>
      <c r="S2" s="58" t="s">
        <v>1484</v>
      </c>
      <c r="T2" s="58" t="s">
        <v>1485</v>
      </c>
      <c r="U2" s="58" t="s">
        <v>1486</v>
      </c>
      <c r="V2" s="58" t="s">
        <v>1487</v>
      </c>
      <c r="W2" s="58" t="s">
        <v>1488</v>
      </c>
      <c r="X2" s="58" t="s">
        <v>1489</v>
      </c>
      <c r="Y2" s="58" t="s">
        <v>1490</v>
      </c>
      <c r="Z2" s="58" t="s">
        <v>1491</v>
      </c>
      <c r="AA2" s="58" t="s">
        <v>1492</v>
      </c>
      <c r="AB2" s="58" t="s">
        <v>1493</v>
      </c>
      <c r="AC2" s="58" t="s">
        <v>1504</v>
      </c>
      <c r="AD2" s="56" t="s">
        <v>1505</v>
      </c>
      <c r="AE2" s="59" t="s">
        <v>1506</v>
      </c>
      <c r="AF2" s="59" t="s">
        <v>17</v>
      </c>
      <c r="AG2" s="56" t="s">
        <v>4</v>
      </c>
      <c r="AH2" s="60" t="s">
        <v>1502</v>
      </c>
      <c r="AI2" s="75" t="s">
        <v>7</v>
      </c>
      <c r="AJ2" s="76" t="s">
        <v>8</v>
      </c>
      <c r="AK2" s="10" t="s">
        <v>5</v>
      </c>
    </row>
    <row r="3" spans="1:37" hidden="1">
      <c r="A3" s="77">
        <v>1</v>
      </c>
      <c r="B3" s="78"/>
      <c r="C3" s="79"/>
      <c r="D3" s="79"/>
      <c r="E3" s="79"/>
      <c r="F3" s="79"/>
      <c r="G3" s="79"/>
      <c r="H3" s="80"/>
      <c r="I3" s="45" t="s">
        <v>673</v>
      </c>
      <c r="J3" s="45" t="s">
        <v>1388</v>
      </c>
      <c r="K3" s="46" t="s">
        <v>660</v>
      </c>
      <c r="L3" s="47" t="s">
        <v>964</v>
      </c>
      <c r="M3" s="81">
        <f>IFERROR(VLOOKUP($L3,[3]Consolidated!$C$9:$AC$452,27,0),0)</f>
        <v>10358900</v>
      </c>
      <c r="N3" s="81">
        <f>IFERROR(VLOOKUP($L3,[3]Consolidated!$C$9:$AC$452,5,0),0)</f>
        <v>50</v>
      </c>
      <c r="O3" s="5">
        <v>0</v>
      </c>
      <c r="P3" s="5"/>
      <c r="Q3" s="5"/>
      <c r="R3" s="5"/>
      <c r="S3" s="5">
        <v>10</v>
      </c>
      <c r="T3" s="5"/>
      <c r="U3" s="5"/>
      <c r="V3" s="5"/>
      <c r="W3" s="5"/>
      <c r="X3" s="5"/>
      <c r="Y3" s="5"/>
      <c r="Z3" s="5"/>
      <c r="AA3" s="5"/>
      <c r="AB3" s="5"/>
      <c r="AC3" s="4">
        <f>(VLOOKUP($O$2,[4]Prices!$E$3:$K$17,2,FALSE)*O3)+(VLOOKUP($P$2,[4]Prices!$J$3:$K$17,2,FALSE)*P3)+(VLOOKUP($Q$2,[4]Prices!$J$3:$K$17,2,FALSE)*Q3)+(VLOOKUP($R$2,[4]Prices!$J$3:$K$17,2,FALSE)*R3)+(VLOOKUP($S$2,[4]Prices!$J$3:$K$17,2,FALSE)*S3)+(VLOOKUP($T$2,[4]Prices!$J$3:$K$17,2,FALSE)*T3)+(VLOOKUP($U$2,[4]Prices!$J$3:$K$17,2,FALSE)*U3)+(VLOOKUP($V$2,[4]Prices!$J$3:$K$17,2,FALSE)*V3)+(VLOOKUP($W$2,[4]Prices!$J$3:$K$17,2,FALSE)*W3)+(VLOOKUP($X$2,[4]Prices!$J$3:$K$17,2,FALSE)*X3)+(VLOOKUP($Y$2,[4]Prices!$J$3:$K$17,2,FALSE)*Y3)+(VLOOKUP($Z$2,[4]Prices!$J$3:$K$17,2,FALSE)*Z3)+(VLOOKUP($AA$2,[4]Prices!$J$3:$K$17,2,FALSE)*AA3)+(VLOOKUP($AB$2,[4]Prices!$J$3:$K$17,2,FALSE)*AB3)+M3</f>
        <v>12663900</v>
      </c>
      <c r="AD3" s="18">
        <v>0</v>
      </c>
      <c r="AE3" s="18"/>
      <c r="AF3" s="4">
        <f t="shared" ref="AF3:AF66" si="0">AD3-AE3</f>
        <v>0</v>
      </c>
      <c r="AG3" s="4">
        <v>0</v>
      </c>
      <c r="AH3" s="16">
        <f>AD3+AG3</f>
        <v>0</v>
      </c>
      <c r="AI3" s="21">
        <f t="shared" ref="AI3:AI66" si="1">AH3/M3</f>
        <v>0</v>
      </c>
      <c r="AJ3" s="20">
        <f>AH3/AC3</f>
        <v>0</v>
      </c>
      <c r="AK3" s="19"/>
    </row>
    <row r="4" spans="1:37" hidden="1">
      <c r="A4" s="77">
        <v>2</v>
      </c>
      <c r="B4" s="78"/>
      <c r="C4" s="79"/>
      <c r="D4" s="79"/>
      <c r="E4" s="79"/>
      <c r="F4" s="79"/>
      <c r="G4" s="79"/>
      <c r="H4" s="80"/>
      <c r="I4" s="45" t="s">
        <v>674</v>
      </c>
      <c r="J4" s="45" t="s">
        <v>1388</v>
      </c>
      <c r="K4" s="46" t="s">
        <v>660</v>
      </c>
      <c r="L4" s="47" t="s">
        <v>965</v>
      </c>
      <c r="M4" s="81">
        <f>IFERROR(VLOOKUP($L4,[3]Consolidated!$C$9:$AC$452,27,0),0)</f>
        <v>9468200</v>
      </c>
      <c r="N4" s="81">
        <f>IFERROR(VLOOKUP($L4,[3]Consolidated!$C$9:$AC$452,5,0),0)</f>
        <v>50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4">
        <f>(VLOOKUP($O$2,[4]Prices!$E$3:$K$17,2,FALSE)*O4)+(VLOOKUP($P$2,[4]Prices!$J$3:$K$17,2,FALSE)*P4)+(VLOOKUP($Q$2,[4]Prices!$J$3:$K$17,2,FALSE)*Q4)+(VLOOKUP($R$2,[4]Prices!$J$3:$K$17,2,FALSE)*R4)+(VLOOKUP($S$2,[4]Prices!$J$3:$K$17,2,FALSE)*S4)+(VLOOKUP($T$2,[4]Prices!$J$3:$K$17,2,FALSE)*T4)+(VLOOKUP($U$2,[4]Prices!$J$3:$K$17,2,FALSE)*U4)+(VLOOKUP($V$2,[4]Prices!$J$3:$K$17,2,FALSE)*V4)+(VLOOKUP($W$2,[4]Prices!$J$3:$K$17,2,FALSE)*W4)+(VLOOKUP($X$2,[4]Prices!$J$3:$K$17,2,FALSE)*X4)+(VLOOKUP($Y$2,[4]Prices!$J$3:$K$17,2,FALSE)*Y4)+(VLOOKUP($Z$2,[4]Prices!$J$3:$K$17,2,FALSE)*Z4)+(VLOOKUP($AA$2,[4]Prices!$J$3:$K$17,2,FALSE)*AA4)+(VLOOKUP($AB$2,[4]Prices!$J$3:$K$17,2,FALSE)*AB4)+M4</f>
        <v>9468200</v>
      </c>
      <c r="AD4" s="18"/>
      <c r="AE4" s="18"/>
      <c r="AF4" s="4">
        <f t="shared" si="0"/>
        <v>0</v>
      </c>
      <c r="AG4" s="4"/>
      <c r="AH4" s="16">
        <f t="shared" ref="AH4:AH67" si="2">AD4+AG4</f>
        <v>0</v>
      </c>
      <c r="AI4" s="21">
        <f t="shared" si="1"/>
        <v>0</v>
      </c>
      <c r="AJ4" s="20">
        <f>AH4/AC4</f>
        <v>0</v>
      </c>
      <c r="AK4" s="9"/>
    </row>
    <row r="5" spans="1:37" hidden="1">
      <c r="A5" s="77">
        <v>3</v>
      </c>
      <c r="B5" s="78"/>
      <c r="C5" s="79"/>
      <c r="D5" s="79"/>
      <c r="E5" s="79"/>
      <c r="F5" s="79"/>
      <c r="G5" s="79"/>
      <c r="H5" s="80"/>
      <c r="I5" s="45" t="s">
        <v>675</v>
      </c>
      <c r="J5" s="45" t="s">
        <v>1388</v>
      </c>
      <c r="K5" s="46" t="s">
        <v>660</v>
      </c>
      <c r="L5" s="47" t="s">
        <v>966</v>
      </c>
      <c r="M5" s="81">
        <f>IFERROR(VLOOKUP($L5,[3]Consolidated!$C$9:$AC$452,27,0),0)</f>
        <v>7420000</v>
      </c>
      <c r="N5" s="81">
        <f>IFERROR(VLOOKUP($L5,[3]Consolidated!$C$9:$AC$452,5,0),0)</f>
        <v>40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4">
        <f>(VLOOKUP($O$2,[4]Prices!$E$3:$K$17,2,FALSE)*O5)+(VLOOKUP($P$2,[4]Prices!$J$3:$K$17,2,FALSE)*P5)+(VLOOKUP($Q$2,[4]Prices!$J$3:$K$17,2,FALSE)*Q5)+(VLOOKUP($R$2,[4]Prices!$J$3:$K$17,2,FALSE)*R5)+(VLOOKUP($S$2,[4]Prices!$J$3:$K$17,2,FALSE)*S5)+(VLOOKUP($T$2,[4]Prices!$J$3:$K$17,2,FALSE)*T5)+(VLOOKUP($U$2,[4]Prices!$J$3:$K$17,2,FALSE)*U5)+(VLOOKUP($V$2,[4]Prices!$J$3:$K$17,2,FALSE)*V5)+(VLOOKUP($W$2,[4]Prices!$J$3:$K$17,2,FALSE)*W5)+(VLOOKUP($X$2,[4]Prices!$J$3:$K$17,2,FALSE)*X5)+(VLOOKUP($Y$2,[4]Prices!$J$3:$K$17,2,FALSE)*Y5)+(VLOOKUP($Z$2,[4]Prices!$J$3:$K$17,2,FALSE)*Z5)+(VLOOKUP($AA$2,[4]Prices!$J$3:$K$17,2,FALSE)*AA5)+(VLOOKUP($AB$2,[4]Prices!$J$3:$K$17,2,FALSE)*AB5)+M5</f>
        <v>7420000</v>
      </c>
      <c r="AD5" s="18"/>
      <c r="AE5" s="18"/>
      <c r="AF5" s="4">
        <f t="shared" si="0"/>
        <v>0</v>
      </c>
      <c r="AG5" s="4"/>
      <c r="AH5" s="16">
        <f t="shared" si="2"/>
        <v>0</v>
      </c>
      <c r="AI5" s="21">
        <f t="shared" si="1"/>
        <v>0</v>
      </c>
      <c r="AJ5" s="20">
        <f t="shared" ref="AJ5:AJ68" si="3">AH5/AC5</f>
        <v>0</v>
      </c>
      <c r="AK5" s="9"/>
    </row>
    <row r="6" spans="1:37" hidden="1">
      <c r="A6" s="77">
        <v>4</v>
      </c>
      <c r="B6" s="78"/>
      <c r="C6" s="79"/>
      <c r="D6" s="79"/>
      <c r="E6" s="79"/>
      <c r="F6" s="79"/>
      <c r="G6" s="79"/>
      <c r="H6" s="80"/>
      <c r="I6" s="45" t="s">
        <v>676</v>
      </c>
      <c r="J6" s="45" t="s">
        <v>1388</v>
      </c>
      <c r="K6" s="46" t="s">
        <v>660</v>
      </c>
      <c r="L6" s="47" t="s">
        <v>967</v>
      </c>
      <c r="M6" s="81">
        <f>IFERROR(VLOOKUP($L6,[3]Consolidated!$C$9:$AC$452,27,0),0)</f>
        <v>5314500</v>
      </c>
      <c r="N6" s="81">
        <f>IFERROR(VLOOKUP($L6,[3]Consolidated!$C$9:$AC$452,5,0),0)</f>
        <v>24.95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4">
        <f>(VLOOKUP($O$2,[4]Prices!$E$3:$K$17,2,FALSE)*O6)+(VLOOKUP($P$2,[4]Prices!$J$3:$K$17,2,FALSE)*P6)+(VLOOKUP($Q$2,[4]Prices!$J$3:$K$17,2,FALSE)*Q6)+(VLOOKUP($R$2,[4]Prices!$J$3:$K$17,2,FALSE)*R6)+(VLOOKUP($S$2,[4]Prices!$J$3:$K$17,2,FALSE)*S6)+(VLOOKUP($T$2,[4]Prices!$J$3:$K$17,2,FALSE)*T6)+(VLOOKUP($U$2,[4]Prices!$J$3:$K$17,2,FALSE)*U6)+(VLOOKUP($V$2,[4]Prices!$J$3:$K$17,2,FALSE)*V6)+(VLOOKUP($W$2,[4]Prices!$J$3:$K$17,2,FALSE)*W6)+(VLOOKUP($X$2,[4]Prices!$J$3:$K$17,2,FALSE)*X6)+(VLOOKUP($Y$2,[4]Prices!$J$3:$K$17,2,FALSE)*Y6)+(VLOOKUP($Z$2,[4]Prices!$J$3:$K$17,2,FALSE)*Z6)+(VLOOKUP($AA$2,[4]Prices!$J$3:$K$17,2,FALSE)*AA6)+(VLOOKUP($AB$2,[4]Prices!$J$3:$K$17,2,FALSE)*AB6)+M6</f>
        <v>5314500</v>
      </c>
      <c r="AD6" s="18"/>
      <c r="AE6" s="18"/>
      <c r="AF6" s="4">
        <f t="shared" si="0"/>
        <v>0</v>
      </c>
      <c r="AG6" s="4"/>
      <c r="AH6" s="16">
        <f t="shared" si="2"/>
        <v>0</v>
      </c>
      <c r="AI6" s="21">
        <f t="shared" si="1"/>
        <v>0</v>
      </c>
      <c r="AJ6" s="20">
        <f t="shared" si="3"/>
        <v>0</v>
      </c>
      <c r="AK6" s="9"/>
    </row>
    <row r="7" spans="1:37" hidden="1">
      <c r="A7" s="77">
        <v>5</v>
      </c>
      <c r="B7" s="78"/>
      <c r="C7" s="79"/>
      <c r="D7" s="79"/>
      <c r="E7" s="79"/>
      <c r="F7" s="79"/>
      <c r="G7" s="79"/>
      <c r="H7" s="80"/>
      <c r="I7" s="45" t="s">
        <v>677</v>
      </c>
      <c r="J7" s="45" t="s">
        <v>1388</v>
      </c>
      <c r="K7" s="46" t="s">
        <v>660</v>
      </c>
      <c r="L7" s="47" t="s">
        <v>968</v>
      </c>
      <c r="M7" s="81">
        <f>IFERROR(VLOOKUP($L7,[3]Consolidated!$C$9:$AC$452,27,0),0)</f>
        <v>13223000</v>
      </c>
      <c r="N7" s="81">
        <f>IFERROR(VLOOKUP($L7,[3]Consolidated!$C$9:$AC$452,5,0),0)</f>
        <v>70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4">
        <f>(VLOOKUP($O$2,[4]Prices!$E$3:$K$17,2,FALSE)*O7)+(VLOOKUP($P$2,[4]Prices!$J$3:$K$17,2,FALSE)*P7)+(VLOOKUP($Q$2,[4]Prices!$J$3:$K$17,2,FALSE)*Q7)+(VLOOKUP($R$2,[4]Prices!$J$3:$K$17,2,FALSE)*R7)+(VLOOKUP($S$2,[4]Prices!$J$3:$K$17,2,FALSE)*S7)+(VLOOKUP($T$2,[4]Prices!$J$3:$K$17,2,FALSE)*T7)+(VLOOKUP($U$2,[4]Prices!$J$3:$K$17,2,FALSE)*U7)+(VLOOKUP($V$2,[4]Prices!$J$3:$K$17,2,FALSE)*V7)+(VLOOKUP($W$2,[4]Prices!$J$3:$K$17,2,FALSE)*W7)+(VLOOKUP($X$2,[4]Prices!$J$3:$K$17,2,FALSE)*X7)+(VLOOKUP($Y$2,[4]Prices!$J$3:$K$17,2,FALSE)*Y7)+(VLOOKUP($Z$2,[4]Prices!$J$3:$K$17,2,FALSE)*Z7)+(VLOOKUP($AA$2,[4]Prices!$J$3:$K$17,2,FALSE)*AA7)+(VLOOKUP($AB$2,[4]Prices!$J$3:$K$17,2,FALSE)*AB7)+M7</f>
        <v>13223000</v>
      </c>
      <c r="AD7" s="18"/>
      <c r="AE7" s="18"/>
      <c r="AF7" s="4">
        <f>AD7-AE7</f>
        <v>0</v>
      </c>
      <c r="AG7" s="4"/>
      <c r="AH7" s="16">
        <f t="shared" si="2"/>
        <v>0</v>
      </c>
      <c r="AI7" s="21">
        <f t="shared" si="1"/>
        <v>0</v>
      </c>
      <c r="AJ7" s="20">
        <f t="shared" si="3"/>
        <v>0</v>
      </c>
      <c r="AK7" s="9"/>
    </row>
    <row r="8" spans="1:37" hidden="1">
      <c r="A8" s="77">
        <v>6</v>
      </c>
      <c r="B8" s="78"/>
      <c r="C8" s="79"/>
      <c r="D8" s="79"/>
      <c r="E8" s="79"/>
      <c r="F8" s="79"/>
      <c r="G8" s="79"/>
      <c r="H8" s="80"/>
      <c r="I8" s="45" t="s">
        <v>678</v>
      </c>
      <c r="J8" s="45" t="s">
        <v>1388</v>
      </c>
      <c r="K8" s="46" t="s">
        <v>660</v>
      </c>
      <c r="L8" s="47" t="s">
        <v>969</v>
      </c>
      <c r="M8" s="81">
        <f>IFERROR(VLOOKUP($L8,[3]Consolidated!$C$9:$AC$452,27,0),0)</f>
        <v>6528900</v>
      </c>
      <c r="N8" s="81">
        <f>IFERROR(VLOOKUP($L8,[3]Consolidated!$C$9:$AC$452,5,0),0)</f>
        <v>35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4">
        <f>(VLOOKUP($O$2,[4]Prices!$E$3:$K$17,2,FALSE)*O8)+(VLOOKUP($P$2,[4]Prices!$J$3:$K$17,2,FALSE)*P8)+(VLOOKUP($Q$2,[4]Prices!$J$3:$K$17,2,FALSE)*Q8)+(VLOOKUP($R$2,[4]Prices!$J$3:$K$17,2,FALSE)*R8)+(VLOOKUP($S$2,[4]Prices!$J$3:$K$17,2,FALSE)*S8)+(VLOOKUP($T$2,[4]Prices!$J$3:$K$17,2,FALSE)*T8)+(VLOOKUP($U$2,[4]Prices!$J$3:$K$17,2,FALSE)*U8)+(VLOOKUP($V$2,[4]Prices!$J$3:$K$17,2,FALSE)*V8)+(VLOOKUP($W$2,[4]Prices!$J$3:$K$17,2,FALSE)*W8)+(VLOOKUP($X$2,[4]Prices!$J$3:$K$17,2,FALSE)*X8)+(VLOOKUP($Y$2,[4]Prices!$J$3:$K$17,2,FALSE)*Y8)+(VLOOKUP($Z$2,[4]Prices!$J$3:$K$17,2,FALSE)*Z8)+(VLOOKUP($AA$2,[4]Prices!$J$3:$K$17,2,FALSE)*AA8)+(VLOOKUP($AB$2,[4]Prices!$J$3:$K$17,2,FALSE)*AB8)+M8</f>
        <v>6528900</v>
      </c>
      <c r="AD8" s="18"/>
      <c r="AE8" s="18"/>
      <c r="AF8" s="4">
        <f t="shared" si="0"/>
        <v>0</v>
      </c>
      <c r="AG8" s="4"/>
      <c r="AH8" s="16">
        <f t="shared" si="2"/>
        <v>0</v>
      </c>
      <c r="AI8" s="21">
        <f t="shared" si="1"/>
        <v>0</v>
      </c>
      <c r="AJ8" s="20">
        <f t="shared" si="3"/>
        <v>0</v>
      </c>
      <c r="AK8" s="9"/>
    </row>
    <row r="9" spans="1:37" hidden="1">
      <c r="A9" s="77">
        <v>7</v>
      </c>
      <c r="B9" s="78"/>
      <c r="C9" s="79"/>
      <c r="D9" s="79"/>
      <c r="E9" s="79"/>
      <c r="F9" s="79"/>
      <c r="G9" s="79"/>
      <c r="H9" s="80"/>
      <c r="I9" s="45" t="s">
        <v>679</v>
      </c>
      <c r="J9" s="45" t="s">
        <v>1388</v>
      </c>
      <c r="K9" s="46" t="s">
        <v>660</v>
      </c>
      <c r="L9" s="47" t="s">
        <v>970</v>
      </c>
      <c r="M9" s="81">
        <f>IFERROR(VLOOKUP($L9,[3]Consolidated!$C$9:$AC$452,27,0),0)</f>
        <v>7289100</v>
      </c>
      <c r="N9" s="81">
        <f>IFERROR(VLOOKUP($L9,[3]Consolidated!$C$9:$AC$452,5,0),0)</f>
        <v>35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4">
        <f>(VLOOKUP($O$2,[4]Prices!$E$3:$K$17,2,FALSE)*O9)+(VLOOKUP($P$2,[4]Prices!$J$3:$K$17,2,FALSE)*P9)+(VLOOKUP($Q$2,[4]Prices!$J$3:$K$17,2,FALSE)*Q9)+(VLOOKUP($R$2,[4]Prices!$J$3:$K$17,2,FALSE)*R9)+(VLOOKUP($S$2,[4]Prices!$J$3:$K$17,2,FALSE)*S9)+(VLOOKUP($T$2,[4]Prices!$J$3:$K$17,2,FALSE)*T9)+(VLOOKUP($U$2,[4]Prices!$J$3:$K$17,2,FALSE)*U9)+(VLOOKUP($V$2,[4]Prices!$J$3:$K$17,2,FALSE)*V9)+(VLOOKUP($W$2,[4]Prices!$J$3:$K$17,2,FALSE)*W9)+(VLOOKUP($X$2,[4]Prices!$J$3:$K$17,2,FALSE)*X9)+(VLOOKUP($Y$2,[4]Prices!$J$3:$K$17,2,FALSE)*Y9)+(VLOOKUP($Z$2,[4]Prices!$J$3:$K$17,2,FALSE)*Z9)+(VLOOKUP($AA$2,[4]Prices!$J$3:$K$17,2,FALSE)*AA9)+(VLOOKUP($AB$2,[4]Prices!$J$3:$K$17,2,FALSE)*AB9)+M9</f>
        <v>7289100</v>
      </c>
      <c r="AD9" s="18"/>
      <c r="AE9" s="18"/>
      <c r="AF9" s="4">
        <f>AD9-AE9</f>
        <v>0</v>
      </c>
      <c r="AG9" s="4"/>
      <c r="AH9" s="16">
        <f t="shared" si="2"/>
        <v>0</v>
      </c>
      <c r="AI9" s="21">
        <f t="shared" si="1"/>
        <v>0</v>
      </c>
      <c r="AJ9" s="20">
        <f t="shared" si="3"/>
        <v>0</v>
      </c>
      <c r="AK9" s="9"/>
    </row>
    <row r="10" spans="1:37" hidden="1">
      <c r="A10" s="77">
        <v>8</v>
      </c>
      <c r="B10" s="78"/>
      <c r="C10" s="79"/>
      <c r="D10" s="79"/>
      <c r="E10" s="79"/>
      <c r="F10" s="79"/>
      <c r="G10" s="79"/>
      <c r="H10" s="80"/>
      <c r="I10" s="45" t="s">
        <v>680</v>
      </c>
      <c r="J10" s="45" t="s">
        <v>1388</v>
      </c>
      <c r="K10" s="46" t="s">
        <v>660</v>
      </c>
      <c r="L10" s="47" t="s">
        <v>971</v>
      </c>
      <c r="M10" s="81">
        <f>IFERROR(VLOOKUP($L10,[3]Consolidated!$C$9:$AC$452,27,0),0)</f>
        <v>7017150</v>
      </c>
      <c r="N10" s="81">
        <f>IFERROR(VLOOKUP($L10,[3]Consolidated!$C$9:$AC$452,5,0),0)</f>
        <v>35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4">
        <f>(VLOOKUP($O$2,[4]Prices!$E$3:$K$17,2,FALSE)*O10)+(VLOOKUP($P$2,[4]Prices!$J$3:$K$17,2,FALSE)*P10)+(VLOOKUP($Q$2,[4]Prices!$J$3:$K$17,2,FALSE)*Q10)+(VLOOKUP($R$2,[4]Prices!$J$3:$K$17,2,FALSE)*R10)+(VLOOKUP($S$2,[4]Prices!$J$3:$K$17,2,FALSE)*S10)+(VLOOKUP($T$2,[4]Prices!$J$3:$K$17,2,FALSE)*T10)+(VLOOKUP($U$2,[4]Prices!$J$3:$K$17,2,FALSE)*U10)+(VLOOKUP($V$2,[4]Prices!$J$3:$K$17,2,FALSE)*V10)+(VLOOKUP($W$2,[4]Prices!$J$3:$K$17,2,FALSE)*W10)+(VLOOKUP($X$2,[4]Prices!$J$3:$K$17,2,FALSE)*X10)+(VLOOKUP($Y$2,[4]Prices!$J$3:$K$17,2,FALSE)*Y10)+(VLOOKUP($Z$2,[4]Prices!$J$3:$K$17,2,FALSE)*Z10)+(VLOOKUP($AA$2,[4]Prices!$J$3:$K$17,2,FALSE)*AA10)+(VLOOKUP($AB$2,[4]Prices!$J$3:$K$17,2,FALSE)*AB10)+M10</f>
        <v>7017150</v>
      </c>
      <c r="AD10" s="18"/>
      <c r="AE10" s="18"/>
      <c r="AF10" s="4">
        <f t="shared" si="0"/>
        <v>0</v>
      </c>
      <c r="AG10" s="4"/>
      <c r="AH10" s="16">
        <f t="shared" si="2"/>
        <v>0</v>
      </c>
      <c r="AI10" s="21">
        <f t="shared" si="1"/>
        <v>0</v>
      </c>
      <c r="AJ10" s="20">
        <f t="shared" si="3"/>
        <v>0</v>
      </c>
      <c r="AK10" s="9"/>
    </row>
    <row r="11" spans="1:37" hidden="1">
      <c r="A11" s="77">
        <v>9</v>
      </c>
      <c r="B11" s="78"/>
      <c r="C11" s="79"/>
      <c r="D11" s="79"/>
      <c r="E11" s="79"/>
      <c r="F11" s="79"/>
      <c r="G11" s="79"/>
      <c r="H11" s="80"/>
      <c r="I11" s="45" t="s">
        <v>681</v>
      </c>
      <c r="J11" s="45" t="s">
        <v>1388</v>
      </c>
      <c r="K11" s="46" t="s">
        <v>660</v>
      </c>
      <c r="L11" s="47" t="s">
        <v>972</v>
      </c>
      <c r="M11" s="81">
        <f>IFERROR(VLOOKUP($L11,[3]Consolidated!$C$9:$AC$452,27,0),0)</f>
        <v>0</v>
      </c>
      <c r="N11" s="81">
        <f>IFERROR(VLOOKUP($L11,[3]Consolidated!$C$9:$AC$452,5,0),0)</f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4">
        <f>(VLOOKUP($O$2,[4]Prices!$E$3:$K$17,2,FALSE)*O11)+(VLOOKUP($P$2,[4]Prices!$J$3:$K$17,2,FALSE)*P11)+(VLOOKUP($Q$2,[4]Prices!$J$3:$K$17,2,FALSE)*Q11)+(VLOOKUP($R$2,[4]Prices!$J$3:$K$17,2,FALSE)*R11)+(VLOOKUP($S$2,[4]Prices!$J$3:$K$17,2,FALSE)*S11)+(VLOOKUP($T$2,[4]Prices!$J$3:$K$17,2,FALSE)*T11)+(VLOOKUP($U$2,[4]Prices!$J$3:$K$17,2,FALSE)*U11)+(VLOOKUP($V$2,[4]Prices!$J$3:$K$17,2,FALSE)*V11)+(VLOOKUP($W$2,[4]Prices!$J$3:$K$17,2,FALSE)*W11)+(VLOOKUP($X$2,[4]Prices!$J$3:$K$17,2,FALSE)*X11)+(VLOOKUP($Y$2,[4]Prices!$J$3:$K$17,2,FALSE)*Y11)+(VLOOKUP($Z$2,[4]Prices!$J$3:$K$17,2,FALSE)*Z11)+(VLOOKUP($AA$2,[4]Prices!$J$3:$K$17,2,FALSE)*AA11)+(VLOOKUP($AB$2,[4]Prices!$J$3:$K$17,2,FALSE)*AB11)+M11</f>
        <v>0</v>
      </c>
      <c r="AD11" s="18"/>
      <c r="AE11" s="18"/>
      <c r="AF11" s="4">
        <f t="shared" si="0"/>
        <v>0</v>
      </c>
      <c r="AG11" s="4"/>
      <c r="AH11" s="16">
        <f t="shared" si="2"/>
        <v>0</v>
      </c>
      <c r="AI11" s="21" t="e">
        <f t="shared" si="1"/>
        <v>#DIV/0!</v>
      </c>
      <c r="AJ11" s="20" t="e">
        <f t="shared" si="3"/>
        <v>#DIV/0!</v>
      </c>
      <c r="AK11" s="9"/>
    </row>
    <row r="12" spans="1:37" hidden="1">
      <c r="A12" s="77">
        <v>10</v>
      </c>
      <c r="B12" s="78"/>
      <c r="C12" s="79"/>
      <c r="D12" s="79"/>
      <c r="E12" s="79"/>
      <c r="F12" s="79"/>
      <c r="G12" s="79"/>
      <c r="H12" s="80"/>
      <c r="I12" s="45" t="s">
        <v>682</v>
      </c>
      <c r="J12" s="45" t="s">
        <v>1388</v>
      </c>
      <c r="K12" s="46" t="s">
        <v>660</v>
      </c>
      <c r="L12" s="47" t="s">
        <v>973</v>
      </c>
      <c r="M12" s="81">
        <f>IFERROR(VLOOKUP($L12,[3]Consolidated!$C$9:$AC$452,27,0),0)</f>
        <v>7123800</v>
      </c>
      <c r="N12" s="81">
        <f>IFERROR(VLOOKUP($L12,[3]Consolidated!$C$9:$AC$452,5,0),0)</f>
        <v>35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4">
        <f>(VLOOKUP($O$2,[4]Prices!$E$3:$K$17,2,FALSE)*O12)+(VLOOKUP($P$2,[4]Prices!$J$3:$K$17,2,FALSE)*P12)+(VLOOKUP($Q$2,[4]Prices!$J$3:$K$17,2,FALSE)*Q12)+(VLOOKUP($R$2,[4]Prices!$J$3:$K$17,2,FALSE)*R12)+(VLOOKUP($S$2,[4]Prices!$J$3:$K$17,2,FALSE)*S12)+(VLOOKUP($T$2,[4]Prices!$J$3:$K$17,2,FALSE)*T12)+(VLOOKUP($U$2,[4]Prices!$J$3:$K$17,2,FALSE)*U12)+(VLOOKUP($V$2,[4]Prices!$J$3:$K$17,2,FALSE)*V12)+(VLOOKUP($W$2,[4]Prices!$J$3:$K$17,2,FALSE)*W12)+(VLOOKUP($X$2,[4]Prices!$J$3:$K$17,2,FALSE)*X12)+(VLOOKUP($Y$2,[4]Prices!$J$3:$K$17,2,FALSE)*Y12)+(VLOOKUP($Z$2,[4]Prices!$J$3:$K$17,2,FALSE)*Z12)+(VLOOKUP($AA$2,[4]Prices!$J$3:$K$17,2,FALSE)*AA12)+(VLOOKUP($AB$2,[4]Prices!$J$3:$K$17,2,FALSE)*AB12)+M12</f>
        <v>7123800</v>
      </c>
      <c r="AD12" s="18"/>
      <c r="AE12" s="18"/>
      <c r="AF12" s="4">
        <f t="shared" si="0"/>
        <v>0</v>
      </c>
      <c r="AG12" s="4"/>
      <c r="AH12" s="16">
        <f t="shared" si="2"/>
        <v>0</v>
      </c>
      <c r="AI12" s="21">
        <f t="shared" si="1"/>
        <v>0</v>
      </c>
      <c r="AJ12" s="20">
        <f t="shared" si="3"/>
        <v>0</v>
      </c>
      <c r="AK12" s="9"/>
    </row>
    <row r="13" spans="1:37" hidden="1">
      <c r="A13" s="77">
        <v>11</v>
      </c>
      <c r="B13" s="78"/>
      <c r="C13" s="79"/>
      <c r="D13" s="79"/>
      <c r="E13" s="79"/>
      <c r="F13" s="79"/>
      <c r="G13" s="79"/>
      <c r="H13" s="80"/>
      <c r="I13" s="45" t="s">
        <v>683</v>
      </c>
      <c r="J13" s="45" t="s">
        <v>1388</v>
      </c>
      <c r="K13" s="46" t="s">
        <v>660</v>
      </c>
      <c r="L13" s="47" t="s">
        <v>974</v>
      </c>
      <c r="M13" s="81">
        <f>IFERROR(VLOOKUP($L13,[3]Consolidated!$C$9:$AC$452,27,0),0)</f>
        <v>6819800</v>
      </c>
      <c r="N13" s="81">
        <f>IFERROR(VLOOKUP($L13,[3]Consolidated!$C$9:$AC$452,5,0),0)</f>
        <v>35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4">
        <f>(VLOOKUP($O$2,[4]Prices!$E$3:$K$17,2,FALSE)*O13)+(VLOOKUP($P$2,[4]Prices!$J$3:$K$17,2,FALSE)*P13)+(VLOOKUP($Q$2,[4]Prices!$J$3:$K$17,2,FALSE)*Q13)+(VLOOKUP($R$2,[4]Prices!$J$3:$K$17,2,FALSE)*R13)+(VLOOKUP($S$2,[4]Prices!$J$3:$K$17,2,FALSE)*S13)+(VLOOKUP($T$2,[4]Prices!$J$3:$K$17,2,FALSE)*T13)+(VLOOKUP($U$2,[4]Prices!$J$3:$K$17,2,FALSE)*U13)+(VLOOKUP($V$2,[4]Prices!$J$3:$K$17,2,FALSE)*V13)+(VLOOKUP($W$2,[4]Prices!$J$3:$K$17,2,FALSE)*W13)+(VLOOKUP($X$2,[4]Prices!$J$3:$K$17,2,FALSE)*X13)+(VLOOKUP($Y$2,[4]Prices!$J$3:$K$17,2,FALSE)*Y13)+(VLOOKUP($Z$2,[4]Prices!$J$3:$K$17,2,FALSE)*Z13)+(VLOOKUP($AA$2,[4]Prices!$J$3:$K$17,2,FALSE)*AA13)+(VLOOKUP($AB$2,[4]Prices!$J$3:$K$17,2,FALSE)*AB13)+M13</f>
        <v>6819800</v>
      </c>
      <c r="AD13" s="18"/>
      <c r="AE13" s="18"/>
      <c r="AF13" s="4">
        <f t="shared" si="0"/>
        <v>0</v>
      </c>
      <c r="AG13" s="4"/>
      <c r="AH13" s="16">
        <f t="shared" si="2"/>
        <v>0</v>
      </c>
      <c r="AI13" s="21">
        <f t="shared" si="1"/>
        <v>0</v>
      </c>
      <c r="AJ13" s="20">
        <f t="shared" si="3"/>
        <v>0</v>
      </c>
      <c r="AK13" s="9"/>
    </row>
    <row r="14" spans="1:37" hidden="1">
      <c r="A14" s="77">
        <v>12</v>
      </c>
      <c r="B14" s="78"/>
      <c r="C14" s="79"/>
      <c r="D14" s="79"/>
      <c r="E14" s="79"/>
      <c r="F14" s="79"/>
      <c r="G14" s="79"/>
      <c r="H14" s="80"/>
      <c r="I14" s="45" t="s">
        <v>684</v>
      </c>
      <c r="J14" s="45" t="s">
        <v>1388</v>
      </c>
      <c r="K14" s="46" t="s">
        <v>660</v>
      </c>
      <c r="L14" s="47" t="s">
        <v>975</v>
      </c>
      <c r="M14" s="81">
        <f>IFERROR(VLOOKUP($L14,[3]Consolidated!$C$9:$AC$452,27,0),0)</f>
        <v>7014800</v>
      </c>
      <c r="N14" s="81">
        <f>IFERROR(VLOOKUP($L14,[3]Consolidated!$C$9:$AC$452,5,0),0)</f>
        <v>35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4">
        <f>(VLOOKUP($O$2,[4]Prices!$E$3:$K$17,2,FALSE)*O14)+(VLOOKUP($P$2,[4]Prices!$J$3:$K$17,2,FALSE)*P14)+(VLOOKUP($Q$2,[4]Prices!$J$3:$K$17,2,FALSE)*Q14)+(VLOOKUP($R$2,[4]Prices!$J$3:$K$17,2,FALSE)*R14)+(VLOOKUP($S$2,[4]Prices!$J$3:$K$17,2,FALSE)*S14)+(VLOOKUP($T$2,[4]Prices!$J$3:$K$17,2,FALSE)*T14)+(VLOOKUP($U$2,[4]Prices!$J$3:$K$17,2,FALSE)*U14)+(VLOOKUP($V$2,[4]Prices!$J$3:$K$17,2,FALSE)*V14)+(VLOOKUP($W$2,[4]Prices!$J$3:$K$17,2,FALSE)*W14)+(VLOOKUP($X$2,[4]Prices!$J$3:$K$17,2,FALSE)*X14)+(VLOOKUP($Y$2,[4]Prices!$J$3:$K$17,2,FALSE)*Y14)+(VLOOKUP($Z$2,[4]Prices!$J$3:$K$17,2,FALSE)*Z14)+(VLOOKUP($AA$2,[4]Prices!$J$3:$K$17,2,FALSE)*AA14)+(VLOOKUP($AB$2,[4]Prices!$J$3:$K$17,2,FALSE)*AB14)+M14</f>
        <v>7014800</v>
      </c>
      <c r="AD14" s="18"/>
      <c r="AE14" s="18"/>
      <c r="AF14" s="4">
        <f t="shared" si="0"/>
        <v>0</v>
      </c>
      <c r="AG14" s="4"/>
      <c r="AH14" s="16">
        <f t="shared" si="2"/>
        <v>0</v>
      </c>
      <c r="AI14" s="21">
        <f t="shared" si="1"/>
        <v>0</v>
      </c>
      <c r="AJ14" s="20">
        <f t="shared" si="3"/>
        <v>0</v>
      </c>
      <c r="AK14" s="9"/>
    </row>
    <row r="15" spans="1:37" hidden="1">
      <c r="A15" s="77">
        <v>13</v>
      </c>
      <c r="B15" s="78"/>
      <c r="C15" s="79"/>
      <c r="D15" s="79"/>
      <c r="E15" s="79"/>
      <c r="F15" s="79"/>
      <c r="G15" s="79"/>
      <c r="H15" s="80"/>
      <c r="I15" s="45" t="s">
        <v>685</v>
      </c>
      <c r="J15" s="45" t="s">
        <v>1388</v>
      </c>
      <c r="K15" s="46" t="s">
        <v>660</v>
      </c>
      <c r="L15" s="47" t="s">
        <v>976</v>
      </c>
      <c r="M15" s="81">
        <f>IFERROR(VLOOKUP($L15,[3]Consolidated!$C$9:$AC$452,27,0),0)</f>
        <v>22573600</v>
      </c>
      <c r="N15" s="81">
        <f>IFERROR(VLOOKUP($L15,[3]Consolidated!$C$9:$AC$452,5,0),0)</f>
        <v>110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4">
        <f>(VLOOKUP($O$2,[4]Prices!$E$3:$K$17,2,FALSE)*O15)+(VLOOKUP($P$2,[4]Prices!$J$3:$K$17,2,FALSE)*P15)+(VLOOKUP($Q$2,[4]Prices!$J$3:$K$17,2,FALSE)*Q15)+(VLOOKUP($R$2,[4]Prices!$J$3:$K$17,2,FALSE)*R15)+(VLOOKUP($S$2,[4]Prices!$J$3:$K$17,2,FALSE)*S15)+(VLOOKUP($T$2,[4]Prices!$J$3:$K$17,2,FALSE)*T15)+(VLOOKUP($U$2,[4]Prices!$J$3:$K$17,2,FALSE)*U15)+(VLOOKUP($V$2,[4]Prices!$J$3:$K$17,2,FALSE)*V15)+(VLOOKUP($W$2,[4]Prices!$J$3:$K$17,2,FALSE)*W15)+(VLOOKUP($X$2,[4]Prices!$J$3:$K$17,2,FALSE)*X15)+(VLOOKUP($Y$2,[4]Prices!$J$3:$K$17,2,FALSE)*Y15)+(VLOOKUP($Z$2,[4]Prices!$J$3:$K$17,2,FALSE)*Z15)+(VLOOKUP($AA$2,[4]Prices!$J$3:$K$17,2,FALSE)*AA15)+(VLOOKUP($AB$2,[4]Prices!$J$3:$K$17,2,FALSE)*AB15)+M15</f>
        <v>22573600</v>
      </c>
      <c r="AD15" s="18"/>
      <c r="AE15" s="18"/>
      <c r="AF15" s="4">
        <f t="shared" si="0"/>
        <v>0</v>
      </c>
      <c r="AG15" s="4"/>
      <c r="AH15" s="16">
        <f t="shared" si="2"/>
        <v>0</v>
      </c>
      <c r="AI15" s="21">
        <f t="shared" si="1"/>
        <v>0</v>
      </c>
      <c r="AJ15" s="20">
        <f t="shared" si="3"/>
        <v>0</v>
      </c>
      <c r="AK15" s="19"/>
    </row>
    <row r="16" spans="1:37" hidden="1">
      <c r="A16" s="77">
        <v>14</v>
      </c>
      <c r="B16" s="78"/>
      <c r="C16" s="79"/>
      <c r="D16" s="79"/>
      <c r="E16" s="79"/>
      <c r="F16" s="79"/>
      <c r="G16" s="79"/>
      <c r="H16" s="80"/>
      <c r="I16" s="45" t="s">
        <v>686</v>
      </c>
      <c r="J16" s="45" t="s">
        <v>1388</v>
      </c>
      <c r="K16" s="46" t="s">
        <v>660</v>
      </c>
      <c r="L16" s="47" t="s">
        <v>977</v>
      </c>
      <c r="M16" s="81">
        <f>IFERROR(VLOOKUP($L16,[3]Consolidated!$C$9:$AC$452,27,0),0)</f>
        <v>9175450</v>
      </c>
      <c r="N16" s="81">
        <f>IFERROR(VLOOKUP($L16,[3]Consolidated!$C$9:$AC$452,5,0),0)</f>
        <v>45.000000000000007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4">
        <f>(VLOOKUP($O$2,[4]Prices!$E$3:$K$17,2,FALSE)*O16)+(VLOOKUP($P$2,[4]Prices!$J$3:$K$17,2,FALSE)*P16)+(VLOOKUP($Q$2,[4]Prices!$J$3:$K$17,2,FALSE)*Q16)+(VLOOKUP($R$2,[4]Prices!$J$3:$K$17,2,FALSE)*R16)+(VLOOKUP($S$2,[4]Prices!$J$3:$K$17,2,FALSE)*S16)+(VLOOKUP($T$2,[4]Prices!$J$3:$K$17,2,FALSE)*T16)+(VLOOKUP($U$2,[4]Prices!$J$3:$K$17,2,FALSE)*U16)+(VLOOKUP($V$2,[4]Prices!$J$3:$K$17,2,FALSE)*V16)+(VLOOKUP($W$2,[4]Prices!$J$3:$K$17,2,FALSE)*W16)+(VLOOKUP($X$2,[4]Prices!$J$3:$K$17,2,FALSE)*X16)+(VLOOKUP($Y$2,[4]Prices!$J$3:$K$17,2,FALSE)*Y16)+(VLOOKUP($Z$2,[4]Prices!$J$3:$K$17,2,FALSE)*Z16)+(VLOOKUP($AA$2,[4]Prices!$J$3:$K$17,2,FALSE)*AA16)+(VLOOKUP($AB$2,[4]Prices!$J$3:$K$17,2,FALSE)*AB16)+M16</f>
        <v>9175450</v>
      </c>
      <c r="AD16" s="18"/>
      <c r="AE16" s="18"/>
      <c r="AF16" s="4">
        <f t="shared" si="0"/>
        <v>0</v>
      </c>
      <c r="AG16" s="4"/>
      <c r="AH16" s="16">
        <f t="shared" si="2"/>
        <v>0</v>
      </c>
      <c r="AI16" s="21">
        <f t="shared" si="1"/>
        <v>0</v>
      </c>
      <c r="AJ16" s="20">
        <f t="shared" si="3"/>
        <v>0</v>
      </c>
      <c r="AK16" s="9"/>
    </row>
    <row r="17" spans="1:37" hidden="1">
      <c r="A17" s="77">
        <v>15</v>
      </c>
      <c r="B17" s="78"/>
      <c r="C17" s="79"/>
      <c r="D17" s="79"/>
      <c r="E17" s="79"/>
      <c r="F17" s="79"/>
      <c r="G17" s="79"/>
      <c r="H17" s="80"/>
      <c r="I17" s="45" t="s">
        <v>687</v>
      </c>
      <c r="J17" s="45" t="s">
        <v>1388</v>
      </c>
      <c r="K17" s="46" t="s">
        <v>660</v>
      </c>
      <c r="L17" s="47" t="s">
        <v>978</v>
      </c>
      <c r="M17" s="81">
        <f>IFERROR(VLOOKUP($L17,[3]Consolidated!$C$9:$AC$452,27,0),0)</f>
        <v>0</v>
      </c>
      <c r="N17" s="81">
        <f>IFERROR(VLOOKUP($L17,[3]Consolidated!$C$9:$AC$452,5,0),0)</f>
        <v>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4">
        <f>(VLOOKUP($O$2,[4]Prices!$E$3:$K$17,2,FALSE)*O17)+(VLOOKUP($P$2,[4]Prices!$J$3:$K$17,2,FALSE)*P17)+(VLOOKUP($Q$2,[4]Prices!$J$3:$K$17,2,FALSE)*Q17)+(VLOOKUP($R$2,[4]Prices!$J$3:$K$17,2,FALSE)*R17)+(VLOOKUP($S$2,[4]Prices!$J$3:$K$17,2,FALSE)*S17)+(VLOOKUP($T$2,[4]Prices!$J$3:$K$17,2,FALSE)*T17)+(VLOOKUP($U$2,[4]Prices!$J$3:$K$17,2,FALSE)*U17)+(VLOOKUP($V$2,[4]Prices!$J$3:$K$17,2,FALSE)*V17)+(VLOOKUP($W$2,[4]Prices!$J$3:$K$17,2,FALSE)*W17)+(VLOOKUP($X$2,[4]Prices!$J$3:$K$17,2,FALSE)*X17)+(VLOOKUP($Y$2,[4]Prices!$J$3:$K$17,2,FALSE)*Y17)+(VLOOKUP($Z$2,[4]Prices!$J$3:$K$17,2,FALSE)*Z17)+(VLOOKUP($AA$2,[4]Prices!$J$3:$K$17,2,FALSE)*AA17)+(VLOOKUP($AB$2,[4]Prices!$J$3:$K$17,2,FALSE)*AB17)+M17</f>
        <v>0</v>
      </c>
      <c r="AD17" s="18"/>
      <c r="AE17" s="18"/>
      <c r="AF17" s="4">
        <f t="shared" si="0"/>
        <v>0</v>
      </c>
      <c r="AG17" s="4"/>
      <c r="AH17" s="16">
        <f t="shared" si="2"/>
        <v>0</v>
      </c>
      <c r="AI17" s="21" t="e">
        <f t="shared" si="1"/>
        <v>#DIV/0!</v>
      </c>
      <c r="AJ17" s="20" t="e">
        <f t="shared" si="3"/>
        <v>#DIV/0!</v>
      </c>
      <c r="AK17" s="9"/>
    </row>
    <row r="18" spans="1:37" hidden="1">
      <c r="A18" s="77">
        <v>16</v>
      </c>
      <c r="B18" s="78"/>
      <c r="C18" s="79"/>
      <c r="D18" s="79"/>
      <c r="E18" s="79"/>
      <c r="F18" s="79"/>
      <c r="G18" s="79"/>
      <c r="H18" s="80"/>
      <c r="I18" s="45" t="s">
        <v>688</v>
      </c>
      <c r="J18" s="45" t="s">
        <v>1388</v>
      </c>
      <c r="K18" s="46" t="s">
        <v>660</v>
      </c>
      <c r="L18" s="47" t="s">
        <v>979</v>
      </c>
      <c r="M18" s="81">
        <f>IFERROR(VLOOKUP($L18,[3]Consolidated!$C$9:$AC$452,27,0),0)</f>
        <v>7017150</v>
      </c>
      <c r="N18" s="81">
        <f>IFERROR(VLOOKUP($L18,[3]Consolidated!$C$9:$AC$452,5,0),0)</f>
        <v>35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4">
        <f>(VLOOKUP($O$2,[4]Prices!$E$3:$K$17,2,FALSE)*O18)+(VLOOKUP($P$2,[4]Prices!$J$3:$K$17,2,FALSE)*P18)+(VLOOKUP($Q$2,[4]Prices!$J$3:$K$17,2,FALSE)*Q18)+(VLOOKUP($R$2,[4]Prices!$J$3:$K$17,2,FALSE)*R18)+(VLOOKUP($S$2,[4]Prices!$J$3:$K$17,2,FALSE)*S18)+(VLOOKUP($T$2,[4]Prices!$J$3:$K$17,2,FALSE)*T18)+(VLOOKUP($U$2,[4]Prices!$J$3:$K$17,2,FALSE)*U18)+(VLOOKUP($V$2,[4]Prices!$J$3:$K$17,2,FALSE)*V18)+(VLOOKUP($W$2,[4]Prices!$J$3:$K$17,2,FALSE)*W18)+(VLOOKUP($X$2,[4]Prices!$J$3:$K$17,2,FALSE)*X18)+(VLOOKUP($Y$2,[4]Prices!$J$3:$K$17,2,FALSE)*Y18)+(VLOOKUP($Z$2,[4]Prices!$J$3:$K$17,2,FALSE)*Z18)+(VLOOKUP($AA$2,[4]Prices!$J$3:$K$17,2,FALSE)*AA18)+(VLOOKUP($AB$2,[4]Prices!$J$3:$K$17,2,FALSE)*AB18)+M18</f>
        <v>7017150</v>
      </c>
      <c r="AD18" s="18"/>
      <c r="AE18" s="18"/>
      <c r="AF18" s="4">
        <f t="shared" si="0"/>
        <v>0</v>
      </c>
      <c r="AG18" s="4"/>
      <c r="AH18" s="16">
        <f t="shared" si="2"/>
        <v>0</v>
      </c>
      <c r="AI18" s="21">
        <f t="shared" si="1"/>
        <v>0</v>
      </c>
      <c r="AJ18" s="20">
        <f t="shared" si="3"/>
        <v>0</v>
      </c>
      <c r="AK18" s="9"/>
    </row>
    <row r="19" spans="1:37" hidden="1">
      <c r="A19" s="77">
        <v>17</v>
      </c>
      <c r="B19" s="78"/>
      <c r="C19" s="79"/>
      <c r="D19" s="79"/>
      <c r="E19" s="79"/>
      <c r="F19" s="79"/>
      <c r="G19" s="79"/>
      <c r="H19" s="80"/>
      <c r="I19" s="45" t="s">
        <v>689</v>
      </c>
      <c r="J19" s="45" t="s">
        <v>1388</v>
      </c>
      <c r="K19" s="46" t="s">
        <v>660</v>
      </c>
      <c r="L19" s="47" t="s">
        <v>980</v>
      </c>
      <c r="M19" s="81">
        <f>IFERROR(VLOOKUP($L19,[3]Consolidated!$C$9:$AC$452,27,0),0)</f>
        <v>6800200</v>
      </c>
      <c r="N19" s="81">
        <f>IFERROR(VLOOKUP($L19,[3]Consolidated!$C$9:$AC$452,5,0),0)</f>
        <v>35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4">
        <f>(VLOOKUP($O$2,[4]Prices!$E$3:$K$17,2,FALSE)*O19)+(VLOOKUP($P$2,[4]Prices!$J$3:$K$17,2,FALSE)*P19)+(VLOOKUP($Q$2,[4]Prices!$J$3:$K$17,2,FALSE)*Q19)+(VLOOKUP($R$2,[4]Prices!$J$3:$K$17,2,FALSE)*R19)+(VLOOKUP($S$2,[4]Prices!$J$3:$K$17,2,FALSE)*S19)+(VLOOKUP($T$2,[4]Prices!$J$3:$K$17,2,FALSE)*T19)+(VLOOKUP($U$2,[4]Prices!$J$3:$K$17,2,FALSE)*U19)+(VLOOKUP($V$2,[4]Prices!$J$3:$K$17,2,FALSE)*V19)+(VLOOKUP($W$2,[4]Prices!$J$3:$K$17,2,FALSE)*W19)+(VLOOKUP($X$2,[4]Prices!$J$3:$K$17,2,FALSE)*X19)+(VLOOKUP($Y$2,[4]Prices!$J$3:$K$17,2,FALSE)*Y19)+(VLOOKUP($Z$2,[4]Prices!$J$3:$K$17,2,FALSE)*Z19)+(VLOOKUP($AA$2,[4]Prices!$J$3:$K$17,2,FALSE)*AA19)+(VLOOKUP($AB$2,[4]Prices!$J$3:$K$17,2,FALSE)*AB19)+M19</f>
        <v>6800200</v>
      </c>
      <c r="AD19" s="18"/>
      <c r="AE19" s="18"/>
      <c r="AF19" s="4">
        <f t="shared" si="0"/>
        <v>0</v>
      </c>
      <c r="AG19" s="4"/>
      <c r="AH19" s="16">
        <f t="shared" si="2"/>
        <v>0</v>
      </c>
      <c r="AI19" s="21">
        <f t="shared" si="1"/>
        <v>0</v>
      </c>
      <c r="AJ19" s="20">
        <f t="shared" si="3"/>
        <v>0</v>
      </c>
      <c r="AK19" s="9"/>
    </row>
    <row r="20" spans="1:37" hidden="1">
      <c r="A20" s="77">
        <v>18</v>
      </c>
      <c r="B20" s="78"/>
      <c r="C20" s="79"/>
      <c r="D20" s="79"/>
      <c r="E20" s="79"/>
      <c r="F20" s="79"/>
      <c r="G20" s="79"/>
      <c r="H20" s="80"/>
      <c r="I20" s="45" t="s">
        <v>690</v>
      </c>
      <c r="J20" s="45" t="s">
        <v>1388</v>
      </c>
      <c r="K20" s="46" t="s">
        <v>660</v>
      </c>
      <c r="L20" s="47" t="s">
        <v>981</v>
      </c>
      <c r="M20" s="81">
        <f>IFERROR(VLOOKUP($L20,[3]Consolidated!$C$9:$AC$452,27,0),0)</f>
        <v>6825450</v>
      </c>
      <c r="N20" s="81">
        <f>IFERROR(VLOOKUP($L20,[3]Consolidated!$C$9:$AC$452,5,0),0)</f>
        <v>35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4">
        <f>(VLOOKUP($O$2,[4]Prices!$E$3:$K$17,2,FALSE)*O20)+(VLOOKUP($P$2,[4]Prices!$J$3:$K$17,2,FALSE)*P20)+(VLOOKUP($Q$2,[4]Prices!$J$3:$K$17,2,FALSE)*Q20)+(VLOOKUP($R$2,[4]Prices!$J$3:$K$17,2,FALSE)*R20)+(VLOOKUP($S$2,[4]Prices!$J$3:$K$17,2,FALSE)*S20)+(VLOOKUP($T$2,[4]Prices!$J$3:$K$17,2,FALSE)*T20)+(VLOOKUP($U$2,[4]Prices!$J$3:$K$17,2,FALSE)*U20)+(VLOOKUP($V$2,[4]Prices!$J$3:$K$17,2,FALSE)*V20)+(VLOOKUP($W$2,[4]Prices!$J$3:$K$17,2,FALSE)*W20)+(VLOOKUP($X$2,[4]Prices!$J$3:$K$17,2,FALSE)*X20)+(VLOOKUP($Y$2,[4]Prices!$J$3:$K$17,2,FALSE)*Y20)+(VLOOKUP($Z$2,[4]Prices!$J$3:$K$17,2,FALSE)*Z20)+(VLOOKUP($AA$2,[4]Prices!$J$3:$K$17,2,FALSE)*AA20)+(VLOOKUP($AB$2,[4]Prices!$J$3:$K$17,2,FALSE)*AB20)+M20</f>
        <v>6825450</v>
      </c>
      <c r="AD20" s="18"/>
      <c r="AE20" s="18"/>
      <c r="AF20" s="4">
        <f t="shared" si="0"/>
        <v>0</v>
      </c>
      <c r="AG20" s="4"/>
      <c r="AH20" s="16">
        <f t="shared" si="2"/>
        <v>0</v>
      </c>
      <c r="AI20" s="21">
        <f t="shared" si="1"/>
        <v>0</v>
      </c>
      <c r="AJ20" s="20">
        <f t="shared" si="3"/>
        <v>0</v>
      </c>
      <c r="AK20" s="9"/>
    </row>
    <row r="21" spans="1:37" hidden="1">
      <c r="A21" s="77">
        <v>19</v>
      </c>
      <c r="B21" s="78"/>
      <c r="C21" s="79"/>
      <c r="D21" s="79"/>
      <c r="E21" s="79"/>
      <c r="F21" s="79"/>
      <c r="G21" s="79"/>
      <c r="H21" s="80"/>
      <c r="I21" s="45" t="s">
        <v>691</v>
      </c>
      <c r="J21" s="45" t="s">
        <v>1388</v>
      </c>
      <c r="K21" s="46" t="s">
        <v>660</v>
      </c>
      <c r="L21" s="47" t="s">
        <v>982</v>
      </c>
      <c r="M21" s="81">
        <f>IFERROR(VLOOKUP($L21,[3]Consolidated!$C$9:$AC$452,27,0),0)</f>
        <v>7307800</v>
      </c>
      <c r="N21" s="81">
        <f>IFERROR(VLOOKUP($L21,[3]Consolidated!$C$9:$AC$452,5,0),0)</f>
        <v>35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4">
        <f>(VLOOKUP($O$2,[4]Prices!$E$3:$K$17,2,FALSE)*O21)+(VLOOKUP($P$2,[4]Prices!$J$3:$K$17,2,FALSE)*P21)+(VLOOKUP($Q$2,[4]Prices!$J$3:$K$17,2,FALSE)*Q21)+(VLOOKUP($R$2,[4]Prices!$J$3:$K$17,2,FALSE)*R21)+(VLOOKUP($S$2,[4]Prices!$J$3:$K$17,2,FALSE)*S21)+(VLOOKUP($T$2,[4]Prices!$J$3:$K$17,2,FALSE)*T21)+(VLOOKUP($U$2,[4]Prices!$J$3:$K$17,2,FALSE)*U21)+(VLOOKUP($V$2,[4]Prices!$J$3:$K$17,2,FALSE)*V21)+(VLOOKUP($W$2,[4]Prices!$J$3:$K$17,2,FALSE)*W21)+(VLOOKUP($X$2,[4]Prices!$J$3:$K$17,2,FALSE)*X21)+(VLOOKUP($Y$2,[4]Prices!$J$3:$K$17,2,FALSE)*Y21)+(VLOOKUP($Z$2,[4]Prices!$J$3:$K$17,2,FALSE)*Z21)+(VLOOKUP($AA$2,[4]Prices!$J$3:$K$17,2,FALSE)*AA21)+(VLOOKUP($AB$2,[4]Prices!$J$3:$K$17,2,FALSE)*AB21)+M21</f>
        <v>7307800</v>
      </c>
      <c r="AD21" s="18"/>
      <c r="AE21" s="18"/>
      <c r="AF21" s="4">
        <f t="shared" si="0"/>
        <v>0</v>
      </c>
      <c r="AG21" s="4"/>
      <c r="AH21" s="16">
        <f t="shared" si="2"/>
        <v>0</v>
      </c>
      <c r="AI21" s="21">
        <f t="shared" si="1"/>
        <v>0</v>
      </c>
      <c r="AJ21" s="20">
        <f t="shared" si="3"/>
        <v>0</v>
      </c>
      <c r="AK21" s="9"/>
    </row>
    <row r="22" spans="1:37" hidden="1">
      <c r="A22" s="77">
        <v>20</v>
      </c>
      <c r="B22" s="78"/>
      <c r="C22" s="79"/>
      <c r="D22" s="79"/>
      <c r="E22" s="79"/>
      <c r="F22" s="79"/>
      <c r="G22" s="79"/>
      <c r="H22" s="80"/>
      <c r="I22" s="45" t="s">
        <v>692</v>
      </c>
      <c r="J22" s="45" t="s">
        <v>1388</v>
      </c>
      <c r="K22" s="46" t="s">
        <v>660</v>
      </c>
      <c r="L22" s="47" t="s">
        <v>983</v>
      </c>
      <c r="M22" s="81">
        <f>IFERROR(VLOOKUP($L22,[3]Consolidated!$C$9:$AC$452,27,0),0)</f>
        <v>6668150</v>
      </c>
      <c r="N22" s="81">
        <f>IFERROR(VLOOKUP($L22,[3]Consolidated!$C$9:$AC$452,5,0),0)</f>
        <v>35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4">
        <f>(VLOOKUP($O$2,[4]Prices!$E$3:$K$17,2,FALSE)*O22)+(VLOOKUP($P$2,[4]Prices!$J$3:$K$17,2,FALSE)*P22)+(VLOOKUP($Q$2,[4]Prices!$J$3:$K$17,2,FALSE)*Q22)+(VLOOKUP($R$2,[4]Prices!$J$3:$K$17,2,FALSE)*R22)+(VLOOKUP($S$2,[4]Prices!$J$3:$K$17,2,FALSE)*S22)+(VLOOKUP($T$2,[4]Prices!$J$3:$K$17,2,FALSE)*T22)+(VLOOKUP($U$2,[4]Prices!$J$3:$K$17,2,FALSE)*U22)+(VLOOKUP($V$2,[4]Prices!$J$3:$K$17,2,FALSE)*V22)+(VLOOKUP($W$2,[4]Prices!$J$3:$K$17,2,FALSE)*W22)+(VLOOKUP($X$2,[4]Prices!$J$3:$K$17,2,FALSE)*X22)+(VLOOKUP($Y$2,[4]Prices!$J$3:$K$17,2,FALSE)*Y22)+(VLOOKUP($Z$2,[4]Prices!$J$3:$K$17,2,FALSE)*Z22)+(VLOOKUP($AA$2,[4]Prices!$J$3:$K$17,2,FALSE)*AA22)+(VLOOKUP($AB$2,[4]Prices!$J$3:$K$17,2,FALSE)*AB22)+M22</f>
        <v>6668150</v>
      </c>
      <c r="AD22" s="18"/>
      <c r="AE22" s="18"/>
      <c r="AF22" s="4">
        <f t="shared" si="0"/>
        <v>0</v>
      </c>
      <c r="AG22" s="4"/>
      <c r="AH22" s="16">
        <f t="shared" si="2"/>
        <v>0</v>
      </c>
      <c r="AI22" s="21">
        <f t="shared" si="1"/>
        <v>0</v>
      </c>
      <c r="AJ22" s="20">
        <f t="shared" si="3"/>
        <v>0</v>
      </c>
      <c r="AK22" s="9"/>
    </row>
    <row r="23" spans="1:37" hidden="1">
      <c r="A23" s="77">
        <v>21</v>
      </c>
      <c r="B23" s="78"/>
      <c r="C23" s="79"/>
      <c r="D23" s="79"/>
      <c r="E23" s="79"/>
      <c r="F23" s="79"/>
      <c r="G23" s="79"/>
      <c r="H23" s="80"/>
      <c r="I23" s="45" t="s">
        <v>693</v>
      </c>
      <c r="J23" s="45" t="s">
        <v>1388</v>
      </c>
      <c r="K23" s="46" t="s">
        <v>660</v>
      </c>
      <c r="L23" s="47" t="s">
        <v>984</v>
      </c>
      <c r="M23" s="81">
        <f>IFERROR(VLOOKUP($L23,[3]Consolidated!$C$9:$AC$452,27,0),0)</f>
        <v>6886450</v>
      </c>
      <c r="N23" s="81">
        <f>IFERROR(VLOOKUP($L23,[3]Consolidated!$C$9:$AC$452,5,0),0)</f>
        <v>35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4">
        <f>(VLOOKUP($O$2,[4]Prices!$E$3:$K$17,2,FALSE)*O23)+(VLOOKUP($P$2,[4]Prices!$J$3:$K$17,2,FALSE)*P23)+(VLOOKUP($Q$2,[4]Prices!$J$3:$K$17,2,FALSE)*Q23)+(VLOOKUP($R$2,[4]Prices!$J$3:$K$17,2,FALSE)*R23)+(VLOOKUP($S$2,[4]Prices!$J$3:$K$17,2,FALSE)*S23)+(VLOOKUP($T$2,[4]Prices!$J$3:$K$17,2,FALSE)*T23)+(VLOOKUP($U$2,[4]Prices!$J$3:$K$17,2,FALSE)*U23)+(VLOOKUP($V$2,[4]Prices!$J$3:$K$17,2,FALSE)*V23)+(VLOOKUP($W$2,[4]Prices!$J$3:$K$17,2,FALSE)*W23)+(VLOOKUP($X$2,[4]Prices!$J$3:$K$17,2,FALSE)*X23)+(VLOOKUP($Y$2,[4]Prices!$J$3:$K$17,2,FALSE)*Y23)+(VLOOKUP($Z$2,[4]Prices!$J$3:$K$17,2,FALSE)*Z23)+(VLOOKUP($AA$2,[4]Prices!$J$3:$K$17,2,FALSE)*AA23)+(VLOOKUP($AB$2,[4]Prices!$J$3:$K$17,2,FALSE)*AB23)+M23</f>
        <v>6886450</v>
      </c>
      <c r="AD23" s="18"/>
      <c r="AE23" s="18"/>
      <c r="AF23" s="4">
        <f t="shared" si="0"/>
        <v>0</v>
      </c>
      <c r="AG23" s="4"/>
      <c r="AH23" s="16">
        <f t="shared" si="2"/>
        <v>0</v>
      </c>
      <c r="AI23" s="21">
        <f t="shared" si="1"/>
        <v>0</v>
      </c>
      <c r="AJ23" s="20">
        <f t="shared" si="3"/>
        <v>0</v>
      </c>
      <c r="AK23" s="9"/>
    </row>
    <row r="24" spans="1:37" hidden="1">
      <c r="A24" s="77">
        <v>22</v>
      </c>
      <c r="B24" s="78"/>
      <c r="C24" s="79"/>
      <c r="D24" s="79"/>
      <c r="E24" s="79"/>
      <c r="F24" s="79"/>
      <c r="G24" s="79"/>
      <c r="H24" s="80"/>
      <c r="I24" s="45" t="s">
        <v>694</v>
      </c>
      <c r="J24" s="45" t="s">
        <v>1388</v>
      </c>
      <c r="K24" s="46" t="s">
        <v>660</v>
      </c>
      <c r="L24" s="46" t="s">
        <v>985</v>
      </c>
      <c r="M24" s="81">
        <f>IFERROR(VLOOKUP($L24,[3]Consolidated!$C$9:$AC$452,27,0),0)</f>
        <v>6886450</v>
      </c>
      <c r="N24" s="81">
        <f>IFERROR(VLOOKUP($L24,[3]Consolidated!$C$9:$AC$452,5,0),0)</f>
        <v>35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4">
        <f>(VLOOKUP($O$2,[4]Prices!$E$3:$K$17,2,FALSE)*O24)+(VLOOKUP($P$2,[4]Prices!$J$3:$K$17,2,FALSE)*P24)+(VLOOKUP($Q$2,[4]Prices!$J$3:$K$17,2,FALSE)*Q24)+(VLOOKUP($R$2,[4]Prices!$J$3:$K$17,2,FALSE)*R24)+(VLOOKUP($S$2,[4]Prices!$J$3:$K$17,2,FALSE)*S24)+(VLOOKUP($T$2,[4]Prices!$J$3:$K$17,2,FALSE)*T24)+(VLOOKUP($U$2,[4]Prices!$J$3:$K$17,2,FALSE)*U24)+(VLOOKUP($V$2,[4]Prices!$J$3:$K$17,2,FALSE)*V24)+(VLOOKUP($W$2,[4]Prices!$J$3:$K$17,2,FALSE)*W24)+(VLOOKUP($X$2,[4]Prices!$J$3:$K$17,2,FALSE)*X24)+(VLOOKUP($Y$2,[4]Prices!$J$3:$K$17,2,FALSE)*Y24)+(VLOOKUP($Z$2,[4]Prices!$J$3:$K$17,2,FALSE)*Z24)+(VLOOKUP($AA$2,[4]Prices!$J$3:$K$17,2,FALSE)*AA24)+(VLOOKUP($AB$2,[4]Prices!$J$3:$K$17,2,FALSE)*AB24)+M24</f>
        <v>6886450</v>
      </c>
      <c r="AD24" s="18"/>
      <c r="AE24" s="18"/>
      <c r="AF24" s="4">
        <f t="shared" si="0"/>
        <v>0</v>
      </c>
      <c r="AG24" s="4"/>
      <c r="AH24" s="16">
        <f t="shared" si="2"/>
        <v>0</v>
      </c>
      <c r="AI24" s="21">
        <f t="shared" si="1"/>
        <v>0</v>
      </c>
      <c r="AJ24" s="20">
        <f t="shared" si="3"/>
        <v>0</v>
      </c>
      <c r="AK24" s="9"/>
    </row>
    <row r="25" spans="1:37" hidden="1">
      <c r="A25" s="77">
        <v>23</v>
      </c>
      <c r="B25" s="78"/>
      <c r="C25" s="79"/>
      <c r="D25" s="79"/>
      <c r="E25" s="79"/>
      <c r="F25" s="79"/>
      <c r="G25" s="79"/>
      <c r="H25" s="80"/>
      <c r="I25" s="45" t="s">
        <v>764</v>
      </c>
      <c r="J25" s="45" t="s">
        <v>1388</v>
      </c>
      <c r="K25" s="46" t="s">
        <v>660</v>
      </c>
      <c r="L25" s="46" t="s">
        <v>1061</v>
      </c>
      <c r="M25" s="81">
        <f>IFERROR(VLOOKUP($L25,[3]Consolidated!$C$9:$AC$452,27,0),0)</f>
        <v>1897450</v>
      </c>
      <c r="N25" s="81">
        <f>IFERROR(VLOOKUP($L25,[3]Consolidated!$C$9:$AC$452,5,0),0)</f>
        <v>10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4">
        <f>(VLOOKUP($O$2,[4]Prices!$E$3:$K$17,2,FALSE)*O25)+(VLOOKUP($P$2,[4]Prices!$J$3:$K$17,2,FALSE)*P25)+(VLOOKUP($Q$2,[4]Prices!$J$3:$K$17,2,FALSE)*Q25)+(VLOOKUP($R$2,[4]Prices!$J$3:$K$17,2,FALSE)*R25)+(VLOOKUP($S$2,[4]Prices!$J$3:$K$17,2,FALSE)*S25)+(VLOOKUP($T$2,[4]Prices!$J$3:$K$17,2,FALSE)*T25)+(VLOOKUP($U$2,[4]Prices!$J$3:$K$17,2,FALSE)*U25)+(VLOOKUP($V$2,[4]Prices!$J$3:$K$17,2,FALSE)*V25)+(VLOOKUP($W$2,[4]Prices!$J$3:$K$17,2,FALSE)*W25)+(VLOOKUP($X$2,[4]Prices!$J$3:$K$17,2,FALSE)*X25)+(VLOOKUP($Y$2,[4]Prices!$J$3:$K$17,2,FALSE)*Y25)+(VLOOKUP($Z$2,[4]Prices!$J$3:$K$17,2,FALSE)*Z25)+(VLOOKUP($AA$2,[4]Prices!$J$3:$K$17,2,FALSE)*AA25)+(VLOOKUP($AB$2,[4]Prices!$J$3:$K$17,2,FALSE)*AB25)+M25</f>
        <v>1897450</v>
      </c>
      <c r="AD25" s="18"/>
      <c r="AE25" s="18"/>
      <c r="AF25" s="4">
        <f t="shared" si="0"/>
        <v>0</v>
      </c>
      <c r="AG25" s="4"/>
      <c r="AH25" s="16">
        <f t="shared" si="2"/>
        <v>0</v>
      </c>
      <c r="AI25" s="21">
        <f t="shared" si="1"/>
        <v>0</v>
      </c>
      <c r="AJ25" s="20">
        <f t="shared" si="3"/>
        <v>0</v>
      </c>
      <c r="AK25" s="9"/>
    </row>
    <row r="26" spans="1:37" hidden="1">
      <c r="A26" s="77">
        <v>24</v>
      </c>
      <c r="B26" s="78"/>
      <c r="C26" s="79"/>
      <c r="D26" s="79"/>
      <c r="E26" s="79"/>
      <c r="F26" s="79"/>
      <c r="G26" s="79"/>
      <c r="H26" s="80"/>
      <c r="I26" s="45" t="s">
        <v>1348</v>
      </c>
      <c r="J26" s="45" t="s">
        <v>1388</v>
      </c>
      <c r="K26" s="46" t="s">
        <v>660</v>
      </c>
      <c r="L26" s="46" t="s">
        <v>1344</v>
      </c>
      <c r="M26" s="81">
        <f>IFERROR(VLOOKUP($L26,[3]Consolidated!$C$9:$AC$452,27,0),0)</f>
        <v>3019950</v>
      </c>
      <c r="N26" s="81">
        <f>IFERROR(VLOOKUP($L26,[3]Consolidated!$C$9:$AC$452,5,0),0)</f>
        <v>15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4">
        <f>(VLOOKUP($O$2,[4]Prices!$E$3:$K$17,2,FALSE)*O26)+(VLOOKUP($P$2,[4]Prices!$J$3:$K$17,2,FALSE)*P26)+(VLOOKUP($Q$2,[4]Prices!$J$3:$K$17,2,FALSE)*Q26)+(VLOOKUP($R$2,[4]Prices!$J$3:$K$17,2,FALSE)*R26)+(VLOOKUP($S$2,[4]Prices!$J$3:$K$17,2,FALSE)*S26)+(VLOOKUP($T$2,[4]Prices!$J$3:$K$17,2,FALSE)*T26)+(VLOOKUP($U$2,[4]Prices!$J$3:$K$17,2,FALSE)*U26)+(VLOOKUP($V$2,[4]Prices!$J$3:$K$17,2,FALSE)*V26)+(VLOOKUP($W$2,[4]Prices!$J$3:$K$17,2,FALSE)*W26)+(VLOOKUP($X$2,[4]Prices!$J$3:$K$17,2,FALSE)*X26)+(VLOOKUP($Y$2,[4]Prices!$J$3:$K$17,2,FALSE)*Y26)+(VLOOKUP($Z$2,[4]Prices!$J$3:$K$17,2,FALSE)*Z26)+(VLOOKUP($AA$2,[4]Prices!$J$3:$K$17,2,FALSE)*AA26)+(VLOOKUP($AB$2,[4]Prices!$J$3:$K$17,2,FALSE)*AB26)+M26</f>
        <v>3019950</v>
      </c>
      <c r="AD26" s="18"/>
      <c r="AE26" s="18"/>
      <c r="AF26" s="4">
        <f t="shared" si="0"/>
        <v>0</v>
      </c>
      <c r="AG26" s="4"/>
      <c r="AH26" s="16">
        <f t="shared" si="2"/>
        <v>0</v>
      </c>
      <c r="AI26" s="21">
        <f t="shared" si="1"/>
        <v>0</v>
      </c>
      <c r="AJ26" s="20">
        <f t="shared" si="3"/>
        <v>0</v>
      </c>
      <c r="AK26" s="9"/>
    </row>
    <row r="27" spans="1:37" hidden="1">
      <c r="A27" s="77">
        <v>25</v>
      </c>
      <c r="B27" s="78"/>
      <c r="C27" s="79"/>
      <c r="D27" s="79"/>
      <c r="E27" s="79"/>
      <c r="F27" s="79"/>
      <c r="G27" s="79"/>
      <c r="H27" s="80"/>
      <c r="I27" s="45" t="s">
        <v>1349</v>
      </c>
      <c r="J27" s="45" t="s">
        <v>1388</v>
      </c>
      <c r="K27" s="46" t="s">
        <v>660</v>
      </c>
      <c r="L27" s="46" t="s">
        <v>1345</v>
      </c>
      <c r="M27" s="81">
        <f>IFERROR(VLOOKUP($L27,[3]Consolidated!$C$9:$AC$452,27,0),0)</f>
        <v>7766500</v>
      </c>
      <c r="N27" s="81">
        <f>IFERROR(VLOOKUP($L27,[3]Consolidated!$C$9:$AC$452,5,0),0)</f>
        <v>35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4">
        <f>(VLOOKUP($O$2,[4]Prices!$E$3:$K$17,2,FALSE)*O27)+(VLOOKUP($P$2,[4]Prices!$J$3:$K$17,2,FALSE)*P27)+(VLOOKUP($Q$2,[4]Prices!$J$3:$K$17,2,FALSE)*Q27)+(VLOOKUP($R$2,[4]Prices!$J$3:$K$17,2,FALSE)*R27)+(VLOOKUP($S$2,[4]Prices!$J$3:$K$17,2,FALSE)*S27)+(VLOOKUP($T$2,[4]Prices!$J$3:$K$17,2,FALSE)*T27)+(VLOOKUP($U$2,[4]Prices!$J$3:$K$17,2,FALSE)*U27)+(VLOOKUP($V$2,[4]Prices!$J$3:$K$17,2,FALSE)*V27)+(VLOOKUP($W$2,[4]Prices!$J$3:$K$17,2,FALSE)*W27)+(VLOOKUP($X$2,[4]Prices!$J$3:$K$17,2,FALSE)*X27)+(VLOOKUP($Y$2,[4]Prices!$J$3:$K$17,2,FALSE)*Y27)+(VLOOKUP($Z$2,[4]Prices!$J$3:$K$17,2,FALSE)*Z27)+(VLOOKUP($AA$2,[4]Prices!$J$3:$K$17,2,FALSE)*AA27)+(VLOOKUP($AB$2,[4]Prices!$J$3:$K$17,2,FALSE)*AB27)+M27</f>
        <v>7766500</v>
      </c>
      <c r="AD27" s="18"/>
      <c r="AE27" s="18"/>
      <c r="AF27" s="4">
        <f t="shared" si="0"/>
        <v>0</v>
      </c>
      <c r="AG27" s="4"/>
      <c r="AH27" s="16">
        <f t="shared" si="2"/>
        <v>0</v>
      </c>
      <c r="AI27" s="21">
        <f t="shared" si="1"/>
        <v>0</v>
      </c>
      <c r="AJ27" s="20">
        <f t="shared" si="3"/>
        <v>0</v>
      </c>
      <c r="AK27" s="19"/>
    </row>
    <row r="28" spans="1:37" hidden="1">
      <c r="A28" s="77">
        <v>26</v>
      </c>
      <c r="B28" s="78"/>
      <c r="C28" s="79"/>
      <c r="D28" s="79"/>
      <c r="E28" s="79"/>
      <c r="F28" s="79"/>
      <c r="G28" s="79"/>
      <c r="H28" s="80"/>
      <c r="I28" s="45" t="s">
        <v>1357</v>
      </c>
      <c r="J28" s="45" t="s">
        <v>1388</v>
      </c>
      <c r="K28" s="46" t="s">
        <v>660</v>
      </c>
      <c r="L28" s="46" t="s">
        <v>1364</v>
      </c>
      <c r="M28" s="81">
        <f>IFERROR(VLOOKUP($L28,[3]Consolidated!$C$9:$AC$452,27,0),0)</f>
        <v>3005975</v>
      </c>
      <c r="N28" s="81">
        <f>IFERROR(VLOOKUP($L28,[3]Consolidated!$C$9:$AC$452,5,0),0)</f>
        <v>14.95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4">
        <f>(VLOOKUP($O$2,[4]Prices!$E$3:$K$17,2,FALSE)*O28)+(VLOOKUP($P$2,[4]Prices!$J$3:$K$17,2,FALSE)*P28)+(VLOOKUP($Q$2,[4]Prices!$J$3:$K$17,2,FALSE)*Q28)+(VLOOKUP($R$2,[4]Prices!$J$3:$K$17,2,FALSE)*R28)+(VLOOKUP($S$2,[4]Prices!$J$3:$K$17,2,FALSE)*S28)+(VLOOKUP($T$2,[4]Prices!$J$3:$K$17,2,FALSE)*T28)+(VLOOKUP($U$2,[4]Prices!$J$3:$K$17,2,FALSE)*U28)+(VLOOKUP($V$2,[4]Prices!$J$3:$K$17,2,FALSE)*V28)+(VLOOKUP($W$2,[4]Prices!$J$3:$K$17,2,FALSE)*W28)+(VLOOKUP($X$2,[4]Prices!$J$3:$K$17,2,FALSE)*X28)+(VLOOKUP($Y$2,[4]Prices!$J$3:$K$17,2,FALSE)*Y28)+(VLOOKUP($Z$2,[4]Prices!$J$3:$K$17,2,FALSE)*Z28)+(VLOOKUP($AA$2,[4]Prices!$J$3:$K$17,2,FALSE)*AA28)+(VLOOKUP($AB$2,[4]Prices!$J$3:$K$17,2,FALSE)*AB28)+M28</f>
        <v>3005975</v>
      </c>
      <c r="AD28" s="18"/>
      <c r="AE28" s="18"/>
      <c r="AF28" s="4">
        <f t="shared" si="0"/>
        <v>0</v>
      </c>
      <c r="AG28" s="4"/>
      <c r="AH28" s="16">
        <f t="shared" si="2"/>
        <v>0</v>
      </c>
      <c r="AI28" s="21">
        <f t="shared" si="1"/>
        <v>0</v>
      </c>
      <c r="AJ28" s="20">
        <f t="shared" si="3"/>
        <v>0</v>
      </c>
      <c r="AK28" s="9"/>
    </row>
    <row r="29" spans="1:37" hidden="1">
      <c r="A29" s="77">
        <v>27</v>
      </c>
      <c r="B29" s="78"/>
      <c r="C29" s="79"/>
      <c r="D29" s="79"/>
      <c r="E29" s="79"/>
      <c r="F29" s="79"/>
      <c r="G29" s="79"/>
      <c r="H29" s="80"/>
      <c r="I29" s="45" t="s">
        <v>1394</v>
      </c>
      <c r="J29" s="45" t="s">
        <v>1388</v>
      </c>
      <c r="K29" s="46" t="s">
        <v>660</v>
      </c>
      <c r="L29" s="46" t="s">
        <v>1392</v>
      </c>
      <c r="M29" s="81">
        <f>IFERROR(VLOOKUP($L29,[3]Consolidated!$C$9:$AC$452,27,0),0)</f>
        <v>3962550</v>
      </c>
      <c r="N29" s="81">
        <f>IFERROR(VLOOKUP($L29,[3]Consolidated!$C$9:$AC$452,5,0),0)</f>
        <v>19.999999999999996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4">
        <f>(VLOOKUP($O$2,[4]Prices!$E$3:$K$17,2,FALSE)*O29)+(VLOOKUP($P$2,[4]Prices!$J$3:$K$17,2,FALSE)*P29)+(VLOOKUP($Q$2,[4]Prices!$J$3:$K$17,2,FALSE)*Q29)+(VLOOKUP($R$2,[4]Prices!$J$3:$K$17,2,FALSE)*R29)+(VLOOKUP($S$2,[4]Prices!$J$3:$K$17,2,FALSE)*S29)+(VLOOKUP($T$2,[4]Prices!$J$3:$K$17,2,FALSE)*T29)+(VLOOKUP($U$2,[4]Prices!$J$3:$K$17,2,FALSE)*U29)+(VLOOKUP($V$2,[4]Prices!$J$3:$K$17,2,FALSE)*V29)+(VLOOKUP($W$2,[4]Prices!$J$3:$K$17,2,FALSE)*W29)+(VLOOKUP($X$2,[4]Prices!$J$3:$K$17,2,FALSE)*X29)+(VLOOKUP($Y$2,[4]Prices!$J$3:$K$17,2,FALSE)*Y29)+(VLOOKUP($Z$2,[4]Prices!$J$3:$K$17,2,FALSE)*Z29)+(VLOOKUP($AA$2,[4]Prices!$J$3:$K$17,2,FALSE)*AA29)+(VLOOKUP($AB$2,[4]Prices!$J$3:$K$17,2,FALSE)*AB29)+M29</f>
        <v>3962550</v>
      </c>
      <c r="AD29" s="18"/>
      <c r="AE29" s="18"/>
      <c r="AF29" s="4">
        <f t="shared" si="0"/>
        <v>0</v>
      </c>
      <c r="AG29" s="4"/>
      <c r="AH29" s="16">
        <f t="shared" si="2"/>
        <v>0</v>
      </c>
      <c r="AI29" s="21">
        <f t="shared" si="1"/>
        <v>0</v>
      </c>
      <c r="AJ29" s="20">
        <f t="shared" si="3"/>
        <v>0</v>
      </c>
      <c r="AK29" s="9"/>
    </row>
    <row r="30" spans="1:37" hidden="1">
      <c r="A30" s="77">
        <v>28</v>
      </c>
      <c r="B30" s="78"/>
      <c r="C30" s="79"/>
      <c r="D30" s="79"/>
      <c r="E30" s="79"/>
      <c r="F30" s="79"/>
      <c r="G30" s="79"/>
      <c r="H30" s="80"/>
      <c r="I30" s="45" t="s">
        <v>695</v>
      </c>
      <c r="J30" s="45" t="s">
        <v>1388</v>
      </c>
      <c r="K30" s="46" t="s">
        <v>661</v>
      </c>
      <c r="L30" s="47" t="s">
        <v>986</v>
      </c>
      <c r="M30" s="81">
        <f>IFERROR(VLOOKUP($L30,[3]Consolidated!$C$9:$AC$452,27,0),0)</f>
        <v>18150000</v>
      </c>
      <c r="N30" s="81">
        <f>IFERROR(VLOOKUP($L30,[3]Consolidated!$C$9:$AC$452,5,0),0)</f>
        <v>70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4">
        <f>(VLOOKUP($O$2,[4]Prices!$E$3:$K$17,2,FALSE)*O30)+(VLOOKUP($P$2,[4]Prices!$J$3:$K$17,2,FALSE)*P30)+(VLOOKUP($Q$2,[4]Prices!$J$3:$K$17,2,FALSE)*Q30)+(VLOOKUP($R$2,[4]Prices!$J$3:$K$17,2,FALSE)*R30)+(VLOOKUP($S$2,[4]Prices!$J$3:$K$17,2,FALSE)*S30)+(VLOOKUP($T$2,[4]Prices!$J$3:$K$17,2,FALSE)*T30)+(VLOOKUP($U$2,[4]Prices!$J$3:$K$17,2,FALSE)*U30)+(VLOOKUP($V$2,[4]Prices!$J$3:$K$17,2,FALSE)*V30)+(VLOOKUP($W$2,[4]Prices!$J$3:$K$17,2,FALSE)*W30)+(VLOOKUP($X$2,[4]Prices!$J$3:$K$17,2,FALSE)*X30)+(VLOOKUP($Y$2,[4]Prices!$J$3:$K$17,2,FALSE)*Y30)+(VLOOKUP($Z$2,[4]Prices!$J$3:$K$17,2,FALSE)*Z30)+(VLOOKUP($AA$2,[4]Prices!$J$3:$K$17,2,FALSE)*AA30)+(VLOOKUP($AB$2,[4]Prices!$J$3:$K$17,2,FALSE)*AB30)+M30</f>
        <v>18150000</v>
      </c>
      <c r="AD30" s="18"/>
      <c r="AE30" s="18"/>
      <c r="AF30" s="4">
        <f t="shared" si="0"/>
        <v>0</v>
      </c>
      <c r="AG30" s="4"/>
      <c r="AH30" s="16">
        <f t="shared" si="2"/>
        <v>0</v>
      </c>
      <c r="AI30" s="21">
        <f t="shared" si="1"/>
        <v>0</v>
      </c>
      <c r="AJ30" s="20">
        <f t="shared" si="3"/>
        <v>0</v>
      </c>
      <c r="AK30" s="9"/>
    </row>
    <row r="31" spans="1:37" hidden="1">
      <c r="A31" s="77">
        <v>29</v>
      </c>
      <c r="B31" s="78"/>
      <c r="C31" s="79"/>
      <c r="D31" s="79"/>
      <c r="E31" s="79"/>
      <c r="F31" s="79"/>
      <c r="G31" s="79">
        <f>SUM(G3:G30)</f>
        <v>0</v>
      </c>
      <c r="H31" s="80"/>
      <c r="I31" s="45" t="s">
        <v>696</v>
      </c>
      <c r="J31" s="45" t="s">
        <v>1388</v>
      </c>
      <c r="K31" s="46" t="s">
        <v>661</v>
      </c>
      <c r="L31" s="47" t="s">
        <v>987</v>
      </c>
      <c r="M31" s="81">
        <f>IFERROR(VLOOKUP($L31,[3]Consolidated!$C$9:$AC$452,27,0),0)</f>
        <v>22567000</v>
      </c>
      <c r="N31" s="81">
        <f>IFERROR(VLOOKUP($L31,[3]Consolidated!$C$9:$AC$452,5,0),0)</f>
        <v>105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4">
        <f>(VLOOKUP($O$2,[4]Prices!$E$3:$K$17,2,FALSE)*O31)+(VLOOKUP($P$2,[4]Prices!$J$3:$K$17,2,FALSE)*P31)+(VLOOKUP($Q$2,[4]Prices!$J$3:$K$17,2,FALSE)*Q31)+(VLOOKUP($R$2,[4]Prices!$J$3:$K$17,2,FALSE)*R31)+(VLOOKUP($S$2,[4]Prices!$J$3:$K$17,2,FALSE)*S31)+(VLOOKUP($T$2,[4]Prices!$J$3:$K$17,2,FALSE)*T31)+(VLOOKUP($U$2,[4]Prices!$J$3:$K$17,2,FALSE)*U31)+(VLOOKUP($V$2,[4]Prices!$J$3:$K$17,2,FALSE)*V31)+(VLOOKUP($W$2,[4]Prices!$J$3:$K$17,2,FALSE)*W31)+(VLOOKUP($X$2,[4]Prices!$J$3:$K$17,2,FALSE)*X31)+(VLOOKUP($Y$2,[4]Prices!$J$3:$K$17,2,FALSE)*Y31)+(VLOOKUP($Z$2,[4]Prices!$J$3:$K$17,2,FALSE)*Z31)+(VLOOKUP($AA$2,[4]Prices!$J$3:$K$17,2,FALSE)*AA31)+(VLOOKUP($AB$2,[4]Prices!$J$3:$K$17,2,FALSE)*AB31)+M31</f>
        <v>22567000</v>
      </c>
      <c r="AD31" s="18"/>
      <c r="AE31" s="18"/>
      <c r="AF31" s="4">
        <f t="shared" si="0"/>
        <v>0</v>
      </c>
      <c r="AG31" s="4"/>
      <c r="AH31" s="16">
        <f t="shared" si="2"/>
        <v>0</v>
      </c>
      <c r="AI31" s="21">
        <f t="shared" si="1"/>
        <v>0</v>
      </c>
      <c r="AJ31" s="20">
        <f t="shared" si="3"/>
        <v>0</v>
      </c>
      <c r="AK31" s="9"/>
    </row>
    <row r="32" spans="1:37" hidden="1">
      <c r="A32" s="77">
        <v>30</v>
      </c>
      <c r="B32" s="78"/>
      <c r="C32" s="79"/>
      <c r="D32" s="79"/>
      <c r="E32" s="79"/>
      <c r="F32" s="79"/>
      <c r="G32" s="79"/>
      <c r="H32" s="80"/>
      <c r="I32" s="45" t="s">
        <v>697</v>
      </c>
      <c r="J32" s="45" t="s">
        <v>1388</v>
      </c>
      <c r="K32" s="46" t="s">
        <v>661</v>
      </c>
      <c r="L32" s="47" t="s">
        <v>988</v>
      </c>
      <c r="M32" s="81">
        <f>IFERROR(VLOOKUP($L32,[3]Consolidated!$C$9:$AC$452,27,0),0)</f>
        <v>2091000</v>
      </c>
      <c r="N32" s="81">
        <f>IFERROR(VLOOKUP($L32,[3]Consolidated!$C$9:$AC$452,5,0),0)</f>
        <v>10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4">
        <f>(VLOOKUP($O$2,[4]Prices!$E$3:$K$17,2,FALSE)*O32)+(VLOOKUP($P$2,[4]Prices!$J$3:$K$17,2,FALSE)*P32)+(VLOOKUP($Q$2,[4]Prices!$J$3:$K$17,2,FALSE)*Q32)+(VLOOKUP($R$2,[4]Prices!$J$3:$K$17,2,FALSE)*R32)+(VLOOKUP($S$2,[4]Prices!$J$3:$K$17,2,FALSE)*S32)+(VLOOKUP($T$2,[4]Prices!$J$3:$K$17,2,FALSE)*T32)+(VLOOKUP($U$2,[4]Prices!$J$3:$K$17,2,FALSE)*U32)+(VLOOKUP($V$2,[4]Prices!$J$3:$K$17,2,FALSE)*V32)+(VLOOKUP($W$2,[4]Prices!$J$3:$K$17,2,FALSE)*W32)+(VLOOKUP($X$2,[4]Prices!$J$3:$K$17,2,FALSE)*X32)+(VLOOKUP($Y$2,[4]Prices!$J$3:$K$17,2,FALSE)*Y32)+(VLOOKUP($Z$2,[4]Prices!$J$3:$K$17,2,FALSE)*Z32)+(VLOOKUP($AA$2,[4]Prices!$J$3:$K$17,2,FALSE)*AA32)+(VLOOKUP($AB$2,[4]Prices!$J$3:$K$17,2,FALSE)*AB32)+M32</f>
        <v>2091000</v>
      </c>
      <c r="AD32" s="18"/>
      <c r="AE32" s="18"/>
      <c r="AF32" s="4">
        <f t="shared" si="0"/>
        <v>0</v>
      </c>
      <c r="AG32" s="4"/>
      <c r="AH32" s="16">
        <f t="shared" si="2"/>
        <v>0</v>
      </c>
      <c r="AI32" s="21">
        <f t="shared" si="1"/>
        <v>0</v>
      </c>
      <c r="AJ32" s="20">
        <f t="shared" si="3"/>
        <v>0</v>
      </c>
      <c r="AK32" s="9"/>
    </row>
    <row r="33" spans="1:37" hidden="1">
      <c r="A33" s="77">
        <v>31</v>
      </c>
      <c r="B33" s="78"/>
      <c r="C33" s="79"/>
      <c r="D33" s="79"/>
      <c r="E33" s="79"/>
      <c r="F33" s="79"/>
      <c r="G33" s="79"/>
      <c r="H33" s="80"/>
      <c r="I33" s="45" t="s">
        <v>698</v>
      </c>
      <c r="J33" s="45" t="s">
        <v>1388</v>
      </c>
      <c r="K33" s="46" t="s">
        <v>661</v>
      </c>
      <c r="L33" s="47" t="s">
        <v>989</v>
      </c>
      <c r="M33" s="81">
        <f>IFERROR(VLOOKUP($L33,[3]Consolidated!$C$9:$AC$452,27,0),0)</f>
        <v>6180750</v>
      </c>
      <c r="N33" s="81">
        <f>IFERROR(VLOOKUP($L33,[3]Consolidated!$C$9:$AC$452,5,0),0)</f>
        <v>35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4">
        <f>(VLOOKUP($O$2,[4]Prices!$E$3:$K$17,2,FALSE)*O33)+(VLOOKUP($P$2,[4]Prices!$J$3:$K$17,2,FALSE)*P33)+(VLOOKUP($Q$2,[4]Prices!$J$3:$K$17,2,FALSE)*Q33)+(VLOOKUP($R$2,[4]Prices!$J$3:$K$17,2,FALSE)*R33)+(VLOOKUP($S$2,[4]Prices!$J$3:$K$17,2,FALSE)*S33)+(VLOOKUP($T$2,[4]Prices!$J$3:$K$17,2,FALSE)*T33)+(VLOOKUP($U$2,[4]Prices!$J$3:$K$17,2,FALSE)*U33)+(VLOOKUP($V$2,[4]Prices!$J$3:$K$17,2,FALSE)*V33)+(VLOOKUP($W$2,[4]Prices!$J$3:$K$17,2,FALSE)*W33)+(VLOOKUP($X$2,[4]Prices!$J$3:$K$17,2,FALSE)*X33)+(VLOOKUP($Y$2,[4]Prices!$J$3:$K$17,2,FALSE)*Y33)+(VLOOKUP($Z$2,[4]Prices!$J$3:$K$17,2,FALSE)*Z33)+(VLOOKUP($AA$2,[4]Prices!$J$3:$K$17,2,FALSE)*AA33)+(VLOOKUP($AB$2,[4]Prices!$J$3:$K$17,2,FALSE)*AB33)+M33</f>
        <v>6180750</v>
      </c>
      <c r="AD33" s="18"/>
      <c r="AE33" s="18"/>
      <c r="AF33" s="4">
        <f t="shared" si="0"/>
        <v>0</v>
      </c>
      <c r="AG33" s="4"/>
      <c r="AH33" s="16">
        <f t="shared" si="2"/>
        <v>0</v>
      </c>
      <c r="AI33" s="21">
        <f t="shared" si="1"/>
        <v>0</v>
      </c>
      <c r="AJ33" s="20">
        <f t="shared" si="3"/>
        <v>0</v>
      </c>
      <c r="AK33" s="9"/>
    </row>
    <row r="34" spans="1:37" hidden="1">
      <c r="A34" s="77">
        <v>32</v>
      </c>
      <c r="B34" s="78"/>
      <c r="C34" s="79"/>
      <c r="D34" s="79"/>
      <c r="E34" s="79"/>
      <c r="F34" s="79"/>
      <c r="G34" s="79"/>
      <c r="H34" s="80"/>
      <c r="I34" s="45" t="s">
        <v>699</v>
      </c>
      <c r="J34" s="45" t="s">
        <v>1388</v>
      </c>
      <c r="K34" s="46" t="s">
        <v>661</v>
      </c>
      <c r="L34" s="47" t="s">
        <v>990</v>
      </c>
      <c r="M34" s="81">
        <f>IFERROR(VLOOKUP($L34,[3]Consolidated!$C$9:$AC$452,27,0),0)</f>
        <v>1678500</v>
      </c>
      <c r="N34" s="81">
        <f>IFERROR(VLOOKUP($L34,[3]Consolidated!$C$9:$AC$452,5,0),0)</f>
        <v>10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4">
        <f>(VLOOKUP($O$2,[4]Prices!$E$3:$K$17,2,FALSE)*O34)+(VLOOKUP($P$2,[4]Prices!$J$3:$K$17,2,FALSE)*P34)+(VLOOKUP($Q$2,[4]Prices!$J$3:$K$17,2,FALSE)*Q34)+(VLOOKUP($R$2,[4]Prices!$J$3:$K$17,2,FALSE)*R34)+(VLOOKUP($S$2,[4]Prices!$J$3:$K$17,2,FALSE)*S34)+(VLOOKUP($T$2,[4]Prices!$J$3:$K$17,2,FALSE)*T34)+(VLOOKUP($U$2,[4]Prices!$J$3:$K$17,2,FALSE)*U34)+(VLOOKUP($V$2,[4]Prices!$J$3:$K$17,2,FALSE)*V34)+(VLOOKUP($W$2,[4]Prices!$J$3:$K$17,2,FALSE)*W34)+(VLOOKUP($X$2,[4]Prices!$J$3:$K$17,2,FALSE)*X34)+(VLOOKUP($Y$2,[4]Prices!$J$3:$K$17,2,FALSE)*Y34)+(VLOOKUP($Z$2,[4]Prices!$J$3:$K$17,2,FALSE)*Z34)+(VLOOKUP($AA$2,[4]Prices!$J$3:$K$17,2,FALSE)*AA34)+(VLOOKUP($AB$2,[4]Prices!$J$3:$K$17,2,FALSE)*AB34)+M34</f>
        <v>1678500</v>
      </c>
      <c r="AD34" s="18"/>
      <c r="AE34" s="18"/>
      <c r="AF34" s="4">
        <f t="shared" si="0"/>
        <v>0</v>
      </c>
      <c r="AG34" s="4"/>
      <c r="AH34" s="16">
        <f t="shared" si="2"/>
        <v>0</v>
      </c>
      <c r="AI34" s="21">
        <f t="shared" si="1"/>
        <v>0</v>
      </c>
      <c r="AJ34" s="20">
        <f t="shared" si="3"/>
        <v>0</v>
      </c>
      <c r="AK34" s="9"/>
    </row>
    <row r="35" spans="1:37" hidden="1">
      <c r="A35" s="77">
        <v>33</v>
      </c>
      <c r="B35" s="78"/>
      <c r="C35" s="79"/>
      <c r="D35" s="79"/>
      <c r="E35" s="79"/>
      <c r="F35" s="79"/>
      <c r="G35" s="79"/>
      <c r="H35" s="80"/>
      <c r="I35" s="45" t="s">
        <v>700</v>
      </c>
      <c r="J35" s="45" t="s">
        <v>1388</v>
      </c>
      <c r="K35" s="46" t="s">
        <v>661</v>
      </c>
      <c r="L35" s="47" t="s">
        <v>991</v>
      </c>
      <c r="M35" s="81">
        <f>IFERROR(VLOOKUP($L35,[3]Consolidated!$C$9:$AC$452,27,0),0)</f>
        <v>7878000</v>
      </c>
      <c r="N35" s="81">
        <f>IFERROR(VLOOKUP($L35,[3]Consolidated!$C$9:$AC$452,5,0),0)</f>
        <v>40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4">
        <f>(VLOOKUP($O$2,[4]Prices!$E$3:$K$17,2,FALSE)*O35)+(VLOOKUP($P$2,[4]Prices!$J$3:$K$17,2,FALSE)*P35)+(VLOOKUP($Q$2,[4]Prices!$J$3:$K$17,2,FALSE)*Q35)+(VLOOKUP($R$2,[4]Prices!$J$3:$K$17,2,FALSE)*R35)+(VLOOKUP($S$2,[4]Prices!$J$3:$K$17,2,FALSE)*S35)+(VLOOKUP($T$2,[4]Prices!$J$3:$K$17,2,FALSE)*T35)+(VLOOKUP($U$2,[4]Prices!$J$3:$K$17,2,FALSE)*U35)+(VLOOKUP($V$2,[4]Prices!$J$3:$K$17,2,FALSE)*V35)+(VLOOKUP($W$2,[4]Prices!$J$3:$K$17,2,FALSE)*W35)+(VLOOKUP($X$2,[4]Prices!$J$3:$K$17,2,FALSE)*X35)+(VLOOKUP($Y$2,[4]Prices!$J$3:$K$17,2,FALSE)*Y35)+(VLOOKUP($Z$2,[4]Prices!$J$3:$K$17,2,FALSE)*Z35)+(VLOOKUP($AA$2,[4]Prices!$J$3:$K$17,2,FALSE)*AA35)+(VLOOKUP($AB$2,[4]Prices!$J$3:$K$17,2,FALSE)*AB35)+M35</f>
        <v>7878000</v>
      </c>
      <c r="AD35" s="18"/>
      <c r="AE35" s="18"/>
      <c r="AF35" s="4">
        <f t="shared" si="0"/>
        <v>0</v>
      </c>
      <c r="AG35" s="4"/>
      <c r="AH35" s="16">
        <f t="shared" si="2"/>
        <v>0</v>
      </c>
      <c r="AI35" s="21">
        <f t="shared" si="1"/>
        <v>0</v>
      </c>
      <c r="AJ35" s="20">
        <f t="shared" si="3"/>
        <v>0</v>
      </c>
      <c r="AK35" s="9"/>
    </row>
    <row r="36" spans="1:37" hidden="1">
      <c r="A36" s="77">
        <v>34</v>
      </c>
      <c r="B36" s="78"/>
      <c r="C36" s="79"/>
      <c r="D36" s="79"/>
      <c r="E36" s="79"/>
      <c r="F36" s="79"/>
      <c r="G36" s="79"/>
      <c r="H36" s="80"/>
      <c r="I36" s="45" t="s">
        <v>701</v>
      </c>
      <c r="J36" s="45" t="s">
        <v>1388</v>
      </c>
      <c r="K36" s="46" t="s">
        <v>661</v>
      </c>
      <c r="L36" s="47" t="s">
        <v>992</v>
      </c>
      <c r="M36" s="81">
        <f>IFERROR(VLOOKUP($L36,[3]Consolidated!$C$9:$AC$452,27,0),0)</f>
        <v>7508500</v>
      </c>
      <c r="N36" s="81">
        <f>IFERROR(VLOOKUP($L36,[3]Consolidated!$C$9:$AC$452,5,0),0)</f>
        <v>35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4">
        <f>(VLOOKUP($O$2,[4]Prices!$E$3:$K$17,2,FALSE)*O36)+(VLOOKUP($P$2,[4]Prices!$J$3:$K$17,2,FALSE)*P36)+(VLOOKUP($Q$2,[4]Prices!$J$3:$K$17,2,FALSE)*Q36)+(VLOOKUP($R$2,[4]Prices!$J$3:$K$17,2,FALSE)*R36)+(VLOOKUP($S$2,[4]Prices!$J$3:$K$17,2,FALSE)*S36)+(VLOOKUP($T$2,[4]Prices!$J$3:$K$17,2,FALSE)*T36)+(VLOOKUP($U$2,[4]Prices!$J$3:$K$17,2,FALSE)*U36)+(VLOOKUP($V$2,[4]Prices!$J$3:$K$17,2,FALSE)*V36)+(VLOOKUP($W$2,[4]Prices!$J$3:$K$17,2,FALSE)*W36)+(VLOOKUP($X$2,[4]Prices!$J$3:$K$17,2,FALSE)*X36)+(VLOOKUP($Y$2,[4]Prices!$J$3:$K$17,2,FALSE)*Y36)+(VLOOKUP($Z$2,[4]Prices!$J$3:$K$17,2,FALSE)*Z36)+(VLOOKUP($AA$2,[4]Prices!$J$3:$K$17,2,FALSE)*AA36)+(VLOOKUP($AB$2,[4]Prices!$J$3:$K$17,2,FALSE)*AB36)+M36</f>
        <v>7508500</v>
      </c>
      <c r="AD36" s="18"/>
      <c r="AE36" s="18"/>
      <c r="AF36" s="4">
        <f t="shared" si="0"/>
        <v>0</v>
      </c>
      <c r="AG36" s="4"/>
      <c r="AH36" s="16">
        <f t="shared" si="2"/>
        <v>0</v>
      </c>
      <c r="AI36" s="21">
        <f t="shared" si="1"/>
        <v>0</v>
      </c>
      <c r="AJ36" s="20">
        <f t="shared" si="3"/>
        <v>0</v>
      </c>
      <c r="AK36" s="9"/>
    </row>
    <row r="37" spans="1:37" hidden="1">
      <c r="A37" s="77">
        <v>35</v>
      </c>
      <c r="B37" s="78"/>
      <c r="C37" s="79"/>
      <c r="D37" s="79"/>
      <c r="E37" s="79"/>
      <c r="F37" s="79"/>
      <c r="G37" s="79"/>
      <c r="H37" s="80"/>
      <c r="I37" s="45" t="s">
        <v>702</v>
      </c>
      <c r="J37" s="45" t="s">
        <v>1388</v>
      </c>
      <c r="K37" s="46" t="s">
        <v>661</v>
      </c>
      <c r="L37" s="47" t="s">
        <v>993</v>
      </c>
      <c r="M37" s="81">
        <f>IFERROR(VLOOKUP($L37,[3]Consolidated!$C$9:$AC$452,27,0),0)</f>
        <v>2060000</v>
      </c>
      <c r="N37" s="81">
        <f>IFERROR(VLOOKUP($L37,[3]Consolidated!$C$9:$AC$452,5,0),0)</f>
        <v>10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4">
        <f>(VLOOKUP($O$2,[4]Prices!$E$3:$K$17,2,FALSE)*O37)+(VLOOKUP($P$2,[4]Prices!$J$3:$K$17,2,FALSE)*P37)+(VLOOKUP($Q$2,[4]Prices!$J$3:$K$17,2,FALSE)*Q37)+(VLOOKUP($R$2,[4]Prices!$J$3:$K$17,2,FALSE)*R37)+(VLOOKUP($S$2,[4]Prices!$J$3:$K$17,2,FALSE)*S37)+(VLOOKUP($T$2,[4]Prices!$J$3:$K$17,2,FALSE)*T37)+(VLOOKUP($U$2,[4]Prices!$J$3:$K$17,2,FALSE)*U37)+(VLOOKUP($V$2,[4]Prices!$J$3:$K$17,2,FALSE)*V37)+(VLOOKUP($W$2,[4]Prices!$J$3:$K$17,2,FALSE)*W37)+(VLOOKUP($X$2,[4]Prices!$J$3:$K$17,2,FALSE)*X37)+(VLOOKUP($Y$2,[4]Prices!$J$3:$K$17,2,FALSE)*Y37)+(VLOOKUP($Z$2,[4]Prices!$J$3:$K$17,2,FALSE)*Z37)+(VLOOKUP($AA$2,[4]Prices!$J$3:$K$17,2,FALSE)*AA37)+(VLOOKUP($AB$2,[4]Prices!$J$3:$K$17,2,FALSE)*AB37)+M37</f>
        <v>2060000</v>
      </c>
      <c r="AD37" s="18"/>
      <c r="AE37" s="18"/>
      <c r="AF37" s="4">
        <f t="shared" si="0"/>
        <v>0</v>
      </c>
      <c r="AG37" s="4"/>
      <c r="AH37" s="16">
        <f t="shared" si="2"/>
        <v>0</v>
      </c>
      <c r="AI37" s="21">
        <f t="shared" si="1"/>
        <v>0</v>
      </c>
      <c r="AJ37" s="20">
        <f t="shared" si="3"/>
        <v>0</v>
      </c>
      <c r="AK37" s="9"/>
    </row>
    <row r="38" spans="1:37" hidden="1">
      <c r="A38" s="77">
        <v>36</v>
      </c>
      <c r="B38" s="78"/>
      <c r="C38" s="79"/>
      <c r="D38" s="79"/>
      <c r="E38" s="79"/>
      <c r="F38" s="79"/>
      <c r="G38" s="79"/>
      <c r="H38" s="80"/>
      <c r="I38" s="45" t="s">
        <v>1501</v>
      </c>
      <c r="J38" s="45" t="s">
        <v>1388</v>
      </c>
      <c r="K38" s="46" t="s">
        <v>661</v>
      </c>
      <c r="L38" s="46" t="s">
        <v>1500</v>
      </c>
      <c r="M38" s="81">
        <f>IFERROR(VLOOKUP($L38,[3]Consolidated!$C$9:$AC$452,27,0),0)</f>
        <v>9059500</v>
      </c>
      <c r="N38" s="81">
        <f>IFERROR(VLOOKUP($L38,[3]Consolidated!$C$9:$AC$452,5,0),0)</f>
        <v>35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4">
        <f>(VLOOKUP($O$2,[4]Prices!$E$3:$K$17,2,FALSE)*O38)+(VLOOKUP($P$2,[4]Prices!$J$3:$K$17,2,FALSE)*P38)+(VLOOKUP($Q$2,[4]Prices!$J$3:$K$17,2,FALSE)*Q38)+(VLOOKUP($R$2,[4]Prices!$J$3:$K$17,2,FALSE)*R38)+(VLOOKUP($S$2,[4]Prices!$J$3:$K$17,2,FALSE)*S38)+(VLOOKUP($T$2,[4]Prices!$J$3:$K$17,2,FALSE)*T38)+(VLOOKUP($U$2,[4]Prices!$J$3:$K$17,2,FALSE)*U38)+(VLOOKUP($V$2,[4]Prices!$J$3:$K$17,2,FALSE)*V38)+(VLOOKUP($W$2,[4]Prices!$J$3:$K$17,2,FALSE)*W38)+(VLOOKUP($X$2,[4]Prices!$J$3:$K$17,2,FALSE)*X38)+(VLOOKUP($Y$2,[4]Prices!$J$3:$K$17,2,FALSE)*Y38)+(VLOOKUP($Z$2,[4]Prices!$J$3:$K$17,2,FALSE)*Z38)+(VLOOKUP($AA$2,[4]Prices!$J$3:$K$17,2,FALSE)*AA38)+(VLOOKUP($AB$2,[4]Prices!$J$3:$K$17,2,FALSE)*AB38)+M38</f>
        <v>9059500</v>
      </c>
      <c r="AD38" s="18"/>
      <c r="AE38" s="18"/>
      <c r="AF38" s="4">
        <f t="shared" si="0"/>
        <v>0</v>
      </c>
      <c r="AG38" s="4"/>
      <c r="AH38" s="16">
        <f t="shared" si="2"/>
        <v>0</v>
      </c>
      <c r="AI38" s="21">
        <f t="shared" si="1"/>
        <v>0</v>
      </c>
      <c r="AJ38" s="20">
        <f t="shared" si="3"/>
        <v>0</v>
      </c>
      <c r="AK38" s="19"/>
    </row>
    <row r="39" spans="1:37" hidden="1">
      <c r="A39" s="77">
        <v>37</v>
      </c>
      <c r="B39" s="78"/>
      <c r="C39" s="79"/>
      <c r="D39" s="79"/>
      <c r="E39" s="79"/>
      <c r="F39" s="79"/>
      <c r="G39" s="79"/>
      <c r="H39" s="80"/>
      <c r="I39" s="45" t="s">
        <v>703</v>
      </c>
      <c r="J39" s="45" t="s">
        <v>1388</v>
      </c>
      <c r="K39" s="46" t="s">
        <v>661</v>
      </c>
      <c r="L39" s="47" t="s">
        <v>994</v>
      </c>
      <c r="M39" s="81">
        <f>IFERROR(VLOOKUP($L39,[3]Consolidated!$C$9:$AC$452,27,0),0)</f>
        <v>8251000</v>
      </c>
      <c r="N39" s="81">
        <f>IFERROR(VLOOKUP($L39,[3]Consolidated!$C$9:$AC$452,5,0),0)</f>
        <v>40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4">
        <f>(VLOOKUP($O$2,[4]Prices!$E$3:$K$17,2,FALSE)*O39)+(VLOOKUP($P$2,[4]Prices!$J$3:$K$17,2,FALSE)*P39)+(VLOOKUP($Q$2,[4]Prices!$J$3:$K$17,2,FALSE)*Q39)+(VLOOKUP($R$2,[4]Prices!$J$3:$K$17,2,FALSE)*R39)+(VLOOKUP($S$2,[4]Prices!$J$3:$K$17,2,FALSE)*S39)+(VLOOKUP($T$2,[4]Prices!$J$3:$K$17,2,FALSE)*T39)+(VLOOKUP($U$2,[4]Prices!$J$3:$K$17,2,FALSE)*U39)+(VLOOKUP($V$2,[4]Prices!$J$3:$K$17,2,FALSE)*V39)+(VLOOKUP($W$2,[4]Prices!$J$3:$K$17,2,FALSE)*W39)+(VLOOKUP($X$2,[4]Prices!$J$3:$K$17,2,FALSE)*X39)+(VLOOKUP($Y$2,[4]Prices!$J$3:$K$17,2,FALSE)*Y39)+(VLOOKUP($Z$2,[4]Prices!$J$3:$K$17,2,FALSE)*Z39)+(VLOOKUP($AA$2,[4]Prices!$J$3:$K$17,2,FALSE)*AA39)+(VLOOKUP($AB$2,[4]Prices!$J$3:$K$17,2,FALSE)*AB39)+M39</f>
        <v>8251000</v>
      </c>
      <c r="AD39" s="18"/>
      <c r="AE39" s="18"/>
      <c r="AF39" s="4">
        <f t="shared" si="0"/>
        <v>0</v>
      </c>
      <c r="AG39" s="4"/>
      <c r="AH39" s="16">
        <f t="shared" si="2"/>
        <v>0</v>
      </c>
      <c r="AI39" s="21">
        <f t="shared" si="1"/>
        <v>0</v>
      </c>
      <c r="AJ39" s="20">
        <f t="shared" si="3"/>
        <v>0</v>
      </c>
      <c r="AK39" s="9"/>
    </row>
    <row r="40" spans="1:37" hidden="1">
      <c r="A40" s="77">
        <v>38</v>
      </c>
      <c r="B40" s="78"/>
      <c r="C40" s="79"/>
      <c r="D40" s="79"/>
      <c r="E40" s="79"/>
      <c r="F40" s="79"/>
      <c r="G40" s="79"/>
      <c r="H40" s="80"/>
      <c r="I40" s="45" t="s">
        <v>704</v>
      </c>
      <c r="J40" s="45" t="s">
        <v>1388</v>
      </c>
      <c r="K40" s="46" t="s">
        <v>661</v>
      </c>
      <c r="L40" s="47" t="s">
        <v>995</v>
      </c>
      <c r="M40" s="81">
        <f>IFERROR(VLOOKUP($L40,[3]Consolidated!$C$9:$AC$452,27,0),0)</f>
        <v>15659000</v>
      </c>
      <c r="N40" s="81">
        <f>IFERROR(VLOOKUP($L40,[3]Consolidated!$C$9:$AC$452,5,0),0)</f>
        <v>60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4">
        <f>(VLOOKUP($O$2,[4]Prices!$E$3:$K$17,2,FALSE)*O40)+(VLOOKUP($P$2,[4]Prices!$J$3:$K$17,2,FALSE)*P40)+(VLOOKUP($Q$2,[4]Prices!$J$3:$K$17,2,FALSE)*Q40)+(VLOOKUP($R$2,[4]Prices!$J$3:$K$17,2,FALSE)*R40)+(VLOOKUP($S$2,[4]Prices!$J$3:$K$17,2,FALSE)*S40)+(VLOOKUP($T$2,[4]Prices!$J$3:$K$17,2,FALSE)*T40)+(VLOOKUP($U$2,[4]Prices!$J$3:$K$17,2,FALSE)*U40)+(VLOOKUP($V$2,[4]Prices!$J$3:$K$17,2,FALSE)*V40)+(VLOOKUP($W$2,[4]Prices!$J$3:$K$17,2,FALSE)*W40)+(VLOOKUP($X$2,[4]Prices!$J$3:$K$17,2,FALSE)*X40)+(VLOOKUP($Y$2,[4]Prices!$J$3:$K$17,2,FALSE)*Y40)+(VLOOKUP($Z$2,[4]Prices!$J$3:$K$17,2,FALSE)*Z40)+(VLOOKUP($AA$2,[4]Prices!$J$3:$K$17,2,FALSE)*AA40)+(VLOOKUP($AB$2,[4]Prices!$J$3:$K$17,2,FALSE)*AB40)+M40</f>
        <v>15659000</v>
      </c>
      <c r="AD40" s="18"/>
      <c r="AE40" s="18"/>
      <c r="AF40" s="4">
        <f t="shared" si="0"/>
        <v>0</v>
      </c>
      <c r="AG40" s="4"/>
      <c r="AH40" s="16">
        <f t="shared" si="2"/>
        <v>0</v>
      </c>
      <c r="AI40" s="21">
        <f t="shared" si="1"/>
        <v>0</v>
      </c>
      <c r="AJ40" s="20">
        <f t="shared" si="3"/>
        <v>0</v>
      </c>
      <c r="AK40" s="9"/>
    </row>
    <row r="41" spans="1:37" hidden="1">
      <c r="A41" s="77">
        <v>39</v>
      </c>
      <c r="B41" s="78"/>
      <c r="C41" s="79"/>
      <c r="D41" s="79"/>
      <c r="E41" s="79"/>
      <c r="F41" s="79"/>
      <c r="G41" s="79"/>
      <c r="H41" s="80"/>
      <c r="I41" s="45" t="s">
        <v>705</v>
      </c>
      <c r="J41" s="45" t="s">
        <v>1388</v>
      </c>
      <c r="K41" s="46" t="s">
        <v>661</v>
      </c>
      <c r="L41" s="47" t="s">
        <v>996</v>
      </c>
      <c r="M41" s="81">
        <f>IFERROR(VLOOKUP($L41,[3]Consolidated!$C$9:$AC$452,27,0),0)</f>
        <v>2615000</v>
      </c>
      <c r="N41" s="81">
        <f>IFERROR(VLOOKUP($L41,[3]Consolidated!$C$9:$AC$452,5,0),0)</f>
        <v>10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4">
        <f>(VLOOKUP($O$2,[4]Prices!$E$3:$K$17,2,FALSE)*O41)+(VLOOKUP($P$2,[4]Prices!$J$3:$K$17,2,FALSE)*P41)+(VLOOKUP($Q$2,[4]Prices!$J$3:$K$17,2,FALSE)*Q41)+(VLOOKUP($R$2,[4]Prices!$J$3:$K$17,2,FALSE)*R41)+(VLOOKUP($S$2,[4]Prices!$J$3:$K$17,2,FALSE)*S41)+(VLOOKUP($T$2,[4]Prices!$J$3:$K$17,2,FALSE)*T41)+(VLOOKUP($U$2,[4]Prices!$J$3:$K$17,2,FALSE)*U41)+(VLOOKUP($V$2,[4]Prices!$J$3:$K$17,2,FALSE)*V41)+(VLOOKUP($W$2,[4]Prices!$J$3:$K$17,2,FALSE)*W41)+(VLOOKUP($X$2,[4]Prices!$J$3:$K$17,2,FALSE)*X41)+(VLOOKUP($Y$2,[4]Prices!$J$3:$K$17,2,FALSE)*Y41)+(VLOOKUP($Z$2,[4]Prices!$J$3:$K$17,2,FALSE)*Z41)+(VLOOKUP($AA$2,[4]Prices!$J$3:$K$17,2,FALSE)*AA41)+(VLOOKUP($AB$2,[4]Prices!$J$3:$K$17,2,FALSE)*AB41)+M41</f>
        <v>2615000</v>
      </c>
      <c r="AD41" s="18"/>
      <c r="AE41" s="18"/>
      <c r="AF41" s="4">
        <f t="shared" si="0"/>
        <v>0</v>
      </c>
      <c r="AG41" s="4"/>
      <c r="AH41" s="16">
        <f t="shared" si="2"/>
        <v>0</v>
      </c>
      <c r="AI41" s="21">
        <f t="shared" si="1"/>
        <v>0</v>
      </c>
      <c r="AJ41" s="20">
        <f t="shared" si="3"/>
        <v>0</v>
      </c>
      <c r="AK41" s="9"/>
    </row>
    <row r="42" spans="1:37" hidden="1">
      <c r="A42" s="77">
        <v>40</v>
      </c>
      <c r="B42" s="78"/>
      <c r="C42" s="79"/>
      <c r="D42" s="79"/>
      <c r="E42" s="79"/>
      <c r="F42" s="79"/>
      <c r="G42" s="79"/>
      <c r="H42" s="80"/>
      <c r="I42" s="45" t="s">
        <v>1361</v>
      </c>
      <c r="J42" s="45" t="s">
        <v>1388</v>
      </c>
      <c r="K42" s="46" t="s">
        <v>661</v>
      </c>
      <c r="L42" s="47" t="s">
        <v>1368</v>
      </c>
      <c r="M42" s="81">
        <f>IFERROR(VLOOKUP($L42,[3]Consolidated!$C$9:$AC$452,27,0),0)</f>
        <v>1838500</v>
      </c>
      <c r="N42" s="81">
        <f>IFERROR(VLOOKUP($L42,[3]Consolidated!$C$9:$AC$452,5,0),0)</f>
        <v>10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4">
        <f>(VLOOKUP($O$2,[4]Prices!$E$3:$K$17,2,FALSE)*O42)+(VLOOKUP($P$2,[4]Prices!$J$3:$K$17,2,FALSE)*P42)+(VLOOKUP($Q$2,[4]Prices!$J$3:$K$17,2,FALSE)*Q42)+(VLOOKUP($R$2,[4]Prices!$J$3:$K$17,2,FALSE)*R42)+(VLOOKUP($S$2,[4]Prices!$J$3:$K$17,2,FALSE)*S42)+(VLOOKUP($T$2,[4]Prices!$J$3:$K$17,2,FALSE)*T42)+(VLOOKUP($U$2,[4]Prices!$J$3:$K$17,2,FALSE)*U42)+(VLOOKUP($V$2,[4]Prices!$J$3:$K$17,2,FALSE)*V42)+(VLOOKUP($W$2,[4]Prices!$J$3:$K$17,2,FALSE)*W42)+(VLOOKUP($X$2,[4]Prices!$J$3:$K$17,2,FALSE)*X42)+(VLOOKUP($Y$2,[4]Prices!$J$3:$K$17,2,FALSE)*Y42)+(VLOOKUP($Z$2,[4]Prices!$J$3:$K$17,2,FALSE)*Z42)+(VLOOKUP($AA$2,[4]Prices!$J$3:$K$17,2,FALSE)*AA42)+(VLOOKUP($AB$2,[4]Prices!$J$3:$K$17,2,FALSE)*AB42)+M42</f>
        <v>1838500</v>
      </c>
      <c r="AD42" s="18"/>
      <c r="AE42" s="18"/>
      <c r="AF42" s="4">
        <f t="shared" si="0"/>
        <v>0</v>
      </c>
      <c r="AG42" s="4"/>
      <c r="AH42" s="16">
        <f t="shared" si="2"/>
        <v>0</v>
      </c>
      <c r="AI42" s="21">
        <f t="shared" si="1"/>
        <v>0</v>
      </c>
      <c r="AJ42" s="20">
        <f t="shared" si="3"/>
        <v>0</v>
      </c>
      <c r="AK42" s="9"/>
    </row>
    <row r="43" spans="1:37" hidden="1">
      <c r="A43" s="77">
        <v>41</v>
      </c>
      <c r="B43" s="78"/>
      <c r="C43" s="79"/>
      <c r="D43" s="79"/>
      <c r="E43" s="79"/>
      <c r="F43" s="79"/>
      <c r="G43" s="79"/>
      <c r="H43" s="80"/>
      <c r="I43" s="45" t="s">
        <v>1347</v>
      </c>
      <c r="J43" s="45" t="s">
        <v>1388</v>
      </c>
      <c r="K43" s="46" t="s">
        <v>661</v>
      </c>
      <c r="L43" s="47" t="s">
        <v>1343</v>
      </c>
      <c r="M43" s="81">
        <f>IFERROR(VLOOKUP($L43,[3]Consolidated!$C$9:$AC$452,27,0),0)</f>
        <v>2314000</v>
      </c>
      <c r="N43" s="81">
        <f>IFERROR(VLOOKUP($L43,[3]Consolidated!$C$9:$AC$452,5,0),0)</f>
        <v>10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4">
        <f>(VLOOKUP($O$2,[4]Prices!$E$3:$K$17,2,FALSE)*O43)+(VLOOKUP($P$2,[4]Prices!$J$3:$K$17,2,FALSE)*P43)+(VLOOKUP($Q$2,[4]Prices!$J$3:$K$17,2,FALSE)*Q43)+(VLOOKUP($R$2,[4]Prices!$J$3:$K$17,2,FALSE)*R43)+(VLOOKUP($S$2,[4]Prices!$J$3:$K$17,2,FALSE)*S43)+(VLOOKUP($T$2,[4]Prices!$J$3:$K$17,2,FALSE)*T43)+(VLOOKUP($U$2,[4]Prices!$J$3:$K$17,2,FALSE)*U43)+(VLOOKUP($V$2,[4]Prices!$J$3:$K$17,2,FALSE)*V43)+(VLOOKUP($W$2,[4]Prices!$J$3:$K$17,2,FALSE)*W43)+(VLOOKUP($X$2,[4]Prices!$J$3:$K$17,2,FALSE)*X43)+(VLOOKUP($Y$2,[4]Prices!$J$3:$K$17,2,FALSE)*Y43)+(VLOOKUP($Z$2,[4]Prices!$J$3:$K$17,2,FALSE)*Z43)+(VLOOKUP($AA$2,[4]Prices!$J$3:$K$17,2,FALSE)*AA43)+(VLOOKUP($AB$2,[4]Prices!$J$3:$K$17,2,FALSE)*AB43)+M43</f>
        <v>2314000</v>
      </c>
      <c r="AD43" s="18"/>
      <c r="AE43" s="18"/>
      <c r="AF43" s="4">
        <f t="shared" si="0"/>
        <v>0</v>
      </c>
      <c r="AG43" s="4"/>
      <c r="AH43" s="16">
        <f t="shared" si="2"/>
        <v>0</v>
      </c>
      <c r="AI43" s="21">
        <f t="shared" si="1"/>
        <v>0</v>
      </c>
      <c r="AJ43" s="20">
        <f t="shared" si="3"/>
        <v>0</v>
      </c>
      <c r="AK43" s="9"/>
    </row>
    <row r="44" spans="1:37" hidden="1">
      <c r="A44" s="77">
        <v>42</v>
      </c>
      <c r="B44" s="78"/>
      <c r="C44" s="79"/>
      <c r="D44" s="79"/>
      <c r="E44" s="79"/>
      <c r="F44" s="79"/>
      <c r="G44" s="79"/>
      <c r="H44" s="80"/>
      <c r="I44" s="45" t="s">
        <v>706</v>
      </c>
      <c r="J44" s="45" t="s">
        <v>1388</v>
      </c>
      <c r="K44" s="46" t="s">
        <v>662</v>
      </c>
      <c r="L44" s="47" t="s">
        <v>997</v>
      </c>
      <c r="M44" s="81">
        <f>IFERROR(VLOOKUP($L44,[3]Consolidated!$C$9:$AC$452,27,0),0)</f>
        <v>7499000</v>
      </c>
      <c r="N44" s="81">
        <f>IFERROR(VLOOKUP($L44,[3]Consolidated!$C$9:$AC$452,5,0),0)</f>
        <v>35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4">
        <f>(VLOOKUP($O$2,[4]Prices!$E$3:$K$17,2,FALSE)*O44)+(VLOOKUP($P$2,[4]Prices!$J$3:$K$17,2,FALSE)*P44)+(VLOOKUP($Q$2,[4]Prices!$J$3:$K$17,2,FALSE)*Q44)+(VLOOKUP($R$2,[4]Prices!$J$3:$K$17,2,FALSE)*R44)+(VLOOKUP($S$2,[4]Prices!$J$3:$K$17,2,FALSE)*S44)+(VLOOKUP($T$2,[4]Prices!$J$3:$K$17,2,FALSE)*T44)+(VLOOKUP($U$2,[4]Prices!$J$3:$K$17,2,FALSE)*U44)+(VLOOKUP($V$2,[4]Prices!$J$3:$K$17,2,FALSE)*V44)+(VLOOKUP($W$2,[4]Prices!$J$3:$K$17,2,FALSE)*W44)+(VLOOKUP($X$2,[4]Prices!$J$3:$K$17,2,FALSE)*X44)+(VLOOKUP($Y$2,[4]Prices!$J$3:$K$17,2,FALSE)*Y44)+(VLOOKUP($Z$2,[4]Prices!$J$3:$K$17,2,FALSE)*Z44)+(VLOOKUP($AA$2,[4]Prices!$J$3:$K$17,2,FALSE)*AA44)+(VLOOKUP($AB$2,[4]Prices!$J$3:$K$17,2,FALSE)*AB44)+M44</f>
        <v>7499000</v>
      </c>
      <c r="AD44" s="18"/>
      <c r="AE44" s="18"/>
      <c r="AF44" s="4">
        <f t="shared" si="0"/>
        <v>0</v>
      </c>
      <c r="AG44" s="4"/>
      <c r="AH44" s="16">
        <f t="shared" si="2"/>
        <v>0</v>
      </c>
      <c r="AI44" s="21">
        <f t="shared" si="1"/>
        <v>0</v>
      </c>
      <c r="AJ44" s="20">
        <f t="shared" si="3"/>
        <v>0</v>
      </c>
      <c r="AK44" s="9"/>
    </row>
    <row r="45" spans="1:37" hidden="1">
      <c r="A45" s="77">
        <v>43</v>
      </c>
      <c r="B45" s="78"/>
      <c r="C45" s="79"/>
      <c r="D45" s="79"/>
      <c r="E45" s="79"/>
      <c r="F45" s="79"/>
      <c r="G45" s="79"/>
      <c r="H45" s="80"/>
      <c r="I45" s="45" t="s">
        <v>707</v>
      </c>
      <c r="J45" s="45" t="s">
        <v>1388</v>
      </c>
      <c r="K45" s="46" t="s">
        <v>662</v>
      </c>
      <c r="L45" s="47" t="s">
        <v>998</v>
      </c>
      <c r="M45" s="81">
        <f>IFERROR(VLOOKUP($L45,[3]Consolidated!$C$9:$AC$452,27,0),0)</f>
        <v>0</v>
      </c>
      <c r="N45" s="81">
        <f>IFERROR(VLOOKUP($L45,[3]Consolidated!$C$9:$AC$452,5,0),0)</f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4">
        <f>(VLOOKUP($O$2,[4]Prices!$E$3:$K$17,2,FALSE)*O45)+(VLOOKUP($P$2,[4]Prices!$J$3:$K$17,2,FALSE)*P45)+(VLOOKUP($Q$2,[4]Prices!$J$3:$K$17,2,FALSE)*Q45)+(VLOOKUP($R$2,[4]Prices!$J$3:$K$17,2,FALSE)*R45)+(VLOOKUP($S$2,[4]Prices!$J$3:$K$17,2,FALSE)*S45)+(VLOOKUP($T$2,[4]Prices!$J$3:$K$17,2,FALSE)*T45)+(VLOOKUP($U$2,[4]Prices!$J$3:$K$17,2,FALSE)*U45)+(VLOOKUP($V$2,[4]Prices!$J$3:$K$17,2,FALSE)*V45)+(VLOOKUP($W$2,[4]Prices!$J$3:$K$17,2,FALSE)*W45)+(VLOOKUP($X$2,[4]Prices!$J$3:$K$17,2,FALSE)*X45)+(VLOOKUP($Y$2,[4]Prices!$J$3:$K$17,2,FALSE)*Y45)+(VLOOKUP($Z$2,[4]Prices!$J$3:$K$17,2,FALSE)*Z45)+(VLOOKUP($AA$2,[4]Prices!$J$3:$K$17,2,FALSE)*AA45)+(VLOOKUP($AB$2,[4]Prices!$J$3:$K$17,2,FALSE)*AB45)+M45</f>
        <v>0</v>
      </c>
      <c r="AD45" s="18"/>
      <c r="AE45" s="18"/>
      <c r="AF45" s="4">
        <f t="shared" si="0"/>
        <v>0</v>
      </c>
      <c r="AG45" s="4"/>
      <c r="AH45" s="16">
        <f t="shared" si="2"/>
        <v>0</v>
      </c>
      <c r="AI45" s="21" t="e">
        <f t="shared" si="1"/>
        <v>#DIV/0!</v>
      </c>
      <c r="AJ45" s="20" t="e">
        <f t="shared" si="3"/>
        <v>#DIV/0!</v>
      </c>
      <c r="AK45" s="9"/>
    </row>
    <row r="46" spans="1:37" hidden="1">
      <c r="A46" s="77">
        <v>44</v>
      </c>
      <c r="B46" s="78"/>
      <c r="C46" s="79"/>
      <c r="D46" s="79"/>
      <c r="E46" s="79"/>
      <c r="F46" s="79"/>
      <c r="G46" s="79"/>
      <c r="H46" s="80"/>
      <c r="I46" s="45" t="s">
        <v>709</v>
      </c>
      <c r="J46" s="45" t="s">
        <v>1388</v>
      </c>
      <c r="K46" s="46" t="s">
        <v>662</v>
      </c>
      <c r="L46" s="47" t="s">
        <v>1000</v>
      </c>
      <c r="M46" s="81">
        <f>IFERROR(VLOOKUP($L46,[3]Consolidated!$C$9:$AC$452,27,0),0)</f>
        <v>7391400</v>
      </c>
      <c r="N46" s="81">
        <f>IFERROR(VLOOKUP($L46,[3]Consolidated!$C$9:$AC$452,5,0),0)</f>
        <v>35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4">
        <f>(VLOOKUP($O$2,[4]Prices!$E$3:$K$17,2,FALSE)*O46)+(VLOOKUP($P$2,[4]Prices!$J$3:$K$17,2,FALSE)*P46)+(VLOOKUP($Q$2,[4]Prices!$J$3:$K$17,2,FALSE)*Q46)+(VLOOKUP($R$2,[4]Prices!$J$3:$K$17,2,FALSE)*R46)+(VLOOKUP($S$2,[4]Prices!$J$3:$K$17,2,FALSE)*S46)+(VLOOKUP($T$2,[4]Prices!$J$3:$K$17,2,FALSE)*T46)+(VLOOKUP($U$2,[4]Prices!$J$3:$K$17,2,FALSE)*U46)+(VLOOKUP($V$2,[4]Prices!$J$3:$K$17,2,FALSE)*V46)+(VLOOKUP($W$2,[4]Prices!$J$3:$K$17,2,FALSE)*W46)+(VLOOKUP($X$2,[4]Prices!$J$3:$K$17,2,FALSE)*X46)+(VLOOKUP($Y$2,[4]Prices!$J$3:$K$17,2,FALSE)*Y46)+(VLOOKUP($Z$2,[4]Prices!$J$3:$K$17,2,FALSE)*Z46)+(VLOOKUP($AA$2,[4]Prices!$J$3:$K$17,2,FALSE)*AA46)+(VLOOKUP($AB$2,[4]Prices!$J$3:$K$17,2,FALSE)*AB46)+M46</f>
        <v>7391400</v>
      </c>
      <c r="AD46" s="18"/>
      <c r="AE46" s="18"/>
      <c r="AF46" s="4">
        <f t="shared" si="0"/>
        <v>0</v>
      </c>
      <c r="AG46" s="4"/>
      <c r="AH46" s="16">
        <f t="shared" si="2"/>
        <v>0</v>
      </c>
      <c r="AI46" s="21">
        <f t="shared" si="1"/>
        <v>0</v>
      </c>
      <c r="AJ46" s="20">
        <f t="shared" si="3"/>
        <v>0</v>
      </c>
      <c r="AK46" s="9"/>
    </row>
    <row r="47" spans="1:37" hidden="1">
      <c r="A47" s="77">
        <v>45</v>
      </c>
      <c r="B47" s="78"/>
      <c r="C47" s="79"/>
      <c r="D47" s="79"/>
      <c r="E47" s="79"/>
      <c r="F47" s="79"/>
      <c r="G47" s="79"/>
      <c r="H47" s="80"/>
      <c r="I47" s="45" t="s">
        <v>710</v>
      </c>
      <c r="J47" s="45" t="s">
        <v>1388</v>
      </c>
      <c r="K47" s="46" t="s">
        <v>662</v>
      </c>
      <c r="L47" s="47" t="s">
        <v>1001</v>
      </c>
      <c r="M47" s="81">
        <f>IFERROR(VLOOKUP($L47,[3]Consolidated!$C$9:$AC$452,27,0),0)</f>
        <v>0</v>
      </c>
      <c r="N47" s="81">
        <f>IFERROR(VLOOKUP($L47,[3]Consolidated!$C$9:$AC$452,5,0),0)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4">
        <f>(VLOOKUP($O$2,[4]Prices!$E$3:$K$17,2,FALSE)*O47)+(VLOOKUP($P$2,[4]Prices!$J$3:$K$17,2,FALSE)*P47)+(VLOOKUP($Q$2,[4]Prices!$J$3:$K$17,2,FALSE)*Q47)+(VLOOKUP($R$2,[4]Prices!$J$3:$K$17,2,FALSE)*R47)+(VLOOKUP($S$2,[4]Prices!$J$3:$K$17,2,FALSE)*S47)+(VLOOKUP($T$2,[4]Prices!$J$3:$K$17,2,FALSE)*T47)+(VLOOKUP($U$2,[4]Prices!$J$3:$K$17,2,FALSE)*U47)+(VLOOKUP($V$2,[4]Prices!$J$3:$K$17,2,FALSE)*V47)+(VLOOKUP($W$2,[4]Prices!$J$3:$K$17,2,FALSE)*W47)+(VLOOKUP($X$2,[4]Prices!$J$3:$K$17,2,FALSE)*X47)+(VLOOKUP($Y$2,[4]Prices!$J$3:$K$17,2,FALSE)*Y47)+(VLOOKUP($Z$2,[4]Prices!$J$3:$K$17,2,FALSE)*Z47)+(VLOOKUP($AA$2,[4]Prices!$J$3:$K$17,2,FALSE)*AA47)+(VLOOKUP($AB$2,[4]Prices!$J$3:$K$17,2,FALSE)*AB47)+M47</f>
        <v>0</v>
      </c>
      <c r="AD47" s="18"/>
      <c r="AE47" s="18"/>
      <c r="AF47" s="4">
        <f t="shared" si="0"/>
        <v>0</v>
      </c>
      <c r="AG47" s="4"/>
      <c r="AH47" s="16">
        <f t="shared" si="2"/>
        <v>0</v>
      </c>
      <c r="AI47" s="21" t="e">
        <f t="shared" si="1"/>
        <v>#DIV/0!</v>
      </c>
      <c r="AJ47" s="20" t="e">
        <f t="shared" si="3"/>
        <v>#DIV/0!</v>
      </c>
      <c r="AK47" s="9"/>
    </row>
    <row r="48" spans="1:37" hidden="1">
      <c r="A48" s="77">
        <v>46</v>
      </c>
      <c r="B48" s="78"/>
      <c r="C48" s="79"/>
      <c r="D48" s="79"/>
      <c r="E48" s="79"/>
      <c r="F48" s="79"/>
      <c r="G48" s="79"/>
      <c r="H48" s="80"/>
      <c r="I48" s="45" t="s">
        <v>711</v>
      </c>
      <c r="J48" s="45" t="s">
        <v>1388</v>
      </c>
      <c r="K48" s="46" t="s">
        <v>662</v>
      </c>
      <c r="L48" s="46" t="s">
        <v>1002</v>
      </c>
      <c r="M48" s="81">
        <f>IFERROR(VLOOKUP($L48,[3]Consolidated!$C$9:$AC$452,27,0),0)</f>
        <v>7374800</v>
      </c>
      <c r="N48" s="81">
        <f>IFERROR(VLOOKUP($L48,[3]Consolidated!$C$9:$AC$452,5,0),0)</f>
        <v>35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4">
        <f>(VLOOKUP($O$2,[4]Prices!$E$3:$K$17,2,FALSE)*O48)+(VLOOKUP($P$2,[4]Prices!$J$3:$K$17,2,FALSE)*P48)+(VLOOKUP($Q$2,[4]Prices!$J$3:$K$17,2,FALSE)*Q48)+(VLOOKUP($R$2,[4]Prices!$J$3:$K$17,2,FALSE)*R48)+(VLOOKUP($S$2,[4]Prices!$J$3:$K$17,2,FALSE)*S48)+(VLOOKUP($T$2,[4]Prices!$J$3:$K$17,2,FALSE)*T48)+(VLOOKUP($U$2,[4]Prices!$J$3:$K$17,2,FALSE)*U48)+(VLOOKUP($V$2,[4]Prices!$J$3:$K$17,2,FALSE)*V48)+(VLOOKUP($W$2,[4]Prices!$J$3:$K$17,2,FALSE)*W48)+(VLOOKUP($X$2,[4]Prices!$J$3:$K$17,2,FALSE)*X48)+(VLOOKUP($Y$2,[4]Prices!$J$3:$K$17,2,FALSE)*Y48)+(VLOOKUP($Z$2,[4]Prices!$J$3:$K$17,2,FALSE)*Z48)+(VLOOKUP($AA$2,[4]Prices!$J$3:$K$17,2,FALSE)*AA48)+(VLOOKUP($AB$2,[4]Prices!$J$3:$K$17,2,FALSE)*AB48)+M48</f>
        <v>7374800</v>
      </c>
      <c r="AD48" s="18"/>
      <c r="AE48" s="18"/>
      <c r="AF48" s="4">
        <f t="shared" si="0"/>
        <v>0</v>
      </c>
      <c r="AG48" s="4"/>
      <c r="AH48" s="16">
        <f t="shared" si="2"/>
        <v>0</v>
      </c>
      <c r="AI48" s="21">
        <f t="shared" si="1"/>
        <v>0</v>
      </c>
      <c r="AJ48" s="20">
        <f t="shared" si="3"/>
        <v>0</v>
      </c>
      <c r="AK48" s="9"/>
    </row>
    <row r="49" spans="1:37" hidden="1">
      <c r="A49" s="77">
        <v>47</v>
      </c>
      <c r="B49" s="78"/>
      <c r="C49" s="79"/>
      <c r="D49" s="79"/>
      <c r="E49" s="79"/>
      <c r="F49" s="79"/>
      <c r="G49" s="79"/>
      <c r="H49" s="80"/>
      <c r="I49" s="45" t="s">
        <v>712</v>
      </c>
      <c r="J49" s="45" t="s">
        <v>1388</v>
      </c>
      <c r="K49" s="46" t="s">
        <v>662</v>
      </c>
      <c r="L49" s="46" t="s">
        <v>1003</v>
      </c>
      <c r="M49" s="81">
        <f>IFERROR(VLOOKUP($L49,[3]Consolidated!$C$9:$AC$452,27,0),0)</f>
        <v>2262850</v>
      </c>
      <c r="N49" s="81">
        <f>IFERROR(VLOOKUP($L49,[3]Consolidated!$C$9:$AC$452,5,0),0)</f>
        <v>10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4">
        <f>(VLOOKUP($O$2,[4]Prices!$E$3:$K$17,2,FALSE)*O49)+(VLOOKUP($P$2,[4]Prices!$J$3:$K$17,2,FALSE)*P49)+(VLOOKUP($Q$2,[4]Prices!$J$3:$K$17,2,FALSE)*Q49)+(VLOOKUP($R$2,[4]Prices!$J$3:$K$17,2,FALSE)*R49)+(VLOOKUP($S$2,[4]Prices!$J$3:$K$17,2,FALSE)*S49)+(VLOOKUP($T$2,[4]Prices!$J$3:$K$17,2,FALSE)*T49)+(VLOOKUP($U$2,[4]Prices!$J$3:$K$17,2,FALSE)*U49)+(VLOOKUP($V$2,[4]Prices!$J$3:$K$17,2,FALSE)*V49)+(VLOOKUP($W$2,[4]Prices!$J$3:$K$17,2,FALSE)*W49)+(VLOOKUP($X$2,[4]Prices!$J$3:$K$17,2,FALSE)*X49)+(VLOOKUP($Y$2,[4]Prices!$J$3:$K$17,2,FALSE)*Y49)+(VLOOKUP($Z$2,[4]Prices!$J$3:$K$17,2,FALSE)*Z49)+(VLOOKUP($AA$2,[4]Prices!$J$3:$K$17,2,FALSE)*AA49)+(VLOOKUP($AB$2,[4]Prices!$J$3:$K$17,2,FALSE)*AB49)+M49</f>
        <v>2262850</v>
      </c>
      <c r="AD49" s="18"/>
      <c r="AE49" s="18"/>
      <c r="AF49" s="4">
        <f t="shared" si="0"/>
        <v>0</v>
      </c>
      <c r="AG49" s="4"/>
      <c r="AH49" s="16">
        <f t="shared" si="2"/>
        <v>0</v>
      </c>
      <c r="AI49" s="21">
        <f t="shared" si="1"/>
        <v>0</v>
      </c>
      <c r="AJ49" s="20">
        <f t="shared" si="3"/>
        <v>0</v>
      </c>
      <c r="AK49" s="9"/>
    </row>
    <row r="50" spans="1:37" hidden="1">
      <c r="A50" s="77">
        <v>48</v>
      </c>
      <c r="B50" s="78"/>
      <c r="C50" s="79"/>
      <c r="D50" s="79"/>
      <c r="E50" s="79"/>
      <c r="F50" s="79"/>
      <c r="G50" s="79"/>
      <c r="H50" s="80"/>
      <c r="I50" s="45" t="s">
        <v>762</v>
      </c>
      <c r="J50" s="45" t="s">
        <v>1388</v>
      </c>
      <c r="K50" s="46" t="s">
        <v>662</v>
      </c>
      <c r="L50" s="46" t="s">
        <v>1054</v>
      </c>
      <c r="M50" s="81">
        <f>IFERROR(VLOOKUP($L50,[3]Consolidated!$C$9:$AC$452,27,0),0)</f>
        <v>0</v>
      </c>
      <c r="N50" s="81">
        <f>IFERROR(VLOOKUP($L50,[3]Consolidated!$C$9:$AC$452,5,0),0)</f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4">
        <f>(VLOOKUP($O$2,[4]Prices!$E$3:$K$17,2,FALSE)*O50)+(VLOOKUP($P$2,[4]Prices!$J$3:$K$17,2,FALSE)*P50)+(VLOOKUP($Q$2,[4]Prices!$J$3:$K$17,2,FALSE)*Q50)+(VLOOKUP($R$2,[4]Prices!$J$3:$K$17,2,FALSE)*R50)+(VLOOKUP($S$2,[4]Prices!$J$3:$K$17,2,FALSE)*S50)+(VLOOKUP($T$2,[4]Prices!$J$3:$K$17,2,FALSE)*T50)+(VLOOKUP($U$2,[4]Prices!$J$3:$K$17,2,FALSE)*U50)+(VLOOKUP($V$2,[4]Prices!$J$3:$K$17,2,FALSE)*V50)+(VLOOKUP($W$2,[4]Prices!$J$3:$K$17,2,FALSE)*W50)+(VLOOKUP($X$2,[4]Prices!$J$3:$K$17,2,FALSE)*X50)+(VLOOKUP($Y$2,[4]Prices!$J$3:$K$17,2,FALSE)*Y50)+(VLOOKUP($Z$2,[4]Prices!$J$3:$K$17,2,FALSE)*Z50)+(VLOOKUP($AA$2,[4]Prices!$J$3:$K$17,2,FALSE)*AA50)+(VLOOKUP($AB$2,[4]Prices!$J$3:$K$17,2,FALSE)*AB50)+M50</f>
        <v>0</v>
      </c>
      <c r="AD50" s="18"/>
      <c r="AE50" s="18"/>
      <c r="AF50" s="4">
        <f t="shared" si="0"/>
        <v>0</v>
      </c>
      <c r="AG50" s="4"/>
      <c r="AH50" s="16">
        <f t="shared" si="2"/>
        <v>0</v>
      </c>
      <c r="AI50" s="21" t="e">
        <f t="shared" si="1"/>
        <v>#DIV/0!</v>
      </c>
      <c r="AJ50" s="20" t="e">
        <f t="shared" si="3"/>
        <v>#DIV/0!</v>
      </c>
      <c r="AK50" s="19"/>
    </row>
    <row r="51" spans="1:37" hidden="1">
      <c r="A51" s="77">
        <v>49</v>
      </c>
      <c r="B51" s="78"/>
      <c r="C51" s="79"/>
      <c r="D51" s="79"/>
      <c r="E51" s="79"/>
      <c r="F51" s="79"/>
      <c r="G51" s="79"/>
      <c r="H51" s="80"/>
      <c r="I51" s="45" t="s">
        <v>1355</v>
      </c>
      <c r="J51" s="45" t="s">
        <v>1388</v>
      </c>
      <c r="K51" s="46" t="s">
        <v>662</v>
      </c>
      <c r="L51" s="46" t="s">
        <v>1350</v>
      </c>
      <c r="M51" s="81">
        <f>IFERROR(VLOOKUP($L51,[3]Consolidated!$C$9:$AC$452,27,0),0)</f>
        <v>2217250</v>
      </c>
      <c r="N51" s="81">
        <f>IFERROR(VLOOKUP($L51,[3]Consolidated!$C$9:$AC$452,5,0),0)</f>
        <v>10.000000000000002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4">
        <f>(VLOOKUP($O$2,[4]Prices!$E$3:$K$17,2,FALSE)*O51)+(VLOOKUP($P$2,[4]Prices!$J$3:$K$17,2,FALSE)*P51)+(VLOOKUP($Q$2,[4]Prices!$J$3:$K$17,2,FALSE)*Q51)+(VLOOKUP($R$2,[4]Prices!$J$3:$K$17,2,FALSE)*R51)+(VLOOKUP($S$2,[4]Prices!$J$3:$K$17,2,FALSE)*S51)+(VLOOKUP($T$2,[4]Prices!$J$3:$K$17,2,FALSE)*T51)+(VLOOKUP($U$2,[4]Prices!$J$3:$K$17,2,FALSE)*U51)+(VLOOKUP($V$2,[4]Prices!$J$3:$K$17,2,FALSE)*V51)+(VLOOKUP($W$2,[4]Prices!$J$3:$K$17,2,FALSE)*W51)+(VLOOKUP($X$2,[4]Prices!$J$3:$K$17,2,FALSE)*X51)+(VLOOKUP($Y$2,[4]Prices!$J$3:$K$17,2,FALSE)*Y51)+(VLOOKUP($Z$2,[4]Prices!$J$3:$K$17,2,FALSE)*Z51)+(VLOOKUP($AA$2,[4]Prices!$J$3:$K$17,2,FALSE)*AA51)+(VLOOKUP($AB$2,[4]Prices!$J$3:$K$17,2,FALSE)*AB51)+M51</f>
        <v>2217250</v>
      </c>
      <c r="AD51" s="18"/>
      <c r="AE51" s="18"/>
      <c r="AF51" s="4">
        <f t="shared" si="0"/>
        <v>0</v>
      </c>
      <c r="AG51" s="4"/>
      <c r="AH51" s="16">
        <f t="shared" si="2"/>
        <v>0</v>
      </c>
      <c r="AI51" s="21">
        <f t="shared" si="1"/>
        <v>0</v>
      </c>
      <c r="AJ51" s="20">
        <f t="shared" si="3"/>
        <v>0</v>
      </c>
      <c r="AK51" s="9"/>
    </row>
    <row r="52" spans="1:37" hidden="1">
      <c r="A52" s="77">
        <v>50</v>
      </c>
      <c r="B52" s="78"/>
      <c r="C52" s="79"/>
      <c r="D52" s="79"/>
      <c r="E52" s="79"/>
      <c r="F52" s="79"/>
      <c r="G52" s="79"/>
      <c r="H52" s="80"/>
      <c r="I52" s="45" t="s">
        <v>758</v>
      </c>
      <c r="J52" s="45" t="s">
        <v>1388</v>
      </c>
      <c r="K52" s="46" t="s">
        <v>1316</v>
      </c>
      <c r="L52" s="47" t="s">
        <v>1050</v>
      </c>
      <c r="M52" s="81">
        <f>IFERROR(VLOOKUP($L52,[3]Consolidated!$C$9:$AC$452,27,0),0)</f>
        <v>7444000</v>
      </c>
      <c r="N52" s="81">
        <f>IFERROR(VLOOKUP($L52,[3]Consolidated!$C$9:$AC$452,5,0),0)</f>
        <v>35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4">
        <f>(VLOOKUP($O$2,[4]Prices!$E$3:$K$17,2,FALSE)*O52)+(VLOOKUP($P$2,[4]Prices!$J$3:$K$17,2,FALSE)*P52)+(VLOOKUP($Q$2,[4]Prices!$J$3:$K$17,2,FALSE)*Q52)+(VLOOKUP($R$2,[4]Prices!$J$3:$K$17,2,FALSE)*R52)+(VLOOKUP($S$2,[4]Prices!$J$3:$K$17,2,FALSE)*S52)+(VLOOKUP($T$2,[4]Prices!$J$3:$K$17,2,FALSE)*T52)+(VLOOKUP($U$2,[4]Prices!$J$3:$K$17,2,FALSE)*U52)+(VLOOKUP($V$2,[4]Prices!$J$3:$K$17,2,FALSE)*V52)+(VLOOKUP($W$2,[4]Prices!$J$3:$K$17,2,FALSE)*W52)+(VLOOKUP($X$2,[4]Prices!$J$3:$K$17,2,FALSE)*X52)+(VLOOKUP($Y$2,[4]Prices!$J$3:$K$17,2,FALSE)*Y52)+(VLOOKUP($Z$2,[4]Prices!$J$3:$K$17,2,FALSE)*Z52)+(VLOOKUP($AA$2,[4]Prices!$J$3:$K$17,2,FALSE)*AA52)+(VLOOKUP($AB$2,[4]Prices!$J$3:$K$17,2,FALSE)*AB52)+M52</f>
        <v>7444000</v>
      </c>
      <c r="AD52" s="18"/>
      <c r="AE52" s="18"/>
      <c r="AF52" s="4">
        <f t="shared" si="0"/>
        <v>0</v>
      </c>
      <c r="AG52" s="4"/>
      <c r="AH52" s="16">
        <f t="shared" si="2"/>
        <v>0</v>
      </c>
      <c r="AI52" s="21">
        <f t="shared" si="1"/>
        <v>0</v>
      </c>
      <c r="AJ52" s="20">
        <f t="shared" si="3"/>
        <v>0</v>
      </c>
      <c r="AK52" s="9"/>
    </row>
    <row r="53" spans="1:37" hidden="1">
      <c r="A53" s="77">
        <v>51</v>
      </c>
      <c r="B53" s="78"/>
      <c r="C53" s="79"/>
      <c r="D53" s="79"/>
      <c r="E53" s="79"/>
      <c r="F53" s="79"/>
      <c r="G53" s="79"/>
      <c r="H53" s="80"/>
      <c r="I53" s="45" t="s">
        <v>759</v>
      </c>
      <c r="J53" s="45" t="s">
        <v>1388</v>
      </c>
      <c r="K53" s="46" t="s">
        <v>1316</v>
      </c>
      <c r="L53" s="47" t="s">
        <v>1051</v>
      </c>
      <c r="M53" s="81">
        <f>IFERROR(VLOOKUP($L53,[3]Consolidated!$C$9:$AC$452,27,0),0)</f>
        <v>7433500</v>
      </c>
      <c r="N53" s="81">
        <f>IFERROR(VLOOKUP($L53,[3]Consolidated!$C$9:$AC$452,5,0),0)</f>
        <v>35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4">
        <f>(VLOOKUP($O$2,[4]Prices!$E$3:$K$17,2,FALSE)*O53)+(VLOOKUP($P$2,[4]Prices!$J$3:$K$17,2,FALSE)*P53)+(VLOOKUP($Q$2,[4]Prices!$J$3:$K$17,2,FALSE)*Q53)+(VLOOKUP($R$2,[4]Prices!$J$3:$K$17,2,FALSE)*R53)+(VLOOKUP($S$2,[4]Prices!$J$3:$K$17,2,FALSE)*S53)+(VLOOKUP($T$2,[4]Prices!$J$3:$K$17,2,FALSE)*T53)+(VLOOKUP($U$2,[4]Prices!$J$3:$K$17,2,FALSE)*U53)+(VLOOKUP($V$2,[4]Prices!$J$3:$K$17,2,FALSE)*V53)+(VLOOKUP($W$2,[4]Prices!$J$3:$K$17,2,FALSE)*W53)+(VLOOKUP($X$2,[4]Prices!$J$3:$K$17,2,FALSE)*X53)+(VLOOKUP($Y$2,[4]Prices!$J$3:$K$17,2,FALSE)*Y53)+(VLOOKUP($Z$2,[4]Prices!$J$3:$K$17,2,FALSE)*Z53)+(VLOOKUP($AA$2,[4]Prices!$J$3:$K$17,2,FALSE)*AA53)+(VLOOKUP($AB$2,[4]Prices!$J$3:$K$17,2,FALSE)*AB53)+M53</f>
        <v>7433500</v>
      </c>
      <c r="AD53" s="18"/>
      <c r="AE53" s="18"/>
      <c r="AF53" s="4">
        <f t="shared" si="0"/>
        <v>0</v>
      </c>
      <c r="AG53" s="4"/>
      <c r="AH53" s="16">
        <f t="shared" si="2"/>
        <v>0</v>
      </c>
      <c r="AI53" s="21">
        <f t="shared" si="1"/>
        <v>0</v>
      </c>
      <c r="AJ53" s="20">
        <f t="shared" si="3"/>
        <v>0</v>
      </c>
      <c r="AK53" s="9"/>
    </row>
    <row r="54" spans="1:37" hidden="1">
      <c r="A54" s="77">
        <v>52</v>
      </c>
      <c r="B54" s="78"/>
      <c r="C54" s="79"/>
      <c r="D54" s="79"/>
      <c r="E54" s="79"/>
      <c r="F54" s="79"/>
      <c r="G54" s="79"/>
      <c r="H54" s="80"/>
      <c r="I54" s="45" t="s">
        <v>760</v>
      </c>
      <c r="J54" s="45" t="s">
        <v>1388</v>
      </c>
      <c r="K54" s="46" t="s">
        <v>1316</v>
      </c>
      <c r="L54" s="47" t="s">
        <v>1052</v>
      </c>
      <c r="M54" s="81">
        <f>IFERROR(VLOOKUP($L54,[3]Consolidated!$C$9:$AC$452,27,0),0)</f>
        <v>7433500</v>
      </c>
      <c r="N54" s="81">
        <f>IFERROR(VLOOKUP($L54,[3]Consolidated!$C$9:$AC$452,5,0),0)</f>
        <v>35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4">
        <f>(VLOOKUP($O$2,[4]Prices!$E$3:$K$17,2,FALSE)*O54)+(VLOOKUP($P$2,[4]Prices!$J$3:$K$17,2,FALSE)*P54)+(VLOOKUP($Q$2,[4]Prices!$J$3:$K$17,2,FALSE)*Q54)+(VLOOKUP($R$2,[4]Prices!$J$3:$K$17,2,FALSE)*R54)+(VLOOKUP($S$2,[4]Prices!$J$3:$K$17,2,FALSE)*S54)+(VLOOKUP($T$2,[4]Prices!$J$3:$K$17,2,FALSE)*T54)+(VLOOKUP($U$2,[4]Prices!$J$3:$K$17,2,FALSE)*U54)+(VLOOKUP($V$2,[4]Prices!$J$3:$K$17,2,FALSE)*V54)+(VLOOKUP($W$2,[4]Prices!$J$3:$K$17,2,FALSE)*W54)+(VLOOKUP($X$2,[4]Prices!$J$3:$K$17,2,FALSE)*X54)+(VLOOKUP($Y$2,[4]Prices!$J$3:$K$17,2,FALSE)*Y54)+(VLOOKUP($Z$2,[4]Prices!$J$3:$K$17,2,FALSE)*Z54)+(VLOOKUP($AA$2,[4]Prices!$J$3:$K$17,2,FALSE)*AA54)+(VLOOKUP($AB$2,[4]Prices!$J$3:$K$17,2,FALSE)*AB54)+M54</f>
        <v>7433500</v>
      </c>
      <c r="AD54" s="18"/>
      <c r="AE54" s="18"/>
      <c r="AF54" s="4">
        <f t="shared" si="0"/>
        <v>0</v>
      </c>
      <c r="AG54" s="4"/>
      <c r="AH54" s="16">
        <f t="shared" si="2"/>
        <v>0</v>
      </c>
      <c r="AI54" s="21">
        <f t="shared" si="1"/>
        <v>0</v>
      </c>
      <c r="AJ54" s="20">
        <f t="shared" si="3"/>
        <v>0</v>
      </c>
      <c r="AK54" s="9"/>
    </row>
    <row r="55" spans="1:37" hidden="1">
      <c r="A55" s="77">
        <v>53</v>
      </c>
      <c r="B55" s="78"/>
      <c r="C55" s="79"/>
      <c r="D55" s="79"/>
      <c r="E55" s="79"/>
      <c r="F55" s="79"/>
      <c r="G55" s="79"/>
      <c r="H55" s="80"/>
      <c r="I55" s="45" t="s">
        <v>761</v>
      </c>
      <c r="J55" s="45" t="s">
        <v>1388</v>
      </c>
      <c r="K55" s="46" t="s">
        <v>1316</v>
      </c>
      <c r="L55" s="47" t="s">
        <v>1053</v>
      </c>
      <c r="M55" s="81">
        <f>IFERROR(VLOOKUP($L55,[3]Consolidated!$C$9:$AC$452,27,0),0)</f>
        <v>7433500</v>
      </c>
      <c r="N55" s="81">
        <f>IFERROR(VLOOKUP($L55,[3]Consolidated!$C$9:$AC$452,5,0),0)</f>
        <v>35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4">
        <f>(VLOOKUP($O$2,[4]Prices!$E$3:$K$17,2,FALSE)*O55)+(VLOOKUP($P$2,[4]Prices!$J$3:$K$17,2,FALSE)*P55)+(VLOOKUP($Q$2,[4]Prices!$J$3:$K$17,2,FALSE)*Q55)+(VLOOKUP($R$2,[4]Prices!$J$3:$K$17,2,FALSE)*R55)+(VLOOKUP($S$2,[4]Prices!$J$3:$K$17,2,FALSE)*S55)+(VLOOKUP($T$2,[4]Prices!$J$3:$K$17,2,FALSE)*T55)+(VLOOKUP($U$2,[4]Prices!$J$3:$K$17,2,FALSE)*U55)+(VLOOKUP($V$2,[4]Prices!$J$3:$K$17,2,FALSE)*V55)+(VLOOKUP($W$2,[4]Prices!$J$3:$K$17,2,FALSE)*W55)+(VLOOKUP($X$2,[4]Prices!$J$3:$K$17,2,FALSE)*X55)+(VLOOKUP($Y$2,[4]Prices!$J$3:$K$17,2,FALSE)*Y55)+(VLOOKUP($Z$2,[4]Prices!$J$3:$K$17,2,FALSE)*Z55)+(VLOOKUP($AA$2,[4]Prices!$J$3:$K$17,2,FALSE)*AA55)+(VLOOKUP($AB$2,[4]Prices!$J$3:$K$17,2,FALSE)*AB55)+M55</f>
        <v>7433500</v>
      </c>
      <c r="AD55" s="18"/>
      <c r="AE55" s="18"/>
      <c r="AF55" s="4">
        <f t="shared" si="0"/>
        <v>0</v>
      </c>
      <c r="AG55" s="4"/>
      <c r="AH55" s="16">
        <f t="shared" si="2"/>
        <v>0</v>
      </c>
      <c r="AI55" s="21">
        <f t="shared" si="1"/>
        <v>0</v>
      </c>
      <c r="AJ55" s="20">
        <f t="shared" si="3"/>
        <v>0</v>
      </c>
      <c r="AK55" s="9"/>
    </row>
    <row r="56" spans="1:37" hidden="1">
      <c r="A56" s="77">
        <v>54</v>
      </c>
      <c r="B56" s="78"/>
      <c r="C56" s="79"/>
      <c r="D56" s="79"/>
      <c r="E56" s="79"/>
      <c r="F56" s="79"/>
      <c r="G56" s="79"/>
      <c r="H56" s="80"/>
      <c r="I56" s="45" t="s">
        <v>713</v>
      </c>
      <c r="J56" s="45" t="s">
        <v>1388</v>
      </c>
      <c r="K56" s="46" t="s">
        <v>663</v>
      </c>
      <c r="L56" s="47" t="s">
        <v>1004</v>
      </c>
      <c r="M56" s="81">
        <f>IFERROR(VLOOKUP($L56,[3]Consolidated!$C$9:$AC$452,27,0),0)</f>
        <v>6981500</v>
      </c>
      <c r="N56" s="81">
        <f>IFERROR(VLOOKUP($L56,[3]Consolidated!$C$9:$AC$452,5,0),0)</f>
        <v>35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4">
        <f>(VLOOKUP($O$2,[4]Prices!$E$3:$K$17,2,FALSE)*O56)+(VLOOKUP($P$2,[4]Prices!$J$3:$K$17,2,FALSE)*P56)+(VLOOKUP($Q$2,[4]Prices!$J$3:$K$17,2,FALSE)*Q56)+(VLOOKUP($R$2,[4]Prices!$J$3:$K$17,2,FALSE)*R56)+(VLOOKUP($S$2,[4]Prices!$J$3:$K$17,2,FALSE)*S56)+(VLOOKUP($T$2,[4]Prices!$J$3:$K$17,2,FALSE)*T56)+(VLOOKUP($U$2,[4]Prices!$J$3:$K$17,2,FALSE)*U56)+(VLOOKUP($V$2,[4]Prices!$J$3:$K$17,2,FALSE)*V56)+(VLOOKUP($W$2,[4]Prices!$J$3:$K$17,2,FALSE)*W56)+(VLOOKUP($X$2,[4]Prices!$J$3:$K$17,2,FALSE)*X56)+(VLOOKUP($Y$2,[4]Prices!$J$3:$K$17,2,FALSE)*Y56)+(VLOOKUP($Z$2,[4]Prices!$J$3:$K$17,2,FALSE)*Z56)+(VLOOKUP($AA$2,[4]Prices!$J$3:$K$17,2,FALSE)*AA56)+(VLOOKUP($AB$2,[4]Prices!$J$3:$K$17,2,FALSE)*AB56)+M56</f>
        <v>6981500</v>
      </c>
      <c r="AD56" s="18"/>
      <c r="AE56" s="18"/>
      <c r="AF56" s="4">
        <f t="shared" si="0"/>
        <v>0</v>
      </c>
      <c r="AG56" s="4"/>
      <c r="AH56" s="16">
        <f t="shared" si="2"/>
        <v>0</v>
      </c>
      <c r="AI56" s="21">
        <f t="shared" si="1"/>
        <v>0</v>
      </c>
      <c r="AJ56" s="20">
        <f t="shared" si="3"/>
        <v>0</v>
      </c>
      <c r="AK56" s="9"/>
    </row>
    <row r="57" spans="1:37" hidden="1">
      <c r="A57" s="77">
        <v>55</v>
      </c>
      <c r="B57" s="78"/>
      <c r="C57" s="79"/>
      <c r="D57" s="79"/>
      <c r="E57" s="79"/>
      <c r="F57" s="79"/>
      <c r="G57" s="79"/>
      <c r="H57" s="80"/>
      <c r="I57" s="45" t="s">
        <v>714</v>
      </c>
      <c r="J57" s="45" t="s">
        <v>1388</v>
      </c>
      <c r="K57" s="46" t="s">
        <v>663</v>
      </c>
      <c r="L57" s="47" t="s">
        <v>1005</v>
      </c>
      <c r="M57" s="81">
        <f>IFERROR(VLOOKUP($L57,[3]Consolidated!$C$9:$AC$452,27,0),0)</f>
        <v>14133300</v>
      </c>
      <c r="N57" s="81">
        <f>IFERROR(VLOOKUP($L57,[3]Consolidated!$C$9:$AC$452,5,0),0)</f>
        <v>70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4">
        <f>(VLOOKUP($O$2,[4]Prices!$E$3:$K$17,2,FALSE)*O57)+(VLOOKUP($P$2,[4]Prices!$J$3:$K$17,2,FALSE)*P57)+(VLOOKUP($Q$2,[4]Prices!$J$3:$K$17,2,FALSE)*Q57)+(VLOOKUP($R$2,[4]Prices!$J$3:$K$17,2,FALSE)*R57)+(VLOOKUP($S$2,[4]Prices!$J$3:$K$17,2,FALSE)*S57)+(VLOOKUP($T$2,[4]Prices!$J$3:$K$17,2,FALSE)*T57)+(VLOOKUP($U$2,[4]Prices!$J$3:$K$17,2,FALSE)*U57)+(VLOOKUP($V$2,[4]Prices!$J$3:$K$17,2,FALSE)*V57)+(VLOOKUP($W$2,[4]Prices!$J$3:$K$17,2,FALSE)*W57)+(VLOOKUP($X$2,[4]Prices!$J$3:$K$17,2,FALSE)*X57)+(VLOOKUP($Y$2,[4]Prices!$J$3:$K$17,2,FALSE)*Y57)+(VLOOKUP($Z$2,[4]Prices!$J$3:$K$17,2,FALSE)*Z57)+(VLOOKUP($AA$2,[4]Prices!$J$3:$K$17,2,FALSE)*AA57)+(VLOOKUP($AB$2,[4]Prices!$J$3:$K$17,2,FALSE)*AB57)+M57</f>
        <v>14133300</v>
      </c>
      <c r="AD57" s="18"/>
      <c r="AE57" s="18"/>
      <c r="AF57" s="4">
        <f t="shared" si="0"/>
        <v>0</v>
      </c>
      <c r="AG57" s="4"/>
      <c r="AH57" s="16">
        <f t="shared" si="2"/>
        <v>0</v>
      </c>
      <c r="AI57" s="21">
        <f t="shared" si="1"/>
        <v>0</v>
      </c>
      <c r="AJ57" s="20">
        <f t="shared" si="3"/>
        <v>0</v>
      </c>
      <c r="AK57" s="9"/>
    </row>
    <row r="58" spans="1:37" hidden="1">
      <c r="A58" s="77">
        <v>56</v>
      </c>
      <c r="B58" s="78"/>
      <c r="C58" s="79"/>
      <c r="D58" s="79"/>
      <c r="E58" s="79"/>
      <c r="F58" s="79"/>
      <c r="G58" s="79"/>
      <c r="H58" s="80"/>
      <c r="I58" s="45" t="s">
        <v>715</v>
      </c>
      <c r="J58" s="45" t="s">
        <v>1388</v>
      </c>
      <c r="K58" s="46" t="s">
        <v>663</v>
      </c>
      <c r="L58" s="47" t="s">
        <v>1006</v>
      </c>
      <c r="M58" s="81">
        <f>IFERROR(VLOOKUP($L58,[3]Consolidated!$C$9:$AC$452,27,0),0)</f>
        <v>7808000</v>
      </c>
      <c r="N58" s="81">
        <f>IFERROR(VLOOKUP($L58,[3]Consolidated!$C$9:$AC$452,5,0),0)</f>
        <v>35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4">
        <f>(VLOOKUP($O$2,[4]Prices!$E$3:$K$17,2,FALSE)*O58)+(VLOOKUP($P$2,[4]Prices!$J$3:$K$17,2,FALSE)*P58)+(VLOOKUP($Q$2,[4]Prices!$J$3:$K$17,2,FALSE)*Q58)+(VLOOKUP($R$2,[4]Prices!$J$3:$K$17,2,FALSE)*R58)+(VLOOKUP($S$2,[4]Prices!$J$3:$K$17,2,FALSE)*S58)+(VLOOKUP($T$2,[4]Prices!$J$3:$K$17,2,FALSE)*T58)+(VLOOKUP($U$2,[4]Prices!$J$3:$K$17,2,FALSE)*U58)+(VLOOKUP($V$2,[4]Prices!$J$3:$K$17,2,FALSE)*V58)+(VLOOKUP($W$2,[4]Prices!$J$3:$K$17,2,FALSE)*W58)+(VLOOKUP($X$2,[4]Prices!$J$3:$K$17,2,FALSE)*X58)+(VLOOKUP($Y$2,[4]Prices!$J$3:$K$17,2,FALSE)*Y58)+(VLOOKUP($Z$2,[4]Prices!$J$3:$K$17,2,FALSE)*Z58)+(VLOOKUP($AA$2,[4]Prices!$J$3:$K$17,2,FALSE)*AA58)+(VLOOKUP($AB$2,[4]Prices!$J$3:$K$17,2,FALSE)*AB58)+M58</f>
        <v>7808000</v>
      </c>
      <c r="AD58" s="18"/>
      <c r="AE58" s="18"/>
      <c r="AF58" s="4">
        <f t="shared" si="0"/>
        <v>0</v>
      </c>
      <c r="AG58" s="4"/>
      <c r="AH58" s="16">
        <f t="shared" si="2"/>
        <v>0</v>
      </c>
      <c r="AI58" s="21">
        <f t="shared" si="1"/>
        <v>0</v>
      </c>
      <c r="AJ58" s="20">
        <f t="shared" si="3"/>
        <v>0</v>
      </c>
      <c r="AK58" s="9"/>
    </row>
    <row r="59" spans="1:37" hidden="1">
      <c r="A59" s="77">
        <v>57</v>
      </c>
      <c r="B59" s="78"/>
      <c r="C59" s="79"/>
      <c r="D59" s="79"/>
      <c r="E59" s="79"/>
      <c r="F59" s="79"/>
      <c r="G59" s="79"/>
      <c r="H59" s="80"/>
      <c r="I59" s="45" t="s">
        <v>716</v>
      </c>
      <c r="J59" s="45" t="s">
        <v>1388</v>
      </c>
      <c r="K59" s="46" t="s">
        <v>663</v>
      </c>
      <c r="L59" s="47" t="s">
        <v>1007</v>
      </c>
      <c r="M59" s="81">
        <f>IFERROR(VLOOKUP($L59,[3]Consolidated!$C$9:$AC$452,27,0),0)</f>
        <v>7000000</v>
      </c>
      <c r="N59" s="81">
        <f>IFERROR(VLOOKUP($L59,[3]Consolidated!$C$9:$AC$452,5,0),0)</f>
        <v>35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4">
        <f>(VLOOKUP($O$2,[4]Prices!$E$3:$K$17,2,FALSE)*O59)+(VLOOKUP($P$2,[4]Prices!$J$3:$K$17,2,FALSE)*P59)+(VLOOKUP($Q$2,[4]Prices!$J$3:$K$17,2,FALSE)*Q59)+(VLOOKUP($R$2,[4]Prices!$J$3:$K$17,2,FALSE)*R59)+(VLOOKUP($S$2,[4]Prices!$J$3:$K$17,2,FALSE)*S59)+(VLOOKUP($T$2,[4]Prices!$J$3:$K$17,2,FALSE)*T59)+(VLOOKUP($U$2,[4]Prices!$J$3:$K$17,2,FALSE)*U59)+(VLOOKUP($V$2,[4]Prices!$J$3:$K$17,2,FALSE)*V59)+(VLOOKUP($W$2,[4]Prices!$J$3:$K$17,2,FALSE)*W59)+(VLOOKUP($X$2,[4]Prices!$J$3:$K$17,2,FALSE)*X59)+(VLOOKUP($Y$2,[4]Prices!$J$3:$K$17,2,FALSE)*Y59)+(VLOOKUP($Z$2,[4]Prices!$J$3:$K$17,2,FALSE)*Z59)+(VLOOKUP($AA$2,[4]Prices!$J$3:$K$17,2,FALSE)*AA59)+(VLOOKUP($AB$2,[4]Prices!$J$3:$K$17,2,FALSE)*AB59)+M59</f>
        <v>7000000</v>
      </c>
      <c r="AD59" s="18"/>
      <c r="AE59" s="18"/>
      <c r="AF59" s="4">
        <f t="shared" si="0"/>
        <v>0</v>
      </c>
      <c r="AG59" s="4"/>
      <c r="AH59" s="16">
        <f t="shared" si="2"/>
        <v>0</v>
      </c>
      <c r="AI59" s="21">
        <f t="shared" si="1"/>
        <v>0</v>
      </c>
      <c r="AJ59" s="20">
        <f t="shared" si="3"/>
        <v>0</v>
      </c>
      <c r="AK59" s="19"/>
    </row>
    <row r="60" spans="1:37" hidden="1">
      <c r="A60" s="77">
        <v>58</v>
      </c>
      <c r="B60" s="78"/>
      <c r="C60" s="79"/>
      <c r="D60" s="79"/>
      <c r="E60" s="79"/>
      <c r="F60" s="79"/>
      <c r="G60" s="79"/>
      <c r="H60" s="80"/>
      <c r="I60" s="45" t="s">
        <v>717</v>
      </c>
      <c r="J60" s="45" t="s">
        <v>1388</v>
      </c>
      <c r="K60" s="46" t="s">
        <v>663</v>
      </c>
      <c r="L60" s="47" t="s">
        <v>1008</v>
      </c>
      <c r="M60" s="81">
        <f>IFERROR(VLOOKUP($L60,[3]Consolidated!$C$9:$AC$452,27,0),0)</f>
        <v>6929000</v>
      </c>
      <c r="N60" s="81">
        <f>IFERROR(VLOOKUP($L60,[3]Consolidated!$C$9:$AC$452,5,0),0)</f>
        <v>35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4">
        <f>(VLOOKUP($O$2,[4]Prices!$E$3:$K$17,2,FALSE)*O60)+(VLOOKUP($P$2,[4]Prices!$J$3:$K$17,2,FALSE)*P60)+(VLOOKUP($Q$2,[4]Prices!$J$3:$K$17,2,FALSE)*Q60)+(VLOOKUP($R$2,[4]Prices!$J$3:$K$17,2,FALSE)*R60)+(VLOOKUP($S$2,[4]Prices!$J$3:$K$17,2,FALSE)*S60)+(VLOOKUP($T$2,[4]Prices!$J$3:$K$17,2,FALSE)*T60)+(VLOOKUP($U$2,[4]Prices!$J$3:$K$17,2,FALSE)*U60)+(VLOOKUP($V$2,[4]Prices!$J$3:$K$17,2,FALSE)*V60)+(VLOOKUP($W$2,[4]Prices!$J$3:$K$17,2,FALSE)*W60)+(VLOOKUP($X$2,[4]Prices!$J$3:$K$17,2,FALSE)*X60)+(VLOOKUP($Y$2,[4]Prices!$J$3:$K$17,2,FALSE)*Y60)+(VLOOKUP($Z$2,[4]Prices!$J$3:$K$17,2,FALSE)*Z60)+(VLOOKUP($AA$2,[4]Prices!$J$3:$K$17,2,FALSE)*AA60)+(VLOOKUP($AB$2,[4]Prices!$J$3:$K$17,2,FALSE)*AB60)+M60</f>
        <v>6929000</v>
      </c>
      <c r="AD60" s="18"/>
      <c r="AE60" s="18"/>
      <c r="AF60" s="4">
        <f t="shared" si="0"/>
        <v>0</v>
      </c>
      <c r="AG60" s="4"/>
      <c r="AH60" s="16">
        <f t="shared" si="2"/>
        <v>0</v>
      </c>
      <c r="AI60" s="21">
        <f t="shared" si="1"/>
        <v>0</v>
      </c>
      <c r="AJ60" s="20">
        <f t="shared" si="3"/>
        <v>0</v>
      </c>
      <c r="AK60" s="9"/>
    </row>
    <row r="61" spans="1:37" hidden="1">
      <c r="A61" s="77">
        <v>59</v>
      </c>
      <c r="B61" s="78"/>
      <c r="C61" s="79"/>
      <c r="D61" s="79"/>
      <c r="E61" s="79"/>
      <c r="F61" s="79"/>
      <c r="G61" s="79"/>
      <c r="H61" s="80"/>
      <c r="I61" s="45" t="s">
        <v>718</v>
      </c>
      <c r="J61" s="45" t="s">
        <v>1388</v>
      </c>
      <c r="K61" s="46" t="s">
        <v>663</v>
      </c>
      <c r="L61" s="47" t="s">
        <v>1009</v>
      </c>
      <c r="M61" s="81">
        <f>IFERROR(VLOOKUP($L61,[3]Consolidated!$C$9:$AC$452,27,0),0)</f>
        <v>7762000</v>
      </c>
      <c r="N61" s="81">
        <f>IFERROR(VLOOKUP($L61,[3]Consolidated!$C$9:$AC$452,5,0),0)</f>
        <v>35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4">
        <f>(VLOOKUP($O$2,[4]Prices!$E$3:$K$17,2,FALSE)*O61)+(VLOOKUP($P$2,[4]Prices!$J$3:$K$17,2,FALSE)*P61)+(VLOOKUP($Q$2,[4]Prices!$J$3:$K$17,2,FALSE)*Q61)+(VLOOKUP($R$2,[4]Prices!$J$3:$K$17,2,FALSE)*R61)+(VLOOKUP($S$2,[4]Prices!$J$3:$K$17,2,FALSE)*S61)+(VLOOKUP($T$2,[4]Prices!$J$3:$K$17,2,FALSE)*T61)+(VLOOKUP($U$2,[4]Prices!$J$3:$K$17,2,FALSE)*U61)+(VLOOKUP($V$2,[4]Prices!$J$3:$K$17,2,FALSE)*V61)+(VLOOKUP($W$2,[4]Prices!$J$3:$K$17,2,FALSE)*W61)+(VLOOKUP($X$2,[4]Prices!$J$3:$K$17,2,FALSE)*X61)+(VLOOKUP($Y$2,[4]Prices!$J$3:$K$17,2,FALSE)*Y61)+(VLOOKUP($Z$2,[4]Prices!$J$3:$K$17,2,FALSE)*Z61)+(VLOOKUP($AA$2,[4]Prices!$J$3:$K$17,2,FALSE)*AA61)+(VLOOKUP($AB$2,[4]Prices!$J$3:$K$17,2,FALSE)*AB61)+M61</f>
        <v>7762000</v>
      </c>
      <c r="AD61" s="18"/>
      <c r="AE61" s="18"/>
      <c r="AF61" s="4">
        <f t="shared" si="0"/>
        <v>0</v>
      </c>
      <c r="AG61" s="4"/>
      <c r="AH61" s="16">
        <f t="shared" si="2"/>
        <v>0</v>
      </c>
      <c r="AI61" s="21">
        <f t="shared" si="1"/>
        <v>0</v>
      </c>
      <c r="AJ61" s="20">
        <f t="shared" si="3"/>
        <v>0</v>
      </c>
      <c r="AK61" s="9"/>
    </row>
    <row r="62" spans="1:37" hidden="1">
      <c r="A62" s="77">
        <v>60</v>
      </c>
      <c r="B62" s="78"/>
      <c r="C62" s="79"/>
      <c r="D62" s="79"/>
      <c r="E62" s="79"/>
      <c r="F62" s="79"/>
      <c r="G62" s="79"/>
      <c r="H62" s="80"/>
      <c r="I62" s="45" t="s">
        <v>719</v>
      </c>
      <c r="J62" s="45" t="s">
        <v>1388</v>
      </c>
      <c r="K62" s="46" t="s">
        <v>663</v>
      </c>
      <c r="L62" s="47" t="s">
        <v>1010</v>
      </c>
      <c r="M62" s="81">
        <f>IFERROR(VLOOKUP($L62,[3]Consolidated!$C$9:$AC$452,27,0),0)</f>
        <v>10649100</v>
      </c>
      <c r="N62" s="81">
        <f>IFERROR(VLOOKUP($L62,[3]Consolidated!$C$9:$AC$452,5,0),0)</f>
        <v>49.999999999999993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4">
        <f>(VLOOKUP($O$2,[4]Prices!$E$3:$K$17,2,FALSE)*O62)+(VLOOKUP($P$2,[4]Prices!$J$3:$K$17,2,FALSE)*P62)+(VLOOKUP($Q$2,[4]Prices!$J$3:$K$17,2,FALSE)*Q62)+(VLOOKUP($R$2,[4]Prices!$J$3:$K$17,2,FALSE)*R62)+(VLOOKUP($S$2,[4]Prices!$J$3:$K$17,2,FALSE)*S62)+(VLOOKUP($T$2,[4]Prices!$J$3:$K$17,2,FALSE)*T62)+(VLOOKUP($U$2,[4]Prices!$J$3:$K$17,2,FALSE)*U62)+(VLOOKUP($V$2,[4]Prices!$J$3:$K$17,2,FALSE)*V62)+(VLOOKUP($W$2,[4]Prices!$J$3:$K$17,2,FALSE)*W62)+(VLOOKUP($X$2,[4]Prices!$J$3:$K$17,2,FALSE)*X62)+(VLOOKUP($Y$2,[4]Prices!$J$3:$K$17,2,FALSE)*Y62)+(VLOOKUP($Z$2,[4]Prices!$J$3:$K$17,2,FALSE)*Z62)+(VLOOKUP($AA$2,[4]Prices!$J$3:$K$17,2,FALSE)*AA62)+(VLOOKUP($AB$2,[4]Prices!$J$3:$K$17,2,FALSE)*AB62)+M62</f>
        <v>10649100</v>
      </c>
      <c r="AD62" s="18"/>
      <c r="AE62" s="18"/>
      <c r="AF62" s="4">
        <f t="shared" si="0"/>
        <v>0</v>
      </c>
      <c r="AG62" s="4"/>
      <c r="AH62" s="16">
        <f t="shared" si="2"/>
        <v>0</v>
      </c>
      <c r="AI62" s="21">
        <f t="shared" si="1"/>
        <v>0</v>
      </c>
      <c r="AJ62" s="20">
        <f t="shared" si="3"/>
        <v>0</v>
      </c>
      <c r="AK62" s="9"/>
    </row>
    <row r="63" spans="1:37" hidden="1">
      <c r="A63" s="77">
        <v>61</v>
      </c>
      <c r="B63" s="78"/>
      <c r="C63" s="79"/>
      <c r="D63" s="79"/>
      <c r="E63" s="79"/>
      <c r="F63" s="79"/>
      <c r="G63" s="79"/>
      <c r="H63" s="80"/>
      <c r="I63" s="45" t="s">
        <v>720</v>
      </c>
      <c r="J63" s="45" t="s">
        <v>1388</v>
      </c>
      <c r="K63" s="46" t="s">
        <v>663</v>
      </c>
      <c r="L63" s="47" t="s">
        <v>1011</v>
      </c>
      <c r="M63" s="81">
        <f>IFERROR(VLOOKUP($L63,[3]Consolidated!$C$9:$AC$452,27,0),0)</f>
        <v>9253500</v>
      </c>
      <c r="N63" s="81">
        <f>IFERROR(VLOOKUP($L63,[3]Consolidated!$C$9:$AC$452,5,0),0)</f>
        <v>40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4">
        <f>(VLOOKUP($O$2,[4]Prices!$E$3:$K$17,2,FALSE)*O63)+(VLOOKUP($P$2,[4]Prices!$J$3:$K$17,2,FALSE)*P63)+(VLOOKUP($Q$2,[4]Prices!$J$3:$K$17,2,FALSE)*Q63)+(VLOOKUP($R$2,[4]Prices!$J$3:$K$17,2,FALSE)*R63)+(VLOOKUP($S$2,[4]Prices!$J$3:$K$17,2,FALSE)*S63)+(VLOOKUP($T$2,[4]Prices!$J$3:$K$17,2,FALSE)*T63)+(VLOOKUP($U$2,[4]Prices!$J$3:$K$17,2,FALSE)*U63)+(VLOOKUP($V$2,[4]Prices!$J$3:$K$17,2,FALSE)*V63)+(VLOOKUP($W$2,[4]Prices!$J$3:$K$17,2,FALSE)*W63)+(VLOOKUP($X$2,[4]Prices!$J$3:$K$17,2,FALSE)*X63)+(VLOOKUP($Y$2,[4]Prices!$J$3:$K$17,2,FALSE)*Y63)+(VLOOKUP($Z$2,[4]Prices!$J$3:$K$17,2,FALSE)*Z63)+(VLOOKUP($AA$2,[4]Prices!$J$3:$K$17,2,FALSE)*AA63)+(VLOOKUP($AB$2,[4]Prices!$J$3:$K$17,2,FALSE)*AB63)+M63</f>
        <v>9253500</v>
      </c>
      <c r="AD63" s="18"/>
      <c r="AE63" s="18"/>
      <c r="AF63" s="4">
        <f t="shared" si="0"/>
        <v>0</v>
      </c>
      <c r="AG63" s="4"/>
      <c r="AH63" s="16">
        <f t="shared" si="2"/>
        <v>0</v>
      </c>
      <c r="AI63" s="21">
        <f t="shared" si="1"/>
        <v>0</v>
      </c>
      <c r="AJ63" s="20">
        <f t="shared" si="3"/>
        <v>0</v>
      </c>
      <c r="AK63" s="9"/>
    </row>
    <row r="64" spans="1:37" hidden="1">
      <c r="A64" s="77">
        <v>62</v>
      </c>
      <c r="B64" s="78"/>
      <c r="C64" s="79"/>
      <c r="D64" s="79"/>
      <c r="E64" s="79"/>
      <c r="F64" s="79"/>
      <c r="G64" s="79"/>
      <c r="H64" s="80"/>
      <c r="I64" s="45" t="s">
        <v>721</v>
      </c>
      <c r="J64" s="45" t="s">
        <v>1388</v>
      </c>
      <c r="K64" s="46" t="s">
        <v>663</v>
      </c>
      <c r="L64" s="47" t="s">
        <v>1012</v>
      </c>
      <c r="M64" s="81">
        <f>IFERROR(VLOOKUP($L64,[3]Consolidated!$C$9:$AC$452,27,0),0)</f>
        <v>9253500</v>
      </c>
      <c r="N64" s="81">
        <f>IFERROR(VLOOKUP($L64,[3]Consolidated!$C$9:$AC$452,5,0),0)</f>
        <v>40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4">
        <f>(VLOOKUP($O$2,[4]Prices!$E$3:$K$17,2,FALSE)*O64)+(VLOOKUP($P$2,[4]Prices!$J$3:$K$17,2,FALSE)*P64)+(VLOOKUP($Q$2,[4]Prices!$J$3:$K$17,2,FALSE)*Q64)+(VLOOKUP($R$2,[4]Prices!$J$3:$K$17,2,FALSE)*R64)+(VLOOKUP($S$2,[4]Prices!$J$3:$K$17,2,FALSE)*S64)+(VLOOKUP($T$2,[4]Prices!$J$3:$K$17,2,FALSE)*T64)+(VLOOKUP($U$2,[4]Prices!$J$3:$K$17,2,FALSE)*U64)+(VLOOKUP($V$2,[4]Prices!$J$3:$K$17,2,FALSE)*V64)+(VLOOKUP($W$2,[4]Prices!$J$3:$K$17,2,FALSE)*W64)+(VLOOKUP($X$2,[4]Prices!$J$3:$K$17,2,FALSE)*X64)+(VLOOKUP($Y$2,[4]Prices!$J$3:$K$17,2,FALSE)*Y64)+(VLOOKUP($Z$2,[4]Prices!$J$3:$K$17,2,FALSE)*Z64)+(VLOOKUP($AA$2,[4]Prices!$J$3:$K$17,2,FALSE)*AA64)+(VLOOKUP($AB$2,[4]Prices!$J$3:$K$17,2,FALSE)*AB64)+M64</f>
        <v>9253500</v>
      </c>
      <c r="AD64" s="18"/>
      <c r="AE64" s="18"/>
      <c r="AF64" s="4">
        <f t="shared" si="0"/>
        <v>0</v>
      </c>
      <c r="AG64" s="4"/>
      <c r="AH64" s="16">
        <f t="shared" si="2"/>
        <v>0</v>
      </c>
      <c r="AI64" s="21">
        <f t="shared" si="1"/>
        <v>0</v>
      </c>
      <c r="AJ64" s="20">
        <f t="shared" si="3"/>
        <v>0</v>
      </c>
      <c r="AK64" s="9"/>
    </row>
    <row r="65" spans="1:37" hidden="1">
      <c r="A65" s="77">
        <v>63</v>
      </c>
      <c r="B65" s="78"/>
      <c r="C65" s="79"/>
      <c r="D65" s="79"/>
      <c r="E65" s="79"/>
      <c r="F65" s="79"/>
      <c r="G65" s="79"/>
      <c r="H65" s="80"/>
      <c r="I65" s="45" t="s">
        <v>723</v>
      </c>
      <c r="J65" s="45" t="s">
        <v>1388</v>
      </c>
      <c r="K65" s="46" t="s">
        <v>663</v>
      </c>
      <c r="L65" s="47" t="s">
        <v>1014</v>
      </c>
      <c r="M65" s="81">
        <f>IFERROR(VLOOKUP($L65,[3]Consolidated!$C$9:$AC$452,27,0),0)</f>
        <v>1852750</v>
      </c>
      <c r="N65" s="81">
        <f>IFERROR(VLOOKUP($L65,[3]Consolidated!$C$9:$AC$452,5,0),0)</f>
        <v>10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4">
        <f>(VLOOKUP($O$2,[4]Prices!$E$3:$K$17,2,FALSE)*O65)+(VLOOKUP($P$2,[4]Prices!$J$3:$K$17,2,FALSE)*P65)+(VLOOKUP($Q$2,[4]Prices!$J$3:$K$17,2,FALSE)*Q65)+(VLOOKUP($R$2,[4]Prices!$J$3:$K$17,2,FALSE)*R65)+(VLOOKUP($S$2,[4]Prices!$J$3:$K$17,2,FALSE)*S65)+(VLOOKUP($T$2,[4]Prices!$J$3:$K$17,2,FALSE)*T65)+(VLOOKUP($U$2,[4]Prices!$J$3:$K$17,2,FALSE)*U65)+(VLOOKUP($V$2,[4]Prices!$J$3:$K$17,2,FALSE)*V65)+(VLOOKUP($W$2,[4]Prices!$J$3:$K$17,2,FALSE)*W65)+(VLOOKUP($X$2,[4]Prices!$J$3:$K$17,2,FALSE)*X65)+(VLOOKUP($Y$2,[4]Prices!$J$3:$K$17,2,FALSE)*Y65)+(VLOOKUP($Z$2,[4]Prices!$J$3:$K$17,2,FALSE)*Z65)+(VLOOKUP($AA$2,[4]Prices!$J$3:$K$17,2,FALSE)*AA65)+(VLOOKUP($AB$2,[4]Prices!$J$3:$K$17,2,FALSE)*AB65)+M65</f>
        <v>1852750</v>
      </c>
      <c r="AD65" s="18"/>
      <c r="AE65" s="18"/>
      <c r="AF65" s="4">
        <f t="shared" si="0"/>
        <v>0</v>
      </c>
      <c r="AG65" s="4"/>
      <c r="AH65" s="16">
        <f t="shared" si="2"/>
        <v>0</v>
      </c>
      <c r="AI65" s="21">
        <f t="shared" si="1"/>
        <v>0</v>
      </c>
      <c r="AJ65" s="20">
        <f t="shared" si="3"/>
        <v>0</v>
      </c>
      <c r="AK65" s="9"/>
    </row>
    <row r="66" spans="1:37" hidden="1">
      <c r="A66" s="77">
        <v>64</v>
      </c>
      <c r="B66" s="78"/>
      <c r="C66" s="79"/>
      <c r="D66" s="79"/>
      <c r="E66" s="79"/>
      <c r="F66" s="79"/>
      <c r="G66" s="79"/>
      <c r="H66" s="80"/>
      <c r="I66" s="45" t="s">
        <v>724</v>
      </c>
      <c r="J66" s="45" t="s">
        <v>1388</v>
      </c>
      <c r="K66" s="46" t="s">
        <v>663</v>
      </c>
      <c r="L66" s="47" t="s">
        <v>1015</v>
      </c>
      <c r="M66" s="81">
        <f>IFERROR(VLOOKUP($L66,[3]Consolidated!$C$9:$AC$452,27,0),0)</f>
        <v>2812600</v>
      </c>
      <c r="N66" s="81">
        <f>IFERROR(VLOOKUP($L66,[3]Consolidated!$C$9:$AC$452,5,0),0)</f>
        <v>14.999999999999998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4">
        <f>(VLOOKUP($O$2,[4]Prices!$E$3:$K$17,2,FALSE)*O66)+(VLOOKUP($P$2,[4]Prices!$J$3:$K$17,2,FALSE)*P66)+(VLOOKUP($Q$2,[4]Prices!$J$3:$K$17,2,FALSE)*Q66)+(VLOOKUP($R$2,[4]Prices!$J$3:$K$17,2,FALSE)*R66)+(VLOOKUP($S$2,[4]Prices!$J$3:$K$17,2,FALSE)*S66)+(VLOOKUP($T$2,[4]Prices!$J$3:$K$17,2,FALSE)*T66)+(VLOOKUP($U$2,[4]Prices!$J$3:$K$17,2,FALSE)*U66)+(VLOOKUP($V$2,[4]Prices!$J$3:$K$17,2,FALSE)*V66)+(VLOOKUP($W$2,[4]Prices!$J$3:$K$17,2,FALSE)*W66)+(VLOOKUP($X$2,[4]Prices!$J$3:$K$17,2,FALSE)*X66)+(VLOOKUP($Y$2,[4]Prices!$J$3:$K$17,2,FALSE)*Y66)+(VLOOKUP($Z$2,[4]Prices!$J$3:$K$17,2,FALSE)*Z66)+(VLOOKUP($AA$2,[4]Prices!$J$3:$K$17,2,FALSE)*AA66)+(VLOOKUP($AB$2,[4]Prices!$J$3:$K$17,2,FALSE)*AB66)+M66</f>
        <v>2812600</v>
      </c>
      <c r="AD66" s="18"/>
      <c r="AE66" s="18"/>
      <c r="AF66" s="4">
        <f t="shared" si="0"/>
        <v>0</v>
      </c>
      <c r="AG66" s="4"/>
      <c r="AH66" s="16">
        <f t="shared" si="2"/>
        <v>0</v>
      </c>
      <c r="AI66" s="21">
        <f t="shared" si="1"/>
        <v>0</v>
      </c>
      <c r="AJ66" s="20">
        <f t="shared" si="3"/>
        <v>0</v>
      </c>
      <c r="AK66" s="9"/>
    </row>
    <row r="67" spans="1:37" hidden="1">
      <c r="A67" s="77">
        <v>65</v>
      </c>
      <c r="B67" s="78"/>
      <c r="C67" s="79"/>
      <c r="D67" s="79"/>
      <c r="E67" s="79"/>
      <c r="F67" s="79"/>
      <c r="G67" s="79"/>
      <c r="H67" s="80"/>
      <c r="I67" s="45" t="s">
        <v>725</v>
      </c>
      <c r="J67" s="45" t="s">
        <v>1388</v>
      </c>
      <c r="K67" s="46" t="s">
        <v>663</v>
      </c>
      <c r="L67" s="47" t="s">
        <v>1016</v>
      </c>
      <c r="M67" s="81">
        <f>IFERROR(VLOOKUP($L67,[3]Consolidated!$C$9:$AC$452,27,0),0)</f>
        <v>7200500</v>
      </c>
      <c r="N67" s="81">
        <f>IFERROR(VLOOKUP($L67,[3]Consolidated!$C$9:$AC$452,5,0),0)</f>
        <v>35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4">
        <f>(VLOOKUP($O$2,[4]Prices!$E$3:$K$17,2,FALSE)*O67)+(VLOOKUP($P$2,[4]Prices!$J$3:$K$17,2,FALSE)*P67)+(VLOOKUP($Q$2,[4]Prices!$J$3:$K$17,2,FALSE)*Q67)+(VLOOKUP($R$2,[4]Prices!$J$3:$K$17,2,FALSE)*R67)+(VLOOKUP($S$2,[4]Prices!$J$3:$K$17,2,FALSE)*S67)+(VLOOKUP($T$2,[4]Prices!$J$3:$K$17,2,FALSE)*T67)+(VLOOKUP($U$2,[4]Prices!$J$3:$K$17,2,FALSE)*U67)+(VLOOKUP($V$2,[4]Prices!$J$3:$K$17,2,FALSE)*V67)+(VLOOKUP($W$2,[4]Prices!$J$3:$K$17,2,FALSE)*W67)+(VLOOKUP($X$2,[4]Prices!$J$3:$K$17,2,FALSE)*X67)+(VLOOKUP($Y$2,[4]Prices!$J$3:$K$17,2,FALSE)*Y67)+(VLOOKUP($Z$2,[4]Prices!$J$3:$K$17,2,FALSE)*Z67)+(VLOOKUP($AA$2,[4]Prices!$J$3:$K$17,2,FALSE)*AA67)+(VLOOKUP($AB$2,[4]Prices!$J$3:$K$17,2,FALSE)*AB67)+M67</f>
        <v>7200500</v>
      </c>
      <c r="AD67" s="18"/>
      <c r="AE67" s="18"/>
      <c r="AF67" s="4">
        <f t="shared" ref="AF67:AF130" si="4">AD67-AE67</f>
        <v>0</v>
      </c>
      <c r="AG67" s="4"/>
      <c r="AH67" s="16">
        <f t="shared" si="2"/>
        <v>0</v>
      </c>
      <c r="AI67" s="21">
        <f t="shared" ref="AI67:AI131" si="5">AH67/M67</f>
        <v>0</v>
      </c>
      <c r="AJ67" s="20">
        <f t="shared" si="3"/>
        <v>0</v>
      </c>
      <c r="AK67" s="9"/>
    </row>
    <row r="68" spans="1:37" hidden="1">
      <c r="A68" s="77">
        <v>66</v>
      </c>
      <c r="B68" s="78"/>
      <c r="C68" s="79"/>
      <c r="D68" s="79"/>
      <c r="E68" s="79"/>
      <c r="F68" s="79"/>
      <c r="G68" s="79"/>
      <c r="H68" s="80"/>
      <c r="I68" s="45" t="s">
        <v>726</v>
      </c>
      <c r="J68" s="45" t="s">
        <v>1388</v>
      </c>
      <c r="K68" s="46" t="s">
        <v>663</v>
      </c>
      <c r="L68" s="47" t="s">
        <v>1017</v>
      </c>
      <c r="M68" s="81">
        <f>IFERROR(VLOOKUP($L68,[3]Consolidated!$C$9:$AC$452,27,0),0)</f>
        <v>16363250</v>
      </c>
      <c r="N68" s="81">
        <f>IFERROR(VLOOKUP($L68,[3]Consolidated!$C$9:$AC$452,5,0),0)</f>
        <v>70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4">
        <f>(VLOOKUP($O$2,[4]Prices!$E$3:$K$17,2,FALSE)*O68)+(VLOOKUP($P$2,[4]Prices!$J$3:$K$17,2,FALSE)*P68)+(VLOOKUP($Q$2,[4]Prices!$J$3:$K$17,2,FALSE)*Q68)+(VLOOKUP($R$2,[4]Prices!$J$3:$K$17,2,FALSE)*R68)+(VLOOKUP($S$2,[4]Prices!$J$3:$K$17,2,FALSE)*S68)+(VLOOKUP($T$2,[4]Prices!$J$3:$K$17,2,FALSE)*T68)+(VLOOKUP($U$2,[4]Prices!$J$3:$K$17,2,FALSE)*U68)+(VLOOKUP($V$2,[4]Prices!$J$3:$K$17,2,FALSE)*V68)+(VLOOKUP($W$2,[4]Prices!$J$3:$K$17,2,FALSE)*W68)+(VLOOKUP($X$2,[4]Prices!$J$3:$K$17,2,FALSE)*X68)+(VLOOKUP($Y$2,[4]Prices!$J$3:$K$17,2,FALSE)*Y68)+(VLOOKUP($Z$2,[4]Prices!$J$3:$K$17,2,FALSE)*Z68)+(VLOOKUP($AA$2,[4]Prices!$J$3:$K$17,2,FALSE)*AA68)+(VLOOKUP($AB$2,[4]Prices!$J$3:$K$17,2,FALSE)*AB68)+M68</f>
        <v>16363250</v>
      </c>
      <c r="AD68" s="18"/>
      <c r="AE68" s="18"/>
      <c r="AF68" s="4">
        <f t="shared" si="4"/>
        <v>0</v>
      </c>
      <c r="AG68" s="4"/>
      <c r="AH68" s="16">
        <f t="shared" ref="AH68:AH131" si="6">AD68+AG68</f>
        <v>0</v>
      </c>
      <c r="AI68" s="21">
        <f t="shared" si="5"/>
        <v>0</v>
      </c>
      <c r="AJ68" s="20">
        <f t="shared" si="3"/>
        <v>0</v>
      </c>
      <c r="AK68" s="9"/>
    </row>
    <row r="69" spans="1:37" hidden="1">
      <c r="A69" s="77">
        <v>67</v>
      </c>
      <c r="B69" s="78"/>
      <c r="C69" s="79"/>
      <c r="D69" s="79"/>
      <c r="E69" s="79"/>
      <c r="F69" s="79"/>
      <c r="G69" s="79"/>
      <c r="H69" s="80"/>
      <c r="I69" s="45" t="s">
        <v>727</v>
      </c>
      <c r="J69" s="45" t="s">
        <v>1388</v>
      </c>
      <c r="K69" s="46" t="s">
        <v>663</v>
      </c>
      <c r="L69" s="46" t="s">
        <v>1018</v>
      </c>
      <c r="M69" s="81">
        <f>IFERROR(VLOOKUP($L69,[3]Consolidated!$C$9:$AC$452,27,0),0)</f>
        <v>7951500</v>
      </c>
      <c r="N69" s="81">
        <f>IFERROR(VLOOKUP($L69,[3]Consolidated!$C$9:$AC$452,5,0),0)</f>
        <v>40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4">
        <f>(VLOOKUP($O$2,[4]Prices!$E$3:$K$17,2,FALSE)*O69)+(VLOOKUP($P$2,[4]Prices!$J$3:$K$17,2,FALSE)*P69)+(VLOOKUP($Q$2,[4]Prices!$J$3:$K$17,2,FALSE)*Q69)+(VLOOKUP($R$2,[4]Prices!$J$3:$K$17,2,FALSE)*R69)+(VLOOKUP($S$2,[4]Prices!$J$3:$K$17,2,FALSE)*S69)+(VLOOKUP($T$2,[4]Prices!$J$3:$K$17,2,FALSE)*T69)+(VLOOKUP($U$2,[4]Prices!$J$3:$K$17,2,FALSE)*U69)+(VLOOKUP($V$2,[4]Prices!$J$3:$K$17,2,FALSE)*V69)+(VLOOKUP($W$2,[4]Prices!$J$3:$K$17,2,FALSE)*W69)+(VLOOKUP($X$2,[4]Prices!$J$3:$K$17,2,FALSE)*X69)+(VLOOKUP($Y$2,[4]Prices!$J$3:$K$17,2,FALSE)*Y69)+(VLOOKUP($Z$2,[4]Prices!$J$3:$K$17,2,FALSE)*Z69)+(VLOOKUP($AA$2,[4]Prices!$J$3:$K$17,2,FALSE)*AA69)+(VLOOKUP($AB$2,[4]Prices!$J$3:$K$17,2,FALSE)*AB69)+M69</f>
        <v>7951500</v>
      </c>
      <c r="AD69" s="18"/>
      <c r="AE69" s="18"/>
      <c r="AF69" s="4">
        <f t="shared" si="4"/>
        <v>0</v>
      </c>
      <c r="AG69" s="4"/>
      <c r="AH69" s="16">
        <f t="shared" si="6"/>
        <v>0</v>
      </c>
      <c r="AI69" s="21">
        <f t="shared" si="5"/>
        <v>0</v>
      </c>
      <c r="AJ69" s="20">
        <f t="shared" ref="AJ69:AJ132" si="7">AH69/AC69</f>
        <v>0</v>
      </c>
      <c r="AK69" s="9"/>
    </row>
    <row r="70" spans="1:37" hidden="1">
      <c r="A70" s="77">
        <v>68</v>
      </c>
      <c r="B70" s="78"/>
      <c r="C70" s="79"/>
      <c r="D70" s="79"/>
      <c r="E70" s="79"/>
      <c r="F70" s="79"/>
      <c r="G70" s="79"/>
      <c r="H70" s="80"/>
      <c r="I70" s="45" t="s">
        <v>728</v>
      </c>
      <c r="J70" s="45" t="s">
        <v>1388</v>
      </c>
      <c r="K70" s="46" t="s">
        <v>663</v>
      </c>
      <c r="L70" s="46" t="s">
        <v>1019</v>
      </c>
      <c r="M70" s="81">
        <f>IFERROR(VLOOKUP($L70,[3]Consolidated!$C$9:$AC$452,27,0),0)</f>
        <v>2812600</v>
      </c>
      <c r="N70" s="81">
        <f>IFERROR(VLOOKUP($L70,[3]Consolidated!$C$9:$AC$452,5,0),0)</f>
        <v>14.999999999999998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4">
        <f>(VLOOKUP($O$2,[4]Prices!$E$3:$K$17,2,FALSE)*O70)+(VLOOKUP($P$2,[4]Prices!$J$3:$K$17,2,FALSE)*P70)+(VLOOKUP($Q$2,[4]Prices!$J$3:$K$17,2,FALSE)*Q70)+(VLOOKUP($R$2,[4]Prices!$J$3:$K$17,2,FALSE)*R70)+(VLOOKUP($S$2,[4]Prices!$J$3:$K$17,2,FALSE)*S70)+(VLOOKUP($T$2,[4]Prices!$J$3:$K$17,2,FALSE)*T70)+(VLOOKUP($U$2,[4]Prices!$J$3:$K$17,2,FALSE)*U70)+(VLOOKUP($V$2,[4]Prices!$J$3:$K$17,2,FALSE)*V70)+(VLOOKUP($W$2,[4]Prices!$J$3:$K$17,2,FALSE)*W70)+(VLOOKUP($X$2,[4]Prices!$J$3:$K$17,2,FALSE)*X70)+(VLOOKUP($Y$2,[4]Prices!$J$3:$K$17,2,FALSE)*Y70)+(VLOOKUP($Z$2,[4]Prices!$J$3:$K$17,2,FALSE)*Z70)+(VLOOKUP($AA$2,[4]Prices!$J$3:$K$17,2,FALSE)*AA70)+(VLOOKUP($AB$2,[4]Prices!$J$3:$K$17,2,FALSE)*AB70)+M70</f>
        <v>2812600</v>
      </c>
      <c r="AD70" s="18"/>
      <c r="AE70" s="18"/>
      <c r="AF70" s="4">
        <f t="shared" si="4"/>
        <v>0</v>
      </c>
      <c r="AG70" s="4"/>
      <c r="AH70" s="16">
        <f t="shared" si="6"/>
        <v>0</v>
      </c>
      <c r="AI70" s="21">
        <f t="shared" si="5"/>
        <v>0</v>
      </c>
      <c r="AJ70" s="20">
        <f t="shared" si="7"/>
        <v>0</v>
      </c>
      <c r="AK70" s="9"/>
    </row>
    <row r="71" spans="1:37" hidden="1">
      <c r="A71" s="77">
        <v>69</v>
      </c>
      <c r="B71" s="78"/>
      <c r="C71" s="79"/>
      <c r="D71" s="79"/>
      <c r="E71" s="79"/>
      <c r="F71" s="79"/>
      <c r="G71" s="79"/>
      <c r="H71" s="80"/>
      <c r="I71" s="45" t="s">
        <v>729</v>
      </c>
      <c r="J71" s="45" t="s">
        <v>1388</v>
      </c>
      <c r="K71" s="46" t="s">
        <v>663</v>
      </c>
      <c r="L71" s="46" t="s">
        <v>1020</v>
      </c>
      <c r="M71" s="81">
        <f>IFERROR(VLOOKUP($L71,[3]Consolidated!$C$9:$AC$452,27,0),0)</f>
        <v>9492500</v>
      </c>
      <c r="N71" s="81">
        <f>IFERROR(VLOOKUP($L71,[3]Consolidated!$C$9:$AC$452,5,0),0)</f>
        <v>40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4">
        <f>(VLOOKUP($O$2,[4]Prices!$E$3:$K$17,2,FALSE)*O71)+(VLOOKUP($P$2,[4]Prices!$J$3:$K$17,2,FALSE)*P71)+(VLOOKUP($Q$2,[4]Prices!$J$3:$K$17,2,FALSE)*Q71)+(VLOOKUP($R$2,[4]Prices!$J$3:$K$17,2,FALSE)*R71)+(VLOOKUP($S$2,[4]Prices!$J$3:$K$17,2,FALSE)*S71)+(VLOOKUP($T$2,[4]Prices!$J$3:$K$17,2,FALSE)*T71)+(VLOOKUP($U$2,[4]Prices!$J$3:$K$17,2,FALSE)*U71)+(VLOOKUP($V$2,[4]Prices!$J$3:$K$17,2,FALSE)*V71)+(VLOOKUP($W$2,[4]Prices!$J$3:$K$17,2,FALSE)*W71)+(VLOOKUP($X$2,[4]Prices!$J$3:$K$17,2,FALSE)*X71)+(VLOOKUP($Y$2,[4]Prices!$J$3:$K$17,2,FALSE)*Y71)+(VLOOKUP($Z$2,[4]Prices!$J$3:$K$17,2,FALSE)*Z71)+(VLOOKUP($AA$2,[4]Prices!$J$3:$K$17,2,FALSE)*AA71)+(VLOOKUP($AB$2,[4]Prices!$J$3:$K$17,2,FALSE)*AB71)+M71</f>
        <v>9492500</v>
      </c>
      <c r="AD71" s="18"/>
      <c r="AE71" s="18"/>
      <c r="AF71" s="4">
        <f t="shared" si="4"/>
        <v>0</v>
      </c>
      <c r="AG71" s="4"/>
      <c r="AH71" s="16">
        <f t="shared" si="6"/>
        <v>0</v>
      </c>
      <c r="AI71" s="21">
        <f t="shared" si="5"/>
        <v>0</v>
      </c>
      <c r="AJ71" s="20">
        <f t="shared" si="7"/>
        <v>0</v>
      </c>
      <c r="AK71" s="19"/>
    </row>
    <row r="72" spans="1:37" hidden="1">
      <c r="A72" s="77">
        <v>70</v>
      </c>
      <c r="B72" s="78"/>
      <c r="C72" s="79"/>
      <c r="D72" s="79"/>
      <c r="E72" s="79"/>
      <c r="F72" s="79"/>
      <c r="G72" s="79"/>
      <c r="H72" s="80"/>
      <c r="I72" s="45" t="s">
        <v>731</v>
      </c>
      <c r="J72" s="45" t="s">
        <v>1388</v>
      </c>
      <c r="K72" s="46" t="s">
        <v>663</v>
      </c>
      <c r="L72" s="46" t="s">
        <v>1022</v>
      </c>
      <c r="M72" s="81">
        <f>IFERROR(VLOOKUP($L72,[3]Consolidated!$C$9:$AC$452,27,0),0)</f>
        <v>1941500</v>
      </c>
      <c r="N72" s="81">
        <f>IFERROR(VLOOKUP($L72,[3]Consolidated!$C$9:$AC$452,5,0),0)</f>
        <v>10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4">
        <f>(VLOOKUP($O$2,[4]Prices!$E$3:$K$17,2,FALSE)*O72)+(VLOOKUP($P$2,[4]Prices!$J$3:$K$17,2,FALSE)*P72)+(VLOOKUP($Q$2,[4]Prices!$J$3:$K$17,2,FALSE)*Q72)+(VLOOKUP($R$2,[4]Prices!$J$3:$K$17,2,FALSE)*R72)+(VLOOKUP($S$2,[4]Prices!$J$3:$K$17,2,FALSE)*S72)+(VLOOKUP($T$2,[4]Prices!$J$3:$K$17,2,FALSE)*T72)+(VLOOKUP($U$2,[4]Prices!$J$3:$K$17,2,FALSE)*U72)+(VLOOKUP($V$2,[4]Prices!$J$3:$K$17,2,FALSE)*V72)+(VLOOKUP($W$2,[4]Prices!$J$3:$K$17,2,FALSE)*W72)+(VLOOKUP($X$2,[4]Prices!$J$3:$K$17,2,FALSE)*X72)+(VLOOKUP($Y$2,[4]Prices!$J$3:$K$17,2,FALSE)*Y72)+(VLOOKUP($Z$2,[4]Prices!$J$3:$K$17,2,FALSE)*Z72)+(VLOOKUP($AA$2,[4]Prices!$J$3:$K$17,2,FALSE)*AA72)+(VLOOKUP($AB$2,[4]Prices!$J$3:$K$17,2,FALSE)*AB72)+M72</f>
        <v>1941500</v>
      </c>
      <c r="AD72" s="18"/>
      <c r="AE72" s="18"/>
      <c r="AF72" s="4">
        <f t="shared" si="4"/>
        <v>0</v>
      </c>
      <c r="AG72" s="4"/>
      <c r="AH72" s="16">
        <f t="shared" si="6"/>
        <v>0</v>
      </c>
      <c r="AI72" s="21">
        <f t="shared" si="5"/>
        <v>0</v>
      </c>
      <c r="AJ72" s="20">
        <f t="shared" si="7"/>
        <v>0</v>
      </c>
      <c r="AK72" s="9"/>
    </row>
    <row r="73" spans="1:37" hidden="1">
      <c r="A73" s="77">
        <v>71</v>
      </c>
      <c r="B73" s="78"/>
      <c r="C73" s="79"/>
      <c r="D73" s="79"/>
      <c r="E73" s="79"/>
      <c r="F73" s="79"/>
      <c r="G73" s="79"/>
      <c r="H73" s="80"/>
      <c r="I73" s="45" t="s">
        <v>732</v>
      </c>
      <c r="J73" s="45" t="s">
        <v>1388</v>
      </c>
      <c r="K73" s="46" t="s">
        <v>663</v>
      </c>
      <c r="L73" s="47" t="s">
        <v>1023</v>
      </c>
      <c r="M73" s="81">
        <f>IFERROR(VLOOKUP($L73,[3]Consolidated!$C$9:$AC$452,27,0),0)</f>
        <v>1972500</v>
      </c>
      <c r="N73" s="81">
        <f>IFERROR(VLOOKUP($L73,[3]Consolidated!$C$9:$AC$452,5,0),0)</f>
        <v>10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4">
        <f>(VLOOKUP($O$2,[4]Prices!$E$3:$K$17,2,FALSE)*O73)+(VLOOKUP($P$2,[4]Prices!$J$3:$K$17,2,FALSE)*P73)+(VLOOKUP($Q$2,[4]Prices!$J$3:$K$17,2,FALSE)*Q73)+(VLOOKUP($R$2,[4]Prices!$J$3:$K$17,2,FALSE)*R73)+(VLOOKUP($S$2,[4]Prices!$J$3:$K$17,2,FALSE)*S73)+(VLOOKUP($T$2,[4]Prices!$J$3:$K$17,2,FALSE)*T73)+(VLOOKUP($U$2,[4]Prices!$J$3:$K$17,2,FALSE)*U73)+(VLOOKUP($V$2,[4]Prices!$J$3:$K$17,2,FALSE)*V73)+(VLOOKUP($W$2,[4]Prices!$J$3:$K$17,2,FALSE)*W73)+(VLOOKUP($X$2,[4]Prices!$J$3:$K$17,2,FALSE)*X73)+(VLOOKUP($Y$2,[4]Prices!$J$3:$K$17,2,FALSE)*Y73)+(VLOOKUP($Z$2,[4]Prices!$J$3:$K$17,2,FALSE)*Z73)+(VLOOKUP($AA$2,[4]Prices!$J$3:$K$17,2,FALSE)*AA73)+(VLOOKUP($AB$2,[4]Prices!$J$3:$K$17,2,FALSE)*AB73)+M73</f>
        <v>1972500</v>
      </c>
      <c r="AD73" s="18"/>
      <c r="AE73" s="18"/>
      <c r="AF73" s="4">
        <f t="shared" si="4"/>
        <v>0</v>
      </c>
      <c r="AG73" s="4"/>
      <c r="AH73" s="16">
        <f t="shared" si="6"/>
        <v>0</v>
      </c>
      <c r="AI73" s="21">
        <f t="shared" si="5"/>
        <v>0</v>
      </c>
      <c r="AJ73" s="20">
        <f t="shared" si="7"/>
        <v>0</v>
      </c>
      <c r="AK73" s="9"/>
    </row>
    <row r="74" spans="1:37" hidden="1">
      <c r="A74" s="77">
        <v>72</v>
      </c>
      <c r="B74" s="78"/>
      <c r="C74" s="79"/>
      <c r="D74" s="79"/>
      <c r="E74" s="79"/>
      <c r="F74" s="79"/>
      <c r="G74" s="79"/>
      <c r="H74" s="80"/>
      <c r="I74" s="45" t="s">
        <v>733</v>
      </c>
      <c r="J74" s="45" t="s">
        <v>1388</v>
      </c>
      <c r="K74" s="46" t="s">
        <v>663</v>
      </c>
      <c r="L74" s="47" t="s">
        <v>1024</v>
      </c>
      <c r="M74" s="81">
        <f>IFERROR(VLOOKUP($L74,[3]Consolidated!$C$9:$AC$452,27,0),0)</f>
        <v>0</v>
      </c>
      <c r="N74" s="81">
        <f>IFERROR(VLOOKUP($L74,[3]Consolidated!$C$9:$AC$452,5,0),0)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4">
        <f>(VLOOKUP($O$2,[4]Prices!$E$3:$K$17,2,FALSE)*O74)+(VLOOKUP($P$2,[4]Prices!$J$3:$K$17,2,FALSE)*P74)+(VLOOKUP($Q$2,[4]Prices!$J$3:$K$17,2,FALSE)*Q74)+(VLOOKUP($R$2,[4]Prices!$J$3:$K$17,2,FALSE)*R74)+(VLOOKUP($S$2,[4]Prices!$J$3:$K$17,2,FALSE)*S74)+(VLOOKUP($T$2,[4]Prices!$J$3:$K$17,2,FALSE)*T74)+(VLOOKUP($U$2,[4]Prices!$J$3:$K$17,2,FALSE)*U74)+(VLOOKUP($V$2,[4]Prices!$J$3:$K$17,2,FALSE)*V74)+(VLOOKUP($W$2,[4]Prices!$J$3:$K$17,2,FALSE)*W74)+(VLOOKUP($X$2,[4]Prices!$J$3:$K$17,2,FALSE)*X74)+(VLOOKUP($Y$2,[4]Prices!$J$3:$K$17,2,FALSE)*Y74)+(VLOOKUP($Z$2,[4]Prices!$J$3:$K$17,2,FALSE)*Z74)+(VLOOKUP($AA$2,[4]Prices!$J$3:$K$17,2,FALSE)*AA74)+(VLOOKUP($AB$2,[4]Prices!$J$3:$K$17,2,FALSE)*AB74)+M74</f>
        <v>0</v>
      </c>
      <c r="AD74" s="18"/>
      <c r="AE74" s="18"/>
      <c r="AF74" s="4">
        <f t="shared" si="4"/>
        <v>0</v>
      </c>
      <c r="AG74" s="4"/>
      <c r="AH74" s="16">
        <f t="shared" si="6"/>
        <v>0</v>
      </c>
      <c r="AI74" s="21" t="e">
        <f t="shared" si="5"/>
        <v>#DIV/0!</v>
      </c>
      <c r="AJ74" s="20" t="e">
        <f t="shared" si="7"/>
        <v>#DIV/0!</v>
      </c>
      <c r="AK74" s="9"/>
    </row>
    <row r="75" spans="1:37" hidden="1">
      <c r="A75" s="77">
        <v>73</v>
      </c>
      <c r="B75" s="78"/>
      <c r="C75" s="79"/>
      <c r="D75" s="79"/>
      <c r="E75" s="79"/>
      <c r="F75" s="79"/>
      <c r="G75" s="79"/>
      <c r="H75" s="80"/>
      <c r="I75" s="45" t="s">
        <v>734</v>
      </c>
      <c r="J75" s="45" t="s">
        <v>1388</v>
      </c>
      <c r="K75" s="46" t="s">
        <v>663</v>
      </c>
      <c r="L75" s="47" t="s">
        <v>1025</v>
      </c>
      <c r="M75" s="81">
        <f>IFERROR(VLOOKUP($L75,[3]Consolidated!$C$9:$AC$452,27,0),0)</f>
        <v>11558500</v>
      </c>
      <c r="N75" s="81">
        <f>IFERROR(VLOOKUP($L75,[3]Consolidated!$C$9:$AC$452,5,0),0)</f>
        <v>50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4">
        <f>(VLOOKUP($O$2,[4]Prices!$E$3:$K$17,2,FALSE)*O75)+(VLOOKUP($P$2,[4]Prices!$J$3:$K$17,2,FALSE)*P75)+(VLOOKUP($Q$2,[4]Prices!$J$3:$K$17,2,FALSE)*Q75)+(VLOOKUP($R$2,[4]Prices!$J$3:$K$17,2,FALSE)*R75)+(VLOOKUP($S$2,[4]Prices!$J$3:$K$17,2,FALSE)*S75)+(VLOOKUP($T$2,[4]Prices!$J$3:$K$17,2,FALSE)*T75)+(VLOOKUP($U$2,[4]Prices!$J$3:$K$17,2,FALSE)*U75)+(VLOOKUP($V$2,[4]Prices!$J$3:$K$17,2,FALSE)*V75)+(VLOOKUP($W$2,[4]Prices!$J$3:$K$17,2,FALSE)*W75)+(VLOOKUP($X$2,[4]Prices!$J$3:$K$17,2,FALSE)*X75)+(VLOOKUP($Y$2,[4]Prices!$J$3:$K$17,2,FALSE)*Y75)+(VLOOKUP($Z$2,[4]Prices!$J$3:$K$17,2,FALSE)*Z75)+(VLOOKUP($AA$2,[4]Prices!$J$3:$K$17,2,FALSE)*AA75)+(VLOOKUP($AB$2,[4]Prices!$J$3:$K$17,2,FALSE)*AB75)+M75</f>
        <v>11558500</v>
      </c>
      <c r="AD75" s="18"/>
      <c r="AE75" s="18"/>
      <c r="AF75" s="4">
        <f t="shared" si="4"/>
        <v>0</v>
      </c>
      <c r="AG75" s="4"/>
      <c r="AH75" s="16">
        <f t="shared" si="6"/>
        <v>0</v>
      </c>
      <c r="AI75" s="21">
        <f t="shared" si="5"/>
        <v>0</v>
      </c>
      <c r="AJ75" s="20">
        <f t="shared" si="7"/>
        <v>0</v>
      </c>
      <c r="AK75" s="9"/>
    </row>
    <row r="76" spans="1:37" hidden="1">
      <c r="A76" s="77">
        <v>74</v>
      </c>
      <c r="B76" s="78"/>
      <c r="C76" s="79"/>
      <c r="D76" s="79"/>
      <c r="E76" s="79"/>
      <c r="F76" s="79"/>
      <c r="G76" s="79"/>
      <c r="H76" s="80"/>
      <c r="I76" s="45" t="s">
        <v>736</v>
      </c>
      <c r="J76" s="45" t="s">
        <v>1388</v>
      </c>
      <c r="K76" s="46" t="s">
        <v>663</v>
      </c>
      <c r="L76" s="47" t="s">
        <v>1027</v>
      </c>
      <c r="M76" s="81">
        <f>IFERROR(VLOOKUP($L76,[3]Consolidated!$C$9:$AC$452,27,0),0)</f>
        <v>2838750</v>
      </c>
      <c r="N76" s="81">
        <f>IFERROR(VLOOKUP($L76,[3]Consolidated!$C$9:$AC$452,5,0),0)</f>
        <v>15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4">
        <f>(VLOOKUP($O$2,[4]Prices!$E$3:$K$17,2,FALSE)*O76)+(VLOOKUP($P$2,[4]Prices!$J$3:$K$17,2,FALSE)*P76)+(VLOOKUP($Q$2,[4]Prices!$J$3:$K$17,2,FALSE)*Q76)+(VLOOKUP($R$2,[4]Prices!$J$3:$K$17,2,FALSE)*R76)+(VLOOKUP($S$2,[4]Prices!$J$3:$K$17,2,FALSE)*S76)+(VLOOKUP($T$2,[4]Prices!$J$3:$K$17,2,FALSE)*T76)+(VLOOKUP($U$2,[4]Prices!$J$3:$K$17,2,FALSE)*U76)+(VLOOKUP($V$2,[4]Prices!$J$3:$K$17,2,FALSE)*V76)+(VLOOKUP($W$2,[4]Prices!$J$3:$K$17,2,FALSE)*W76)+(VLOOKUP($X$2,[4]Prices!$J$3:$K$17,2,FALSE)*X76)+(VLOOKUP($Y$2,[4]Prices!$J$3:$K$17,2,FALSE)*Y76)+(VLOOKUP($Z$2,[4]Prices!$J$3:$K$17,2,FALSE)*Z76)+(VLOOKUP($AA$2,[4]Prices!$J$3:$K$17,2,FALSE)*AA76)+(VLOOKUP($AB$2,[4]Prices!$J$3:$K$17,2,FALSE)*AB76)+M76</f>
        <v>2838750</v>
      </c>
      <c r="AD76" s="18"/>
      <c r="AE76" s="18"/>
      <c r="AF76" s="4">
        <f t="shared" si="4"/>
        <v>0</v>
      </c>
      <c r="AG76" s="4"/>
      <c r="AH76" s="16">
        <f t="shared" si="6"/>
        <v>0</v>
      </c>
      <c r="AI76" s="21">
        <f t="shared" si="5"/>
        <v>0</v>
      </c>
      <c r="AJ76" s="20">
        <f t="shared" si="7"/>
        <v>0</v>
      </c>
      <c r="AK76" s="9"/>
    </row>
    <row r="77" spans="1:37" hidden="1">
      <c r="A77" s="77">
        <v>75</v>
      </c>
      <c r="B77" s="78"/>
      <c r="C77" s="79"/>
      <c r="D77" s="79"/>
      <c r="E77" s="79"/>
      <c r="F77" s="79"/>
      <c r="G77" s="79"/>
      <c r="H77" s="80"/>
      <c r="I77" s="45" t="s">
        <v>737</v>
      </c>
      <c r="J77" s="45" t="s">
        <v>1388</v>
      </c>
      <c r="K77" s="46" t="s">
        <v>663</v>
      </c>
      <c r="L77" s="47" t="s">
        <v>1028</v>
      </c>
      <c r="M77" s="81">
        <f>IFERROR(VLOOKUP($L77,[3]Consolidated!$C$9:$AC$452,27,0),0)</f>
        <v>2812600</v>
      </c>
      <c r="N77" s="81">
        <f>IFERROR(VLOOKUP($L77,[3]Consolidated!$C$9:$AC$452,5,0),0)</f>
        <v>14.999999999999998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4">
        <f>(VLOOKUP($O$2,[4]Prices!$E$3:$K$17,2,FALSE)*O77)+(VLOOKUP($P$2,[4]Prices!$J$3:$K$17,2,FALSE)*P77)+(VLOOKUP($Q$2,[4]Prices!$J$3:$K$17,2,FALSE)*Q77)+(VLOOKUP($R$2,[4]Prices!$J$3:$K$17,2,FALSE)*R77)+(VLOOKUP($S$2,[4]Prices!$J$3:$K$17,2,FALSE)*S77)+(VLOOKUP($T$2,[4]Prices!$J$3:$K$17,2,FALSE)*T77)+(VLOOKUP($U$2,[4]Prices!$J$3:$K$17,2,FALSE)*U77)+(VLOOKUP($V$2,[4]Prices!$J$3:$K$17,2,FALSE)*V77)+(VLOOKUP($W$2,[4]Prices!$J$3:$K$17,2,FALSE)*W77)+(VLOOKUP($X$2,[4]Prices!$J$3:$K$17,2,FALSE)*X77)+(VLOOKUP($Y$2,[4]Prices!$J$3:$K$17,2,FALSE)*Y77)+(VLOOKUP($Z$2,[4]Prices!$J$3:$K$17,2,FALSE)*Z77)+(VLOOKUP($AA$2,[4]Prices!$J$3:$K$17,2,FALSE)*AA77)+(VLOOKUP($AB$2,[4]Prices!$J$3:$K$17,2,FALSE)*AB77)+M77</f>
        <v>2812600</v>
      </c>
      <c r="AD77" s="18"/>
      <c r="AE77" s="18"/>
      <c r="AF77" s="4">
        <f t="shared" si="4"/>
        <v>0</v>
      </c>
      <c r="AG77" s="4"/>
      <c r="AH77" s="16">
        <f t="shared" si="6"/>
        <v>0</v>
      </c>
      <c r="AI77" s="21">
        <f t="shared" si="5"/>
        <v>0</v>
      </c>
      <c r="AJ77" s="20">
        <f t="shared" si="7"/>
        <v>0</v>
      </c>
      <c r="AK77" s="9"/>
    </row>
    <row r="78" spans="1:37" hidden="1">
      <c r="A78" s="77">
        <v>76</v>
      </c>
      <c r="B78" s="78"/>
      <c r="C78" s="79"/>
      <c r="D78" s="79"/>
      <c r="E78" s="79"/>
      <c r="F78" s="79"/>
      <c r="G78" s="79"/>
      <c r="H78" s="80"/>
      <c r="I78" s="45" t="s">
        <v>738</v>
      </c>
      <c r="J78" s="45" t="s">
        <v>1388</v>
      </c>
      <c r="K78" s="46" t="s">
        <v>663</v>
      </c>
      <c r="L78" s="47" t="s">
        <v>1029</v>
      </c>
      <c r="M78" s="81">
        <f>IFERROR(VLOOKUP($L78,[3]Consolidated!$C$9:$AC$452,27,0),0)</f>
        <v>0</v>
      </c>
      <c r="N78" s="81">
        <f>IFERROR(VLOOKUP($L78,[3]Consolidated!$C$9:$AC$452,5,0),0)</f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4">
        <f>(VLOOKUP($O$2,[4]Prices!$E$3:$K$17,2,FALSE)*O78)+(VLOOKUP($P$2,[4]Prices!$J$3:$K$17,2,FALSE)*P78)+(VLOOKUP($Q$2,[4]Prices!$J$3:$K$17,2,FALSE)*Q78)+(VLOOKUP($R$2,[4]Prices!$J$3:$K$17,2,FALSE)*R78)+(VLOOKUP($S$2,[4]Prices!$J$3:$K$17,2,FALSE)*S78)+(VLOOKUP($T$2,[4]Prices!$J$3:$K$17,2,FALSE)*T78)+(VLOOKUP($U$2,[4]Prices!$J$3:$K$17,2,FALSE)*U78)+(VLOOKUP($V$2,[4]Prices!$J$3:$K$17,2,FALSE)*V78)+(VLOOKUP($W$2,[4]Prices!$J$3:$K$17,2,FALSE)*W78)+(VLOOKUP($X$2,[4]Prices!$J$3:$K$17,2,FALSE)*X78)+(VLOOKUP($Y$2,[4]Prices!$J$3:$K$17,2,FALSE)*Y78)+(VLOOKUP($Z$2,[4]Prices!$J$3:$K$17,2,FALSE)*Z78)+(VLOOKUP($AA$2,[4]Prices!$J$3:$K$17,2,FALSE)*AA78)+(VLOOKUP($AB$2,[4]Prices!$J$3:$K$17,2,FALSE)*AB78)+M78</f>
        <v>0</v>
      </c>
      <c r="AD78" s="18"/>
      <c r="AE78" s="18"/>
      <c r="AF78" s="4">
        <f t="shared" si="4"/>
        <v>0</v>
      </c>
      <c r="AG78" s="4"/>
      <c r="AH78" s="16">
        <f t="shared" si="6"/>
        <v>0</v>
      </c>
      <c r="AI78" s="21" t="e">
        <f t="shared" si="5"/>
        <v>#DIV/0!</v>
      </c>
      <c r="AJ78" s="20" t="e">
        <f t="shared" si="7"/>
        <v>#DIV/0!</v>
      </c>
      <c r="AK78" s="9"/>
    </row>
    <row r="79" spans="1:37" hidden="1">
      <c r="A79" s="77">
        <v>77</v>
      </c>
      <c r="B79" s="78"/>
      <c r="C79" s="79"/>
      <c r="D79" s="79"/>
      <c r="E79" s="79"/>
      <c r="F79" s="79"/>
      <c r="G79" s="79"/>
      <c r="H79" s="80"/>
      <c r="I79" s="45" t="s">
        <v>1319</v>
      </c>
      <c r="J79" s="45" t="s">
        <v>1388</v>
      </c>
      <c r="K79" s="46" t="s">
        <v>663</v>
      </c>
      <c r="L79" s="47" t="s">
        <v>1346</v>
      </c>
      <c r="M79" s="81">
        <f>IFERROR(VLOOKUP($L79,[3]Consolidated!$C$9:$AC$452,27,0),0)</f>
        <v>1786500</v>
      </c>
      <c r="N79" s="81">
        <f>IFERROR(VLOOKUP($L79,[3]Consolidated!$C$9:$AC$452,5,0),0)</f>
        <v>10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4">
        <f>(VLOOKUP($O$2,[4]Prices!$E$3:$K$17,2,FALSE)*O79)+(VLOOKUP($P$2,[4]Prices!$J$3:$K$17,2,FALSE)*P79)+(VLOOKUP($Q$2,[4]Prices!$J$3:$K$17,2,FALSE)*Q79)+(VLOOKUP($R$2,[4]Prices!$J$3:$K$17,2,FALSE)*R79)+(VLOOKUP($S$2,[4]Prices!$J$3:$K$17,2,FALSE)*S79)+(VLOOKUP($T$2,[4]Prices!$J$3:$K$17,2,FALSE)*T79)+(VLOOKUP($U$2,[4]Prices!$J$3:$K$17,2,FALSE)*U79)+(VLOOKUP($V$2,[4]Prices!$J$3:$K$17,2,FALSE)*V79)+(VLOOKUP($W$2,[4]Prices!$J$3:$K$17,2,FALSE)*W79)+(VLOOKUP($X$2,[4]Prices!$J$3:$K$17,2,FALSE)*X79)+(VLOOKUP($Y$2,[4]Prices!$J$3:$K$17,2,FALSE)*Y79)+(VLOOKUP($Z$2,[4]Prices!$J$3:$K$17,2,FALSE)*Z79)+(VLOOKUP($AA$2,[4]Prices!$J$3:$K$17,2,FALSE)*AA79)+(VLOOKUP($AB$2,[4]Prices!$J$3:$K$17,2,FALSE)*AB79)+M79</f>
        <v>1786500</v>
      </c>
      <c r="AD79" s="18"/>
      <c r="AE79" s="18"/>
      <c r="AF79" s="4">
        <f t="shared" si="4"/>
        <v>0</v>
      </c>
      <c r="AG79" s="4"/>
      <c r="AH79" s="16">
        <f t="shared" si="6"/>
        <v>0</v>
      </c>
      <c r="AI79" s="21">
        <f t="shared" si="5"/>
        <v>0</v>
      </c>
      <c r="AJ79" s="20">
        <f t="shared" si="7"/>
        <v>0</v>
      </c>
      <c r="AK79" s="9"/>
    </row>
    <row r="80" spans="1:37" hidden="1">
      <c r="A80" s="77">
        <v>78</v>
      </c>
      <c r="B80" s="78"/>
      <c r="C80" s="79"/>
      <c r="D80" s="79"/>
      <c r="E80" s="79"/>
      <c r="F80" s="79"/>
      <c r="G80" s="79"/>
      <c r="H80" s="80"/>
      <c r="I80" s="45" t="s">
        <v>1322</v>
      </c>
      <c r="J80" s="45" t="s">
        <v>1388</v>
      </c>
      <c r="K80" s="46" t="s">
        <v>663</v>
      </c>
      <c r="L80" s="47" t="s">
        <v>1056</v>
      </c>
      <c r="M80" s="81">
        <f>IFERROR(VLOOKUP($L80,[3]Consolidated!$C$9:$AC$452,27,0),0)</f>
        <v>9038500</v>
      </c>
      <c r="N80" s="81">
        <f>IFERROR(VLOOKUP($L80,[3]Consolidated!$C$9:$AC$452,5,0),0)</f>
        <v>40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4">
        <f>(VLOOKUP($O$2,[4]Prices!$E$3:$K$17,2,FALSE)*O80)+(VLOOKUP($P$2,[4]Prices!$J$3:$K$17,2,FALSE)*P80)+(VLOOKUP($Q$2,[4]Prices!$J$3:$K$17,2,FALSE)*Q80)+(VLOOKUP($R$2,[4]Prices!$J$3:$K$17,2,FALSE)*R80)+(VLOOKUP($S$2,[4]Prices!$J$3:$K$17,2,FALSE)*S80)+(VLOOKUP($T$2,[4]Prices!$J$3:$K$17,2,FALSE)*T80)+(VLOOKUP($U$2,[4]Prices!$J$3:$K$17,2,FALSE)*U80)+(VLOOKUP($V$2,[4]Prices!$J$3:$K$17,2,FALSE)*V80)+(VLOOKUP($W$2,[4]Prices!$J$3:$K$17,2,FALSE)*W80)+(VLOOKUP($X$2,[4]Prices!$J$3:$K$17,2,FALSE)*X80)+(VLOOKUP($Y$2,[4]Prices!$J$3:$K$17,2,FALSE)*Y80)+(VLOOKUP($Z$2,[4]Prices!$J$3:$K$17,2,FALSE)*Z80)+(VLOOKUP($AA$2,[4]Prices!$J$3:$K$17,2,FALSE)*AA80)+(VLOOKUP($AB$2,[4]Prices!$J$3:$K$17,2,FALSE)*AB80)+M80</f>
        <v>9038500</v>
      </c>
      <c r="AD80" s="18"/>
      <c r="AE80" s="18"/>
      <c r="AF80" s="4">
        <f t="shared" si="4"/>
        <v>0</v>
      </c>
      <c r="AG80" s="4"/>
      <c r="AH80" s="16">
        <f t="shared" si="6"/>
        <v>0</v>
      </c>
      <c r="AI80" s="21">
        <f t="shared" si="5"/>
        <v>0</v>
      </c>
      <c r="AJ80" s="20">
        <f t="shared" si="7"/>
        <v>0</v>
      </c>
      <c r="AK80" s="19"/>
    </row>
    <row r="81" spans="1:37" hidden="1">
      <c r="A81" s="77">
        <v>79</v>
      </c>
      <c r="B81" s="78"/>
      <c r="C81" s="79"/>
      <c r="D81" s="79"/>
      <c r="E81" s="79"/>
      <c r="F81" s="79"/>
      <c r="G81" s="79"/>
      <c r="H81" s="80"/>
      <c r="I81" s="45" t="s">
        <v>1323</v>
      </c>
      <c r="J81" s="45" t="s">
        <v>1388</v>
      </c>
      <c r="K81" s="46" t="s">
        <v>663</v>
      </c>
      <c r="L81" s="47" t="s">
        <v>1057</v>
      </c>
      <c r="M81" s="81">
        <f>IFERROR(VLOOKUP($L81,[3]Consolidated!$C$9:$AC$452,27,0),0)</f>
        <v>8129500</v>
      </c>
      <c r="N81" s="81">
        <f>IFERROR(VLOOKUP($L81,[3]Consolidated!$C$9:$AC$452,5,0),0)</f>
        <v>35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4">
        <f>(VLOOKUP($O$2,[4]Prices!$E$3:$K$17,2,FALSE)*O81)+(VLOOKUP($P$2,[4]Prices!$J$3:$K$17,2,FALSE)*P81)+(VLOOKUP($Q$2,[4]Prices!$J$3:$K$17,2,FALSE)*Q81)+(VLOOKUP($R$2,[4]Prices!$J$3:$K$17,2,FALSE)*R81)+(VLOOKUP($S$2,[4]Prices!$J$3:$K$17,2,FALSE)*S81)+(VLOOKUP($T$2,[4]Prices!$J$3:$K$17,2,FALSE)*T81)+(VLOOKUP($U$2,[4]Prices!$J$3:$K$17,2,FALSE)*U81)+(VLOOKUP($V$2,[4]Prices!$J$3:$K$17,2,FALSE)*V81)+(VLOOKUP($W$2,[4]Prices!$J$3:$K$17,2,FALSE)*W81)+(VLOOKUP($X$2,[4]Prices!$J$3:$K$17,2,FALSE)*X81)+(VLOOKUP($Y$2,[4]Prices!$J$3:$K$17,2,FALSE)*Y81)+(VLOOKUP($Z$2,[4]Prices!$J$3:$K$17,2,FALSE)*Z81)+(VLOOKUP($AA$2,[4]Prices!$J$3:$K$17,2,FALSE)*AA81)+(VLOOKUP($AB$2,[4]Prices!$J$3:$K$17,2,FALSE)*AB81)+M81</f>
        <v>8129500</v>
      </c>
      <c r="AD81" s="18"/>
      <c r="AE81" s="18"/>
      <c r="AF81" s="4">
        <f t="shared" si="4"/>
        <v>0</v>
      </c>
      <c r="AG81" s="4"/>
      <c r="AH81" s="16">
        <f t="shared" si="6"/>
        <v>0</v>
      </c>
      <c r="AI81" s="21">
        <f t="shared" si="5"/>
        <v>0</v>
      </c>
      <c r="AJ81" s="20">
        <f t="shared" si="7"/>
        <v>0</v>
      </c>
      <c r="AK81" s="9"/>
    </row>
    <row r="82" spans="1:37" hidden="1">
      <c r="A82" s="77">
        <v>80</v>
      </c>
      <c r="B82" s="78"/>
      <c r="C82" s="79"/>
      <c r="D82" s="79"/>
      <c r="E82" s="79"/>
      <c r="F82" s="79"/>
      <c r="G82" s="79"/>
      <c r="H82" s="80"/>
      <c r="I82" s="45" t="s">
        <v>1324</v>
      </c>
      <c r="J82" s="45" t="s">
        <v>1388</v>
      </c>
      <c r="K82" s="46" t="s">
        <v>663</v>
      </c>
      <c r="L82" s="47" t="s">
        <v>1058</v>
      </c>
      <c r="M82" s="81">
        <f>IFERROR(VLOOKUP($L82,[3]Consolidated!$C$9:$AC$452,27,0),0)</f>
        <v>0</v>
      </c>
      <c r="N82" s="81">
        <f>IFERROR(VLOOKUP($L82,[3]Consolidated!$C$9:$AC$452,5,0),0)</f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4">
        <f>(VLOOKUP($O$2,[4]Prices!$E$3:$K$17,2,FALSE)*O82)+(VLOOKUP($P$2,[4]Prices!$J$3:$K$17,2,FALSE)*P82)+(VLOOKUP($Q$2,[4]Prices!$J$3:$K$17,2,FALSE)*Q82)+(VLOOKUP($R$2,[4]Prices!$J$3:$K$17,2,FALSE)*R82)+(VLOOKUP($S$2,[4]Prices!$J$3:$K$17,2,FALSE)*S82)+(VLOOKUP($T$2,[4]Prices!$J$3:$K$17,2,FALSE)*T82)+(VLOOKUP($U$2,[4]Prices!$J$3:$K$17,2,FALSE)*U82)+(VLOOKUP($V$2,[4]Prices!$J$3:$K$17,2,FALSE)*V82)+(VLOOKUP($W$2,[4]Prices!$J$3:$K$17,2,FALSE)*W82)+(VLOOKUP($X$2,[4]Prices!$J$3:$K$17,2,FALSE)*X82)+(VLOOKUP($Y$2,[4]Prices!$J$3:$K$17,2,FALSE)*Y82)+(VLOOKUP($Z$2,[4]Prices!$J$3:$K$17,2,FALSE)*Z82)+(VLOOKUP($AA$2,[4]Prices!$J$3:$K$17,2,FALSE)*AA82)+(VLOOKUP($AB$2,[4]Prices!$J$3:$K$17,2,FALSE)*AB82)+M82</f>
        <v>0</v>
      </c>
      <c r="AD82" s="18"/>
      <c r="AE82" s="18"/>
      <c r="AF82" s="4">
        <f t="shared" si="4"/>
        <v>0</v>
      </c>
      <c r="AG82" s="4"/>
      <c r="AH82" s="16">
        <f t="shared" si="6"/>
        <v>0</v>
      </c>
      <c r="AI82" s="21" t="e">
        <f t="shared" si="5"/>
        <v>#DIV/0!</v>
      </c>
      <c r="AJ82" s="20" t="e">
        <f t="shared" si="7"/>
        <v>#DIV/0!</v>
      </c>
      <c r="AK82" s="9"/>
    </row>
    <row r="83" spans="1:37" hidden="1">
      <c r="A83" s="77">
        <v>81</v>
      </c>
      <c r="B83" s="78"/>
      <c r="C83" s="79"/>
      <c r="D83" s="79"/>
      <c r="E83" s="79"/>
      <c r="F83" s="79"/>
      <c r="G83" s="79"/>
      <c r="H83" s="80"/>
      <c r="I83" s="45" t="s">
        <v>1325</v>
      </c>
      <c r="J83" s="45" t="s">
        <v>1388</v>
      </c>
      <c r="K83" s="46" t="s">
        <v>663</v>
      </c>
      <c r="L83" s="47" t="s">
        <v>1055</v>
      </c>
      <c r="M83" s="81">
        <f>IFERROR(VLOOKUP($L83,[3]Consolidated!$C$9:$AC$452,27,0),0)</f>
        <v>13016500</v>
      </c>
      <c r="N83" s="81">
        <f>IFERROR(VLOOKUP($L83,[3]Consolidated!$C$9:$AC$452,5,0),0)</f>
        <v>70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4">
        <f>(VLOOKUP($O$2,[4]Prices!$E$3:$K$17,2,FALSE)*O83)+(VLOOKUP($P$2,[4]Prices!$J$3:$K$17,2,FALSE)*P83)+(VLOOKUP($Q$2,[4]Prices!$J$3:$K$17,2,FALSE)*Q83)+(VLOOKUP($R$2,[4]Prices!$J$3:$K$17,2,FALSE)*R83)+(VLOOKUP($S$2,[4]Prices!$J$3:$K$17,2,FALSE)*S83)+(VLOOKUP($T$2,[4]Prices!$J$3:$K$17,2,FALSE)*T83)+(VLOOKUP($U$2,[4]Prices!$J$3:$K$17,2,FALSE)*U83)+(VLOOKUP($V$2,[4]Prices!$J$3:$K$17,2,FALSE)*V83)+(VLOOKUP($W$2,[4]Prices!$J$3:$K$17,2,FALSE)*W83)+(VLOOKUP($X$2,[4]Prices!$J$3:$K$17,2,FALSE)*X83)+(VLOOKUP($Y$2,[4]Prices!$J$3:$K$17,2,FALSE)*Y83)+(VLOOKUP($Z$2,[4]Prices!$J$3:$K$17,2,FALSE)*Z83)+(VLOOKUP($AA$2,[4]Prices!$J$3:$K$17,2,FALSE)*AA83)+(VLOOKUP($AB$2,[4]Prices!$J$3:$K$17,2,FALSE)*AB83)+M83</f>
        <v>13016500</v>
      </c>
      <c r="AD83" s="18"/>
      <c r="AE83" s="18"/>
      <c r="AF83" s="4">
        <f t="shared" si="4"/>
        <v>0</v>
      </c>
      <c r="AG83" s="4"/>
      <c r="AH83" s="16">
        <f t="shared" si="6"/>
        <v>0</v>
      </c>
      <c r="AI83" s="21">
        <f t="shared" si="5"/>
        <v>0</v>
      </c>
      <c r="AJ83" s="20">
        <f t="shared" si="7"/>
        <v>0</v>
      </c>
      <c r="AK83" s="9"/>
    </row>
    <row r="84" spans="1:37" hidden="1">
      <c r="A84" s="77">
        <v>82</v>
      </c>
      <c r="B84" s="78"/>
      <c r="C84" s="79"/>
      <c r="D84" s="79"/>
      <c r="E84" s="79"/>
      <c r="F84" s="79"/>
      <c r="G84" s="79"/>
      <c r="H84" s="80"/>
      <c r="I84" s="45" t="s">
        <v>763</v>
      </c>
      <c r="J84" s="45" t="s">
        <v>1388</v>
      </c>
      <c r="K84" s="46" t="s">
        <v>663</v>
      </c>
      <c r="L84" s="47" t="s">
        <v>1059</v>
      </c>
      <c r="M84" s="81">
        <f>IFERROR(VLOOKUP($L84,[3]Consolidated!$C$9:$AC$452,27,0),0)</f>
        <v>2812600</v>
      </c>
      <c r="N84" s="81">
        <f>IFERROR(VLOOKUP($L84,[3]Consolidated!$C$9:$AC$452,5,0),0)</f>
        <v>14.999999999999998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4">
        <f>(VLOOKUP($O$2,[4]Prices!$E$3:$K$17,2,FALSE)*O84)+(VLOOKUP($P$2,[4]Prices!$J$3:$K$17,2,FALSE)*P84)+(VLOOKUP($Q$2,[4]Prices!$J$3:$K$17,2,FALSE)*Q84)+(VLOOKUP($R$2,[4]Prices!$J$3:$K$17,2,FALSE)*R84)+(VLOOKUP($S$2,[4]Prices!$J$3:$K$17,2,FALSE)*S84)+(VLOOKUP($T$2,[4]Prices!$J$3:$K$17,2,FALSE)*T84)+(VLOOKUP($U$2,[4]Prices!$J$3:$K$17,2,FALSE)*U84)+(VLOOKUP($V$2,[4]Prices!$J$3:$K$17,2,FALSE)*V84)+(VLOOKUP($W$2,[4]Prices!$J$3:$K$17,2,FALSE)*W84)+(VLOOKUP($X$2,[4]Prices!$J$3:$K$17,2,FALSE)*X84)+(VLOOKUP($Y$2,[4]Prices!$J$3:$K$17,2,FALSE)*Y84)+(VLOOKUP($Z$2,[4]Prices!$J$3:$K$17,2,FALSE)*Z84)+(VLOOKUP($AA$2,[4]Prices!$J$3:$K$17,2,FALSE)*AA84)+(VLOOKUP($AB$2,[4]Prices!$J$3:$K$17,2,FALSE)*AB84)+M84</f>
        <v>2812600</v>
      </c>
      <c r="AD84" s="18"/>
      <c r="AE84" s="18"/>
      <c r="AF84" s="4">
        <f t="shared" si="4"/>
        <v>0</v>
      </c>
      <c r="AG84" s="4"/>
      <c r="AH84" s="16">
        <f t="shared" si="6"/>
        <v>0</v>
      </c>
      <c r="AI84" s="21">
        <f t="shared" si="5"/>
        <v>0</v>
      </c>
      <c r="AJ84" s="20">
        <f t="shared" si="7"/>
        <v>0</v>
      </c>
      <c r="AK84" s="9"/>
    </row>
    <row r="85" spans="1:37" hidden="1">
      <c r="A85" s="77">
        <v>83</v>
      </c>
      <c r="B85" s="78"/>
      <c r="C85" s="79"/>
      <c r="D85" s="79"/>
      <c r="E85" s="79"/>
      <c r="F85" s="79"/>
      <c r="G85" s="79"/>
      <c r="H85" s="80"/>
      <c r="I85" s="45" t="s">
        <v>722</v>
      </c>
      <c r="J85" s="45" t="s">
        <v>1388</v>
      </c>
      <c r="K85" s="46" t="s">
        <v>663</v>
      </c>
      <c r="L85" s="47" t="s">
        <v>1013</v>
      </c>
      <c r="M85" s="81">
        <f>IFERROR(VLOOKUP($L85,[3]Consolidated!$C$9:$AC$452,27,0),0)</f>
        <v>1786500</v>
      </c>
      <c r="N85" s="81">
        <f>IFERROR(VLOOKUP($L85,[3]Consolidated!$C$9:$AC$452,5,0),0)</f>
        <v>10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4">
        <f>(VLOOKUP($O$2,[4]Prices!$E$3:$K$17,2,FALSE)*O85)+(VLOOKUP($P$2,[4]Prices!$J$3:$K$17,2,FALSE)*P85)+(VLOOKUP($Q$2,[4]Prices!$J$3:$K$17,2,FALSE)*Q85)+(VLOOKUP($R$2,[4]Prices!$J$3:$K$17,2,FALSE)*R85)+(VLOOKUP($S$2,[4]Prices!$J$3:$K$17,2,FALSE)*S85)+(VLOOKUP($T$2,[4]Prices!$J$3:$K$17,2,FALSE)*T85)+(VLOOKUP($U$2,[4]Prices!$J$3:$K$17,2,FALSE)*U85)+(VLOOKUP($V$2,[4]Prices!$J$3:$K$17,2,FALSE)*V85)+(VLOOKUP($W$2,[4]Prices!$J$3:$K$17,2,FALSE)*W85)+(VLOOKUP($X$2,[4]Prices!$J$3:$K$17,2,FALSE)*X85)+(VLOOKUP($Y$2,[4]Prices!$J$3:$K$17,2,FALSE)*Y85)+(VLOOKUP($Z$2,[4]Prices!$J$3:$K$17,2,FALSE)*Z85)+(VLOOKUP($AA$2,[4]Prices!$J$3:$K$17,2,FALSE)*AA85)+(VLOOKUP($AB$2,[4]Prices!$J$3:$K$17,2,FALSE)*AB85)+M85</f>
        <v>1786500</v>
      </c>
      <c r="AD85" s="18"/>
      <c r="AE85" s="18"/>
      <c r="AF85" s="4">
        <f t="shared" si="4"/>
        <v>0</v>
      </c>
      <c r="AG85" s="4"/>
      <c r="AH85" s="16">
        <f t="shared" si="6"/>
        <v>0</v>
      </c>
      <c r="AI85" s="21">
        <f t="shared" si="5"/>
        <v>0</v>
      </c>
      <c r="AJ85" s="20">
        <f t="shared" si="7"/>
        <v>0</v>
      </c>
      <c r="AK85" s="9"/>
    </row>
    <row r="86" spans="1:37" hidden="1">
      <c r="A86" s="77">
        <v>84</v>
      </c>
      <c r="B86" s="78"/>
      <c r="C86" s="79"/>
      <c r="D86" s="79"/>
      <c r="E86" s="79"/>
      <c r="F86" s="79"/>
      <c r="G86" s="79"/>
      <c r="H86" s="80"/>
      <c r="I86" s="45" t="s">
        <v>730</v>
      </c>
      <c r="J86" s="45" t="s">
        <v>1388</v>
      </c>
      <c r="K86" s="46" t="s">
        <v>663</v>
      </c>
      <c r="L86" s="47" t="s">
        <v>1021</v>
      </c>
      <c r="M86" s="81">
        <f>IFERROR(VLOOKUP($L86,[3]Consolidated!$C$9:$AC$452,27,0),0)</f>
        <v>1786500</v>
      </c>
      <c r="N86" s="81">
        <f>IFERROR(VLOOKUP($L86,[3]Consolidated!$C$9:$AC$452,5,0),0)</f>
        <v>10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4">
        <f>(VLOOKUP($O$2,[4]Prices!$E$3:$K$17,2,FALSE)*O86)+(VLOOKUP($P$2,[4]Prices!$J$3:$K$17,2,FALSE)*P86)+(VLOOKUP($Q$2,[4]Prices!$J$3:$K$17,2,FALSE)*Q86)+(VLOOKUP($R$2,[4]Prices!$J$3:$K$17,2,FALSE)*R86)+(VLOOKUP($S$2,[4]Prices!$J$3:$K$17,2,FALSE)*S86)+(VLOOKUP($T$2,[4]Prices!$J$3:$K$17,2,FALSE)*T86)+(VLOOKUP($U$2,[4]Prices!$J$3:$K$17,2,FALSE)*U86)+(VLOOKUP($V$2,[4]Prices!$J$3:$K$17,2,FALSE)*V86)+(VLOOKUP($W$2,[4]Prices!$J$3:$K$17,2,FALSE)*W86)+(VLOOKUP($X$2,[4]Prices!$J$3:$K$17,2,FALSE)*X86)+(VLOOKUP($Y$2,[4]Prices!$J$3:$K$17,2,FALSE)*Y86)+(VLOOKUP($Z$2,[4]Prices!$J$3:$K$17,2,FALSE)*Z86)+(VLOOKUP($AA$2,[4]Prices!$J$3:$K$17,2,FALSE)*AA86)+(VLOOKUP($AB$2,[4]Prices!$J$3:$K$17,2,FALSE)*AB86)+M86</f>
        <v>1786500</v>
      </c>
      <c r="AD86" s="18"/>
      <c r="AE86" s="18"/>
      <c r="AF86" s="4">
        <f t="shared" si="4"/>
        <v>0</v>
      </c>
      <c r="AG86" s="4"/>
      <c r="AH86" s="16">
        <f t="shared" si="6"/>
        <v>0</v>
      </c>
      <c r="AI86" s="21">
        <f t="shared" si="5"/>
        <v>0</v>
      </c>
      <c r="AJ86" s="20">
        <f t="shared" si="7"/>
        <v>0</v>
      </c>
      <c r="AK86" s="9"/>
    </row>
    <row r="87" spans="1:37" hidden="1">
      <c r="A87" s="77">
        <v>85</v>
      </c>
      <c r="B87" s="78"/>
      <c r="C87" s="79"/>
      <c r="D87" s="79"/>
      <c r="E87" s="79"/>
      <c r="F87" s="79"/>
      <c r="G87" s="79"/>
      <c r="H87" s="80"/>
      <c r="I87" s="45" t="s">
        <v>1395</v>
      </c>
      <c r="J87" s="45" t="s">
        <v>1388</v>
      </c>
      <c r="K87" s="46" t="s">
        <v>663</v>
      </c>
      <c r="L87" s="47" t="s">
        <v>1393</v>
      </c>
      <c r="M87" s="81">
        <f>IFERROR(VLOOKUP($L87,[3]Consolidated!$C$9:$AC$452,27,0),0)</f>
        <v>1786500</v>
      </c>
      <c r="N87" s="81">
        <f>IFERROR(VLOOKUP($L87,[3]Consolidated!$C$9:$AC$452,5,0),0)</f>
        <v>10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4">
        <f>(VLOOKUP($O$2,[4]Prices!$E$3:$K$17,2,FALSE)*O87)+(VLOOKUP($P$2,[4]Prices!$J$3:$K$17,2,FALSE)*P87)+(VLOOKUP($Q$2,[4]Prices!$J$3:$K$17,2,FALSE)*Q87)+(VLOOKUP($R$2,[4]Prices!$J$3:$K$17,2,FALSE)*R87)+(VLOOKUP($S$2,[4]Prices!$J$3:$K$17,2,FALSE)*S87)+(VLOOKUP($T$2,[4]Prices!$J$3:$K$17,2,FALSE)*T87)+(VLOOKUP($U$2,[4]Prices!$J$3:$K$17,2,FALSE)*U87)+(VLOOKUP($V$2,[4]Prices!$J$3:$K$17,2,FALSE)*V87)+(VLOOKUP($W$2,[4]Prices!$J$3:$K$17,2,FALSE)*W87)+(VLOOKUP($X$2,[4]Prices!$J$3:$K$17,2,FALSE)*X87)+(VLOOKUP($Y$2,[4]Prices!$J$3:$K$17,2,FALSE)*Y87)+(VLOOKUP($Z$2,[4]Prices!$J$3:$K$17,2,FALSE)*Z87)+(VLOOKUP($AA$2,[4]Prices!$J$3:$K$17,2,FALSE)*AA87)+(VLOOKUP($AB$2,[4]Prices!$J$3:$K$17,2,FALSE)*AB87)+M87</f>
        <v>1786500</v>
      </c>
      <c r="AD87" s="18"/>
      <c r="AE87" s="18"/>
      <c r="AF87" s="4">
        <f t="shared" si="4"/>
        <v>0</v>
      </c>
      <c r="AG87" s="4"/>
      <c r="AH87" s="16">
        <f t="shared" si="6"/>
        <v>0</v>
      </c>
      <c r="AI87" s="21">
        <f t="shared" si="5"/>
        <v>0</v>
      </c>
      <c r="AJ87" s="20">
        <f t="shared" si="7"/>
        <v>0</v>
      </c>
      <c r="AK87" s="9"/>
    </row>
    <row r="88" spans="1:37" hidden="1">
      <c r="A88" s="77">
        <v>86</v>
      </c>
      <c r="B88" s="78"/>
      <c r="C88" s="79"/>
      <c r="D88" s="79"/>
      <c r="E88" s="79"/>
      <c r="F88" s="79"/>
      <c r="G88" s="79"/>
      <c r="H88" s="80"/>
      <c r="I88" s="45" t="s">
        <v>735</v>
      </c>
      <c r="J88" s="45" t="s">
        <v>1388</v>
      </c>
      <c r="K88" s="46" t="s">
        <v>663</v>
      </c>
      <c r="L88" s="47" t="s">
        <v>1026</v>
      </c>
      <c r="M88" s="81">
        <f>IFERROR(VLOOKUP($L88,[3]Consolidated!$C$9:$AC$452,27,0),0)</f>
        <v>9534500</v>
      </c>
      <c r="N88" s="81">
        <f>IFERROR(VLOOKUP($L88,[3]Consolidated!$C$9:$AC$452,5,0),0)</f>
        <v>40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4">
        <f>(VLOOKUP($O$2,[4]Prices!$E$3:$K$17,2,FALSE)*O88)+(VLOOKUP($P$2,[4]Prices!$J$3:$K$17,2,FALSE)*P88)+(VLOOKUP($Q$2,[4]Prices!$J$3:$K$17,2,FALSE)*Q88)+(VLOOKUP($R$2,[4]Prices!$J$3:$K$17,2,FALSE)*R88)+(VLOOKUP($S$2,[4]Prices!$J$3:$K$17,2,FALSE)*S88)+(VLOOKUP($T$2,[4]Prices!$J$3:$K$17,2,FALSE)*T88)+(VLOOKUP($U$2,[4]Prices!$J$3:$K$17,2,FALSE)*U88)+(VLOOKUP($V$2,[4]Prices!$J$3:$K$17,2,FALSE)*V88)+(VLOOKUP($W$2,[4]Prices!$J$3:$K$17,2,FALSE)*W88)+(VLOOKUP($X$2,[4]Prices!$J$3:$K$17,2,FALSE)*X88)+(VLOOKUP($Y$2,[4]Prices!$J$3:$K$17,2,FALSE)*Y88)+(VLOOKUP($Z$2,[4]Prices!$J$3:$K$17,2,FALSE)*Z88)+(VLOOKUP($AA$2,[4]Prices!$J$3:$K$17,2,FALSE)*AA88)+(VLOOKUP($AB$2,[4]Prices!$J$3:$K$17,2,FALSE)*AB88)+M88</f>
        <v>9534500</v>
      </c>
      <c r="AD88" s="18"/>
      <c r="AE88" s="18"/>
      <c r="AF88" s="4">
        <f t="shared" si="4"/>
        <v>0</v>
      </c>
      <c r="AG88" s="4"/>
      <c r="AH88" s="16">
        <f t="shared" si="6"/>
        <v>0</v>
      </c>
      <c r="AI88" s="21">
        <f t="shared" si="5"/>
        <v>0</v>
      </c>
      <c r="AJ88" s="20">
        <f t="shared" si="7"/>
        <v>0</v>
      </c>
      <c r="AK88" s="9"/>
    </row>
    <row r="89" spans="1:37" hidden="1">
      <c r="A89" s="77">
        <v>87</v>
      </c>
      <c r="B89" s="78"/>
      <c r="C89" s="79"/>
      <c r="D89" s="79"/>
      <c r="E89" s="79"/>
      <c r="F89" s="79"/>
      <c r="G89" s="79"/>
      <c r="H89" s="80"/>
      <c r="I89" s="45" t="s">
        <v>708</v>
      </c>
      <c r="J89" s="45" t="s">
        <v>1388</v>
      </c>
      <c r="K89" s="46" t="s">
        <v>20</v>
      </c>
      <c r="L89" s="47" t="s">
        <v>999</v>
      </c>
      <c r="M89" s="81">
        <f>IFERROR(VLOOKUP($L89,[3]Consolidated!$C$9:$AC$452,27,0),0)</f>
        <v>2058500</v>
      </c>
      <c r="N89" s="81">
        <f>IFERROR(VLOOKUP($L89,[3]Consolidated!$C$9:$AC$452,5,0),0)</f>
        <v>10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4">
        <f>(VLOOKUP($O$2,[4]Prices!$E$3:$K$17,2,FALSE)*O89)+(VLOOKUP($P$2,[4]Prices!$J$3:$K$17,2,FALSE)*P89)+(VLOOKUP($Q$2,[4]Prices!$J$3:$K$17,2,FALSE)*Q89)+(VLOOKUP($R$2,[4]Prices!$J$3:$K$17,2,FALSE)*R89)+(VLOOKUP($S$2,[4]Prices!$J$3:$K$17,2,FALSE)*S89)+(VLOOKUP($T$2,[4]Prices!$J$3:$K$17,2,FALSE)*T89)+(VLOOKUP($U$2,[4]Prices!$J$3:$K$17,2,FALSE)*U89)+(VLOOKUP($V$2,[4]Prices!$J$3:$K$17,2,FALSE)*V89)+(VLOOKUP($W$2,[4]Prices!$J$3:$K$17,2,FALSE)*W89)+(VLOOKUP($X$2,[4]Prices!$J$3:$K$17,2,FALSE)*X89)+(VLOOKUP($Y$2,[4]Prices!$J$3:$K$17,2,FALSE)*Y89)+(VLOOKUP($Z$2,[4]Prices!$J$3:$K$17,2,FALSE)*Z89)+(VLOOKUP($AA$2,[4]Prices!$J$3:$K$17,2,FALSE)*AA89)+(VLOOKUP($AB$2,[4]Prices!$J$3:$K$17,2,FALSE)*AB89)+M89</f>
        <v>2058500</v>
      </c>
      <c r="AD89" s="18"/>
      <c r="AE89" s="18"/>
      <c r="AF89" s="4">
        <f t="shared" si="4"/>
        <v>0</v>
      </c>
      <c r="AG89" s="4"/>
      <c r="AH89" s="16">
        <f t="shared" si="6"/>
        <v>0</v>
      </c>
      <c r="AI89" s="21">
        <f t="shared" si="5"/>
        <v>0</v>
      </c>
      <c r="AJ89" s="20">
        <f t="shared" si="7"/>
        <v>0</v>
      </c>
      <c r="AK89" s="9"/>
    </row>
    <row r="90" spans="1:37" hidden="1">
      <c r="A90" s="77">
        <v>88</v>
      </c>
      <c r="B90" s="78"/>
      <c r="C90" s="79"/>
      <c r="D90" s="79"/>
      <c r="E90" s="79"/>
      <c r="F90" s="79"/>
      <c r="G90" s="79"/>
      <c r="H90" s="80"/>
      <c r="I90" s="45" t="s">
        <v>1396</v>
      </c>
      <c r="J90" s="45" t="s">
        <v>1388</v>
      </c>
      <c r="K90" s="46" t="s">
        <v>20</v>
      </c>
      <c r="L90" s="46" t="s">
        <v>1030</v>
      </c>
      <c r="M90" s="81">
        <f>IFERROR(VLOOKUP($L90,[3]Consolidated!$C$9:$AC$452,27,0),0)</f>
        <v>6829900</v>
      </c>
      <c r="N90" s="81">
        <f>IFERROR(VLOOKUP($L90,[3]Consolidated!$C$9:$AC$452,5,0),0)</f>
        <v>35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4">
        <f>(VLOOKUP($O$2,[4]Prices!$E$3:$K$17,2,FALSE)*O90)+(VLOOKUP($P$2,[4]Prices!$J$3:$K$17,2,FALSE)*P90)+(VLOOKUP($Q$2,[4]Prices!$J$3:$K$17,2,FALSE)*Q90)+(VLOOKUP($R$2,[4]Prices!$J$3:$K$17,2,FALSE)*R90)+(VLOOKUP($S$2,[4]Prices!$J$3:$K$17,2,FALSE)*S90)+(VLOOKUP($T$2,[4]Prices!$J$3:$K$17,2,FALSE)*T90)+(VLOOKUP($U$2,[4]Prices!$J$3:$K$17,2,FALSE)*U90)+(VLOOKUP($V$2,[4]Prices!$J$3:$K$17,2,FALSE)*V90)+(VLOOKUP($W$2,[4]Prices!$J$3:$K$17,2,FALSE)*W90)+(VLOOKUP($X$2,[4]Prices!$J$3:$K$17,2,FALSE)*X90)+(VLOOKUP($Y$2,[4]Prices!$J$3:$K$17,2,FALSE)*Y90)+(VLOOKUP($Z$2,[4]Prices!$J$3:$K$17,2,FALSE)*Z90)+(VLOOKUP($AA$2,[4]Prices!$J$3:$K$17,2,FALSE)*AA90)+(VLOOKUP($AB$2,[4]Prices!$J$3:$K$17,2,FALSE)*AB90)+M90</f>
        <v>6829900</v>
      </c>
      <c r="AD90" s="18"/>
      <c r="AE90" s="18"/>
      <c r="AF90" s="4">
        <f t="shared" si="4"/>
        <v>0</v>
      </c>
      <c r="AG90" s="4"/>
      <c r="AH90" s="16">
        <f t="shared" si="6"/>
        <v>0</v>
      </c>
      <c r="AI90" s="21">
        <f t="shared" si="5"/>
        <v>0</v>
      </c>
      <c r="AJ90" s="20">
        <f t="shared" si="7"/>
        <v>0</v>
      </c>
      <c r="AK90" s="9"/>
    </row>
    <row r="91" spans="1:37" hidden="1">
      <c r="A91" s="77">
        <v>89</v>
      </c>
      <c r="B91" s="78"/>
      <c r="C91" s="79"/>
      <c r="D91" s="79"/>
      <c r="E91" s="79"/>
      <c r="F91" s="79"/>
      <c r="G91" s="79"/>
      <c r="H91" s="80"/>
      <c r="I91" s="45" t="s">
        <v>739</v>
      </c>
      <c r="J91" s="45" t="s">
        <v>1388</v>
      </c>
      <c r="K91" s="46" t="s">
        <v>20</v>
      </c>
      <c r="L91" s="46" t="s">
        <v>1031</v>
      </c>
      <c r="M91" s="81">
        <f>IFERROR(VLOOKUP($L91,[3]Consolidated!$C$9:$AC$452,27,0),0)</f>
        <v>1984650</v>
      </c>
      <c r="N91" s="81">
        <f>IFERROR(VLOOKUP($L91,[3]Consolidated!$C$9:$AC$452,5,0),0)</f>
        <v>10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4">
        <f>(VLOOKUP($O$2,[4]Prices!$E$3:$K$17,2,FALSE)*O91)+(VLOOKUP($P$2,[4]Prices!$J$3:$K$17,2,FALSE)*P91)+(VLOOKUP($Q$2,[4]Prices!$J$3:$K$17,2,FALSE)*Q91)+(VLOOKUP($R$2,[4]Prices!$J$3:$K$17,2,FALSE)*R91)+(VLOOKUP($S$2,[4]Prices!$J$3:$K$17,2,FALSE)*S91)+(VLOOKUP($T$2,[4]Prices!$J$3:$K$17,2,FALSE)*T91)+(VLOOKUP($U$2,[4]Prices!$J$3:$K$17,2,FALSE)*U91)+(VLOOKUP($V$2,[4]Prices!$J$3:$K$17,2,FALSE)*V91)+(VLOOKUP($W$2,[4]Prices!$J$3:$K$17,2,FALSE)*W91)+(VLOOKUP($X$2,[4]Prices!$J$3:$K$17,2,FALSE)*X91)+(VLOOKUP($Y$2,[4]Prices!$J$3:$K$17,2,FALSE)*Y91)+(VLOOKUP($Z$2,[4]Prices!$J$3:$K$17,2,FALSE)*Z91)+(VLOOKUP($AA$2,[4]Prices!$J$3:$K$17,2,FALSE)*AA91)+(VLOOKUP($AB$2,[4]Prices!$J$3:$K$17,2,FALSE)*AB91)+M91</f>
        <v>1984650</v>
      </c>
      <c r="AD91" s="18"/>
      <c r="AE91" s="18"/>
      <c r="AF91" s="4">
        <f t="shared" si="4"/>
        <v>0</v>
      </c>
      <c r="AG91" s="4"/>
      <c r="AH91" s="16">
        <f t="shared" si="6"/>
        <v>0</v>
      </c>
      <c r="AI91" s="21">
        <f t="shared" si="5"/>
        <v>0</v>
      </c>
      <c r="AJ91" s="20">
        <f t="shared" si="7"/>
        <v>0</v>
      </c>
      <c r="AK91" s="9"/>
    </row>
    <row r="92" spans="1:37" hidden="1">
      <c r="A92" s="77">
        <v>90</v>
      </c>
      <c r="B92" s="78"/>
      <c r="C92" s="79"/>
      <c r="D92" s="79"/>
      <c r="E92" s="79"/>
      <c r="F92" s="79"/>
      <c r="G92" s="79"/>
      <c r="H92" s="80"/>
      <c r="I92" s="45" t="s">
        <v>740</v>
      </c>
      <c r="J92" s="45" t="s">
        <v>1388</v>
      </c>
      <c r="K92" s="46" t="s">
        <v>20</v>
      </c>
      <c r="L92" s="46" t="s">
        <v>1032</v>
      </c>
      <c r="M92" s="81">
        <f>IFERROR(VLOOKUP($L92,[3]Consolidated!$C$9:$AC$452,27,0),0)</f>
        <v>2025400</v>
      </c>
      <c r="N92" s="81">
        <f>IFERROR(VLOOKUP($L92,[3]Consolidated!$C$9:$AC$452,5,0),0)</f>
        <v>10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4">
        <f>(VLOOKUP($O$2,[4]Prices!$E$3:$K$17,2,FALSE)*O92)+(VLOOKUP($P$2,[4]Prices!$J$3:$K$17,2,FALSE)*P92)+(VLOOKUP($Q$2,[4]Prices!$J$3:$K$17,2,FALSE)*Q92)+(VLOOKUP($R$2,[4]Prices!$J$3:$K$17,2,FALSE)*R92)+(VLOOKUP($S$2,[4]Prices!$J$3:$K$17,2,FALSE)*S92)+(VLOOKUP($T$2,[4]Prices!$J$3:$K$17,2,FALSE)*T92)+(VLOOKUP($U$2,[4]Prices!$J$3:$K$17,2,FALSE)*U92)+(VLOOKUP($V$2,[4]Prices!$J$3:$K$17,2,FALSE)*V92)+(VLOOKUP($W$2,[4]Prices!$J$3:$K$17,2,FALSE)*W92)+(VLOOKUP($X$2,[4]Prices!$J$3:$K$17,2,FALSE)*X92)+(VLOOKUP($Y$2,[4]Prices!$J$3:$K$17,2,FALSE)*Y92)+(VLOOKUP($Z$2,[4]Prices!$J$3:$K$17,2,FALSE)*Z92)+(VLOOKUP($AA$2,[4]Prices!$J$3:$K$17,2,FALSE)*AA92)+(VLOOKUP($AB$2,[4]Prices!$J$3:$K$17,2,FALSE)*AB92)+M92</f>
        <v>2025400</v>
      </c>
      <c r="AD92" s="18"/>
      <c r="AE92" s="18"/>
      <c r="AF92" s="4">
        <f t="shared" si="4"/>
        <v>0</v>
      </c>
      <c r="AG92" s="4"/>
      <c r="AH92" s="16">
        <f t="shared" si="6"/>
        <v>0</v>
      </c>
      <c r="AI92" s="21">
        <f t="shared" si="5"/>
        <v>0</v>
      </c>
      <c r="AJ92" s="20">
        <f t="shared" si="7"/>
        <v>0</v>
      </c>
      <c r="AK92" s="19"/>
    </row>
    <row r="93" spans="1:37" hidden="1">
      <c r="A93" s="77">
        <v>91</v>
      </c>
      <c r="B93" s="78"/>
      <c r="C93" s="79"/>
      <c r="D93" s="79"/>
      <c r="E93" s="79"/>
      <c r="F93" s="79"/>
      <c r="G93" s="79"/>
      <c r="H93" s="80"/>
      <c r="I93" s="45" t="s">
        <v>757</v>
      </c>
      <c r="J93" s="45" t="s">
        <v>1388</v>
      </c>
      <c r="K93" s="46" t="s">
        <v>20</v>
      </c>
      <c r="L93" s="46" t="s">
        <v>1049</v>
      </c>
      <c r="M93" s="81">
        <f>IFERROR(VLOOKUP($L93,[3]Consolidated!$C$9:$AC$452,27,0),0)</f>
        <v>1845500</v>
      </c>
      <c r="N93" s="81">
        <f>IFERROR(VLOOKUP($L93,[3]Consolidated!$C$9:$AC$452,5,0),0)</f>
        <v>10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4">
        <f>(VLOOKUP($O$2,[4]Prices!$E$3:$K$17,2,FALSE)*O93)+(VLOOKUP($P$2,[4]Prices!$J$3:$K$17,2,FALSE)*P93)+(VLOOKUP($Q$2,[4]Prices!$J$3:$K$17,2,FALSE)*Q93)+(VLOOKUP($R$2,[4]Prices!$J$3:$K$17,2,FALSE)*R93)+(VLOOKUP($S$2,[4]Prices!$J$3:$K$17,2,FALSE)*S93)+(VLOOKUP($T$2,[4]Prices!$J$3:$K$17,2,FALSE)*T93)+(VLOOKUP($U$2,[4]Prices!$J$3:$K$17,2,FALSE)*U93)+(VLOOKUP($V$2,[4]Prices!$J$3:$K$17,2,FALSE)*V93)+(VLOOKUP($W$2,[4]Prices!$J$3:$K$17,2,FALSE)*W93)+(VLOOKUP($X$2,[4]Prices!$J$3:$K$17,2,FALSE)*X93)+(VLOOKUP($Y$2,[4]Prices!$J$3:$K$17,2,FALSE)*Y93)+(VLOOKUP($Z$2,[4]Prices!$J$3:$K$17,2,FALSE)*Z93)+(VLOOKUP($AA$2,[4]Prices!$J$3:$K$17,2,FALSE)*AA93)+(VLOOKUP($AB$2,[4]Prices!$J$3:$K$17,2,FALSE)*AB93)+M93</f>
        <v>1845500</v>
      </c>
      <c r="AD93" s="18"/>
      <c r="AE93" s="18"/>
      <c r="AF93" s="4">
        <f t="shared" si="4"/>
        <v>0</v>
      </c>
      <c r="AG93" s="4"/>
      <c r="AH93" s="16">
        <f t="shared" si="6"/>
        <v>0</v>
      </c>
      <c r="AI93" s="21">
        <f t="shared" si="5"/>
        <v>0</v>
      </c>
      <c r="AJ93" s="20">
        <f t="shared" si="7"/>
        <v>0</v>
      </c>
      <c r="AK93" s="9"/>
    </row>
    <row r="94" spans="1:37" hidden="1">
      <c r="A94" s="77">
        <v>92</v>
      </c>
      <c r="B94" s="78"/>
      <c r="C94" s="79"/>
      <c r="D94" s="79"/>
      <c r="E94" s="79"/>
      <c r="F94" s="79"/>
      <c r="G94" s="79"/>
      <c r="H94" s="80"/>
      <c r="I94" s="45" t="s">
        <v>1320</v>
      </c>
      <c r="J94" s="45" t="s">
        <v>1388</v>
      </c>
      <c r="K94" s="46" t="s">
        <v>20</v>
      </c>
      <c r="L94" s="47" t="s">
        <v>1335</v>
      </c>
      <c r="M94" s="81">
        <f>IFERROR(VLOOKUP($L94,[3]Consolidated!$C$9:$AC$452,27,0),0)</f>
        <v>0</v>
      </c>
      <c r="N94" s="81">
        <f>IFERROR(VLOOKUP($L94,[3]Consolidated!$C$9:$AC$452,5,0),0)</f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4">
        <f>(VLOOKUP($O$2,[4]Prices!$E$3:$K$17,2,FALSE)*O94)+(VLOOKUP($P$2,[4]Prices!$J$3:$K$17,2,FALSE)*P94)+(VLOOKUP($Q$2,[4]Prices!$J$3:$K$17,2,FALSE)*Q94)+(VLOOKUP($R$2,[4]Prices!$J$3:$K$17,2,FALSE)*R94)+(VLOOKUP($S$2,[4]Prices!$J$3:$K$17,2,FALSE)*S94)+(VLOOKUP($T$2,[4]Prices!$J$3:$K$17,2,FALSE)*T94)+(VLOOKUP($U$2,[4]Prices!$J$3:$K$17,2,FALSE)*U94)+(VLOOKUP($V$2,[4]Prices!$J$3:$K$17,2,FALSE)*V94)+(VLOOKUP($W$2,[4]Prices!$J$3:$K$17,2,FALSE)*W94)+(VLOOKUP($X$2,[4]Prices!$J$3:$K$17,2,FALSE)*X94)+(VLOOKUP($Y$2,[4]Prices!$J$3:$K$17,2,FALSE)*Y94)+(VLOOKUP($Z$2,[4]Prices!$J$3:$K$17,2,FALSE)*Z94)+(VLOOKUP($AA$2,[4]Prices!$J$3:$K$17,2,FALSE)*AA94)+(VLOOKUP($AB$2,[4]Prices!$J$3:$K$17,2,FALSE)*AB94)+M94</f>
        <v>0</v>
      </c>
      <c r="AD94" s="18"/>
      <c r="AE94" s="18"/>
      <c r="AF94" s="4">
        <f t="shared" si="4"/>
        <v>0</v>
      </c>
      <c r="AG94" s="4"/>
      <c r="AH94" s="16">
        <f t="shared" si="6"/>
        <v>0</v>
      </c>
      <c r="AI94" s="21" t="e">
        <f t="shared" si="5"/>
        <v>#DIV/0!</v>
      </c>
      <c r="AJ94" s="20" t="e">
        <f t="shared" si="7"/>
        <v>#DIV/0!</v>
      </c>
      <c r="AK94" s="9"/>
    </row>
    <row r="95" spans="1:37" hidden="1">
      <c r="A95" s="77">
        <v>93</v>
      </c>
      <c r="B95" s="78"/>
      <c r="C95" s="79"/>
      <c r="D95" s="79"/>
      <c r="E95" s="79"/>
      <c r="F95" s="79"/>
      <c r="G95" s="79"/>
      <c r="H95" s="80"/>
      <c r="I95" s="45" t="s">
        <v>741</v>
      </c>
      <c r="J95" s="45" t="s">
        <v>1388</v>
      </c>
      <c r="K95" s="46" t="s">
        <v>664</v>
      </c>
      <c r="L95" s="47" t="s">
        <v>1033</v>
      </c>
      <c r="M95" s="81">
        <f>IFERROR(VLOOKUP($L95,[3]Consolidated!$C$9:$AC$452,27,0),0)</f>
        <v>2974950</v>
      </c>
      <c r="N95" s="81">
        <f>IFERROR(VLOOKUP($L95,[3]Consolidated!$C$9:$AC$452,5,0),0)</f>
        <v>15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4">
        <f>(VLOOKUP($O$2,[4]Prices!$E$3:$K$17,2,FALSE)*O95)+(VLOOKUP($P$2,[4]Prices!$J$3:$K$17,2,FALSE)*P95)+(VLOOKUP($Q$2,[4]Prices!$J$3:$K$17,2,FALSE)*Q95)+(VLOOKUP($R$2,[4]Prices!$J$3:$K$17,2,FALSE)*R95)+(VLOOKUP($S$2,[4]Prices!$J$3:$K$17,2,FALSE)*S95)+(VLOOKUP($T$2,[4]Prices!$J$3:$K$17,2,FALSE)*T95)+(VLOOKUP($U$2,[4]Prices!$J$3:$K$17,2,FALSE)*U95)+(VLOOKUP($V$2,[4]Prices!$J$3:$K$17,2,FALSE)*V95)+(VLOOKUP($W$2,[4]Prices!$J$3:$K$17,2,FALSE)*W95)+(VLOOKUP($X$2,[4]Prices!$J$3:$K$17,2,FALSE)*X95)+(VLOOKUP($Y$2,[4]Prices!$J$3:$K$17,2,FALSE)*Y95)+(VLOOKUP($Z$2,[4]Prices!$J$3:$K$17,2,FALSE)*Z95)+(VLOOKUP($AA$2,[4]Prices!$J$3:$K$17,2,FALSE)*AA95)+(VLOOKUP($AB$2,[4]Prices!$J$3:$K$17,2,FALSE)*AB95)+M95</f>
        <v>2974950</v>
      </c>
      <c r="AD95" s="18"/>
      <c r="AE95" s="18"/>
      <c r="AF95" s="4">
        <f t="shared" si="4"/>
        <v>0</v>
      </c>
      <c r="AG95" s="4"/>
      <c r="AH95" s="16">
        <f t="shared" si="6"/>
        <v>0</v>
      </c>
      <c r="AI95" s="21">
        <f t="shared" si="5"/>
        <v>0</v>
      </c>
      <c r="AJ95" s="20">
        <f t="shared" si="7"/>
        <v>0</v>
      </c>
      <c r="AK95" s="9"/>
    </row>
    <row r="96" spans="1:37" hidden="1">
      <c r="A96" s="77">
        <v>94</v>
      </c>
      <c r="B96" s="78"/>
      <c r="C96" s="79"/>
      <c r="D96" s="79"/>
      <c r="E96" s="79"/>
      <c r="F96" s="79"/>
      <c r="G96" s="79"/>
      <c r="H96" s="80"/>
      <c r="I96" s="45" t="s">
        <v>742</v>
      </c>
      <c r="J96" s="45" t="s">
        <v>1388</v>
      </c>
      <c r="K96" s="46" t="s">
        <v>664</v>
      </c>
      <c r="L96" s="47" t="s">
        <v>1034</v>
      </c>
      <c r="M96" s="81">
        <f>IFERROR(VLOOKUP($L96,[3]Consolidated!$C$9:$AC$452,27,0),0)</f>
        <v>2034550</v>
      </c>
      <c r="N96" s="81">
        <f>IFERROR(VLOOKUP($L96,[3]Consolidated!$C$9:$AC$452,5,0),0)</f>
        <v>10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4">
        <f>(VLOOKUP($O$2,[4]Prices!$E$3:$K$17,2,FALSE)*O96)+(VLOOKUP($P$2,[4]Prices!$J$3:$K$17,2,FALSE)*P96)+(VLOOKUP($Q$2,[4]Prices!$J$3:$K$17,2,FALSE)*Q96)+(VLOOKUP($R$2,[4]Prices!$J$3:$K$17,2,FALSE)*R96)+(VLOOKUP($S$2,[4]Prices!$J$3:$K$17,2,FALSE)*S96)+(VLOOKUP($T$2,[4]Prices!$J$3:$K$17,2,FALSE)*T96)+(VLOOKUP($U$2,[4]Prices!$J$3:$K$17,2,FALSE)*U96)+(VLOOKUP($V$2,[4]Prices!$J$3:$K$17,2,FALSE)*V96)+(VLOOKUP($W$2,[4]Prices!$J$3:$K$17,2,FALSE)*W96)+(VLOOKUP($X$2,[4]Prices!$J$3:$K$17,2,FALSE)*X96)+(VLOOKUP($Y$2,[4]Prices!$J$3:$K$17,2,FALSE)*Y96)+(VLOOKUP($Z$2,[4]Prices!$J$3:$K$17,2,FALSE)*Z96)+(VLOOKUP($AA$2,[4]Prices!$J$3:$K$17,2,FALSE)*AA96)+(VLOOKUP($AB$2,[4]Prices!$J$3:$K$17,2,FALSE)*AB96)+M96</f>
        <v>2034550</v>
      </c>
      <c r="AD96" s="18"/>
      <c r="AE96" s="18"/>
      <c r="AF96" s="4">
        <f t="shared" si="4"/>
        <v>0</v>
      </c>
      <c r="AG96" s="4"/>
      <c r="AH96" s="16">
        <f t="shared" si="6"/>
        <v>0</v>
      </c>
      <c r="AI96" s="21">
        <f t="shared" si="5"/>
        <v>0</v>
      </c>
      <c r="AJ96" s="20">
        <f t="shared" si="7"/>
        <v>0</v>
      </c>
      <c r="AK96" s="9"/>
    </row>
    <row r="97" spans="1:37" hidden="1">
      <c r="A97" s="77">
        <v>95</v>
      </c>
      <c r="B97" s="78"/>
      <c r="C97" s="79"/>
      <c r="D97" s="79"/>
      <c r="E97" s="79"/>
      <c r="F97" s="79"/>
      <c r="G97" s="79"/>
      <c r="H97" s="80"/>
      <c r="I97" s="45" t="s">
        <v>743</v>
      </c>
      <c r="J97" s="45" t="s">
        <v>1388</v>
      </c>
      <c r="K97" s="46" t="s">
        <v>664</v>
      </c>
      <c r="L97" s="47" t="s">
        <v>1035</v>
      </c>
      <c r="M97" s="81">
        <f>IFERROR(VLOOKUP($L97,[3]Consolidated!$C$9:$AC$452,27,0),0)</f>
        <v>7656500</v>
      </c>
      <c r="N97" s="81">
        <f>IFERROR(VLOOKUP($L97,[3]Consolidated!$C$9:$AC$452,5,0),0)</f>
        <v>40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4">
        <f>(VLOOKUP($O$2,[4]Prices!$E$3:$K$17,2,FALSE)*O97)+(VLOOKUP($P$2,[4]Prices!$J$3:$K$17,2,FALSE)*P97)+(VLOOKUP($Q$2,[4]Prices!$J$3:$K$17,2,FALSE)*Q97)+(VLOOKUP($R$2,[4]Prices!$J$3:$K$17,2,FALSE)*R97)+(VLOOKUP($S$2,[4]Prices!$J$3:$K$17,2,FALSE)*S97)+(VLOOKUP($T$2,[4]Prices!$J$3:$K$17,2,FALSE)*T97)+(VLOOKUP($U$2,[4]Prices!$J$3:$K$17,2,FALSE)*U97)+(VLOOKUP($V$2,[4]Prices!$J$3:$K$17,2,FALSE)*V97)+(VLOOKUP($W$2,[4]Prices!$J$3:$K$17,2,FALSE)*W97)+(VLOOKUP($X$2,[4]Prices!$J$3:$K$17,2,FALSE)*X97)+(VLOOKUP($Y$2,[4]Prices!$J$3:$K$17,2,FALSE)*Y97)+(VLOOKUP($Z$2,[4]Prices!$J$3:$K$17,2,FALSE)*Z97)+(VLOOKUP($AA$2,[4]Prices!$J$3:$K$17,2,FALSE)*AA97)+(VLOOKUP($AB$2,[4]Prices!$J$3:$K$17,2,FALSE)*AB97)+M97</f>
        <v>7656500</v>
      </c>
      <c r="AD97" s="18"/>
      <c r="AE97" s="18"/>
      <c r="AF97" s="4">
        <f t="shared" si="4"/>
        <v>0</v>
      </c>
      <c r="AG97" s="4"/>
      <c r="AH97" s="16">
        <f t="shared" si="6"/>
        <v>0</v>
      </c>
      <c r="AI97" s="21">
        <f t="shared" si="5"/>
        <v>0</v>
      </c>
      <c r="AJ97" s="20">
        <f t="shared" si="7"/>
        <v>0</v>
      </c>
      <c r="AK97" s="9"/>
    </row>
    <row r="98" spans="1:37" hidden="1">
      <c r="A98" s="77">
        <v>96</v>
      </c>
      <c r="B98" s="78"/>
      <c r="C98" s="79"/>
      <c r="D98" s="79"/>
      <c r="E98" s="79"/>
      <c r="F98" s="79"/>
      <c r="G98" s="79"/>
      <c r="H98" s="80"/>
      <c r="I98" s="45" t="s">
        <v>744</v>
      </c>
      <c r="J98" s="45" t="s">
        <v>1388</v>
      </c>
      <c r="K98" s="46" t="s">
        <v>664</v>
      </c>
      <c r="L98" s="47" t="s">
        <v>1036</v>
      </c>
      <c r="M98" s="81">
        <f>IFERROR(VLOOKUP($L98,[3]Consolidated!$C$9:$AC$452,27,0),0)</f>
        <v>2016300</v>
      </c>
      <c r="N98" s="81">
        <f>IFERROR(VLOOKUP($L98,[3]Consolidated!$C$9:$AC$452,5,0),0)</f>
        <v>10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4">
        <f>(VLOOKUP($O$2,[4]Prices!$E$3:$K$17,2,FALSE)*O98)+(VLOOKUP($P$2,[4]Prices!$J$3:$K$17,2,FALSE)*P98)+(VLOOKUP($Q$2,[4]Prices!$J$3:$K$17,2,FALSE)*Q98)+(VLOOKUP($R$2,[4]Prices!$J$3:$K$17,2,FALSE)*R98)+(VLOOKUP($S$2,[4]Prices!$J$3:$K$17,2,FALSE)*S98)+(VLOOKUP($T$2,[4]Prices!$J$3:$K$17,2,FALSE)*T98)+(VLOOKUP($U$2,[4]Prices!$J$3:$K$17,2,FALSE)*U98)+(VLOOKUP($V$2,[4]Prices!$J$3:$K$17,2,FALSE)*V98)+(VLOOKUP($W$2,[4]Prices!$J$3:$K$17,2,FALSE)*W98)+(VLOOKUP($X$2,[4]Prices!$J$3:$K$17,2,FALSE)*X98)+(VLOOKUP($Y$2,[4]Prices!$J$3:$K$17,2,FALSE)*Y98)+(VLOOKUP($Z$2,[4]Prices!$J$3:$K$17,2,FALSE)*Z98)+(VLOOKUP($AA$2,[4]Prices!$J$3:$K$17,2,FALSE)*AA98)+(VLOOKUP($AB$2,[4]Prices!$J$3:$K$17,2,FALSE)*AB98)+M98</f>
        <v>2016300</v>
      </c>
      <c r="AD98" s="18"/>
      <c r="AE98" s="18"/>
      <c r="AF98" s="4">
        <f t="shared" si="4"/>
        <v>0</v>
      </c>
      <c r="AG98" s="4"/>
      <c r="AH98" s="16">
        <f t="shared" si="6"/>
        <v>0</v>
      </c>
      <c r="AI98" s="21">
        <f t="shared" si="5"/>
        <v>0</v>
      </c>
      <c r="AJ98" s="20">
        <f t="shared" si="7"/>
        <v>0</v>
      </c>
      <c r="AK98" s="9"/>
    </row>
    <row r="99" spans="1:37" hidden="1">
      <c r="A99" s="77">
        <v>97</v>
      </c>
      <c r="B99" s="78"/>
      <c r="C99" s="79"/>
      <c r="D99" s="79"/>
      <c r="E99" s="79"/>
      <c r="F99" s="79"/>
      <c r="G99" s="79"/>
      <c r="H99" s="80"/>
      <c r="I99" s="45" t="s">
        <v>745</v>
      </c>
      <c r="J99" s="45" t="s">
        <v>1388</v>
      </c>
      <c r="K99" s="46" t="s">
        <v>664</v>
      </c>
      <c r="L99" s="47" t="s">
        <v>1037</v>
      </c>
      <c r="M99" s="81">
        <f>IFERROR(VLOOKUP($L99,[3]Consolidated!$C$9:$AC$452,27,0),0)</f>
        <v>10465700</v>
      </c>
      <c r="N99" s="81">
        <f>IFERROR(VLOOKUP($L99,[3]Consolidated!$C$9:$AC$452,5,0),0)</f>
        <v>50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4">
        <f>(VLOOKUP($O$2,[4]Prices!$E$3:$K$17,2,FALSE)*O99)+(VLOOKUP($P$2,[4]Prices!$J$3:$K$17,2,FALSE)*P99)+(VLOOKUP($Q$2,[4]Prices!$J$3:$K$17,2,FALSE)*Q99)+(VLOOKUP($R$2,[4]Prices!$J$3:$K$17,2,FALSE)*R99)+(VLOOKUP($S$2,[4]Prices!$J$3:$K$17,2,FALSE)*S99)+(VLOOKUP($T$2,[4]Prices!$J$3:$K$17,2,FALSE)*T99)+(VLOOKUP($U$2,[4]Prices!$J$3:$K$17,2,FALSE)*U99)+(VLOOKUP($V$2,[4]Prices!$J$3:$K$17,2,FALSE)*V99)+(VLOOKUP($W$2,[4]Prices!$J$3:$K$17,2,FALSE)*W99)+(VLOOKUP($X$2,[4]Prices!$J$3:$K$17,2,FALSE)*X99)+(VLOOKUP($Y$2,[4]Prices!$J$3:$K$17,2,FALSE)*Y99)+(VLOOKUP($Z$2,[4]Prices!$J$3:$K$17,2,FALSE)*Z99)+(VLOOKUP($AA$2,[4]Prices!$J$3:$K$17,2,FALSE)*AA99)+(VLOOKUP($AB$2,[4]Prices!$J$3:$K$17,2,FALSE)*AB99)+M99</f>
        <v>10465700</v>
      </c>
      <c r="AD99" s="18"/>
      <c r="AE99" s="18"/>
      <c r="AF99" s="4">
        <f t="shared" si="4"/>
        <v>0</v>
      </c>
      <c r="AG99" s="4"/>
      <c r="AH99" s="16">
        <f t="shared" si="6"/>
        <v>0</v>
      </c>
      <c r="AI99" s="21">
        <f t="shared" si="5"/>
        <v>0</v>
      </c>
      <c r="AJ99" s="20">
        <f t="shared" si="7"/>
        <v>0</v>
      </c>
      <c r="AK99" s="9"/>
    </row>
    <row r="100" spans="1:37" hidden="1">
      <c r="A100" s="77">
        <v>98</v>
      </c>
      <c r="B100" s="78"/>
      <c r="C100" s="79"/>
      <c r="D100" s="79"/>
      <c r="E100" s="79"/>
      <c r="F100" s="79"/>
      <c r="G100" s="79"/>
      <c r="H100" s="80"/>
      <c r="I100" s="45" t="s">
        <v>746</v>
      </c>
      <c r="J100" s="45" t="s">
        <v>1388</v>
      </c>
      <c r="K100" s="46" t="s">
        <v>664</v>
      </c>
      <c r="L100" s="47" t="s">
        <v>1038</v>
      </c>
      <c r="M100" s="81">
        <f>IFERROR(VLOOKUP($L100,[3]Consolidated!$C$9:$AC$452,27,0),0)</f>
        <v>9637500</v>
      </c>
      <c r="N100" s="81">
        <f>IFERROR(VLOOKUP($L100,[3]Consolidated!$C$9:$AC$452,5,0),0)</f>
        <v>50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4">
        <f>(VLOOKUP($O$2,[4]Prices!$E$3:$K$17,2,FALSE)*O100)+(VLOOKUP($P$2,[4]Prices!$J$3:$K$17,2,FALSE)*P100)+(VLOOKUP($Q$2,[4]Prices!$J$3:$K$17,2,FALSE)*Q100)+(VLOOKUP($R$2,[4]Prices!$J$3:$K$17,2,FALSE)*R100)+(VLOOKUP($S$2,[4]Prices!$J$3:$K$17,2,FALSE)*S100)+(VLOOKUP($T$2,[4]Prices!$J$3:$K$17,2,FALSE)*T100)+(VLOOKUP($U$2,[4]Prices!$J$3:$K$17,2,FALSE)*U100)+(VLOOKUP($V$2,[4]Prices!$J$3:$K$17,2,FALSE)*V100)+(VLOOKUP($W$2,[4]Prices!$J$3:$K$17,2,FALSE)*W100)+(VLOOKUP($X$2,[4]Prices!$J$3:$K$17,2,FALSE)*X100)+(VLOOKUP($Y$2,[4]Prices!$J$3:$K$17,2,FALSE)*Y100)+(VLOOKUP($Z$2,[4]Prices!$J$3:$K$17,2,FALSE)*Z100)+(VLOOKUP($AA$2,[4]Prices!$J$3:$K$17,2,FALSE)*AA100)+(VLOOKUP($AB$2,[4]Prices!$J$3:$K$17,2,FALSE)*AB100)+M100</f>
        <v>9637500</v>
      </c>
      <c r="AD100" s="18"/>
      <c r="AE100" s="18"/>
      <c r="AF100" s="4">
        <f t="shared" si="4"/>
        <v>0</v>
      </c>
      <c r="AG100" s="4"/>
      <c r="AH100" s="16">
        <f t="shared" si="6"/>
        <v>0</v>
      </c>
      <c r="AI100" s="21">
        <f t="shared" si="5"/>
        <v>0</v>
      </c>
      <c r="AJ100" s="20">
        <f t="shared" si="7"/>
        <v>0</v>
      </c>
      <c r="AK100" s="9"/>
    </row>
    <row r="101" spans="1:37" hidden="1">
      <c r="A101" s="77">
        <v>99</v>
      </c>
      <c r="B101" s="78"/>
      <c r="C101" s="79"/>
      <c r="D101" s="79"/>
      <c r="E101" s="79"/>
      <c r="F101" s="79"/>
      <c r="G101" s="79"/>
      <c r="H101" s="80"/>
      <c r="I101" s="45" t="s">
        <v>747</v>
      </c>
      <c r="J101" s="45" t="s">
        <v>1388</v>
      </c>
      <c r="K101" s="46" t="s">
        <v>664</v>
      </c>
      <c r="L101" s="47" t="s">
        <v>1039</v>
      </c>
      <c r="M101" s="81">
        <f>IFERROR(VLOOKUP($L101,[3]Consolidated!$C$9:$AC$452,27,0),0)</f>
        <v>12040150</v>
      </c>
      <c r="N101" s="81">
        <f>IFERROR(VLOOKUP($L101,[3]Consolidated!$C$9:$AC$452,5,0),0)</f>
        <v>60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4">
        <f>(VLOOKUP($O$2,[4]Prices!$E$3:$K$17,2,FALSE)*O101)+(VLOOKUP($P$2,[4]Prices!$J$3:$K$17,2,FALSE)*P101)+(VLOOKUP($Q$2,[4]Prices!$J$3:$K$17,2,FALSE)*Q101)+(VLOOKUP($R$2,[4]Prices!$J$3:$K$17,2,FALSE)*R101)+(VLOOKUP($S$2,[4]Prices!$J$3:$K$17,2,FALSE)*S101)+(VLOOKUP($T$2,[4]Prices!$J$3:$K$17,2,FALSE)*T101)+(VLOOKUP($U$2,[4]Prices!$J$3:$K$17,2,FALSE)*U101)+(VLOOKUP($V$2,[4]Prices!$J$3:$K$17,2,FALSE)*V101)+(VLOOKUP($W$2,[4]Prices!$J$3:$K$17,2,FALSE)*W101)+(VLOOKUP($X$2,[4]Prices!$J$3:$K$17,2,FALSE)*X101)+(VLOOKUP($Y$2,[4]Prices!$J$3:$K$17,2,FALSE)*Y101)+(VLOOKUP($Z$2,[4]Prices!$J$3:$K$17,2,FALSE)*Z101)+(VLOOKUP($AA$2,[4]Prices!$J$3:$K$17,2,FALSE)*AA101)+(VLOOKUP($AB$2,[4]Prices!$J$3:$K$17,2,FALSE)*AB101)+M101</f>
        <v>12040150</v>
      </c>
      <c r="AD101" s="18"/>
      <c r="AE101" s="18"/>
      <c r="AF101" s="4">
        <f t="shared" si="4"/>
        <v>0</v>
      </c>
      <c r="AG101" s="4"/>
      <c r="AH101" s="16">
        <f t="shared" si="6"/>
        <v>0</v>
      </c>
      <c r="AI101" s="21">
        <f t="shared" si="5"/>
        <v>0</v>
      </c>
      <c r="AJ101" s="20">
        <f t="shared" si="7"/>
        <v>0</v>
      </c>
      <c r="AK101" s="19"/>
    </row>
    <row r="102" spans="1:37" hidden="1">
      <c r="A102" s="77">
        <v>100</v>
      </c>
      <c r="B102" s="78"/>
      <c r="C102" s="79"/>
      <c r="D102" s="79"/>
      <c r="E102" s="79"/>
      <c r="F102" s="79"/>
      <c r="G102" s="79"/>
      <c r="H102" s="80"/>
      <c r="I102" s="45" t="s">
        <v>748</v>
      </c>
      <c r="J102" s="45" t="s">
        <v>1388</v>
      </c>
      <c r="K102" s="46" t="s">
        <v>664</v>
      </c>
      <c r="L102" s="47" t="s">
        <v>1040</v>
      </c>
      <c r="M102" s="81">
        <f>IFERROR(VLOOKUP($L102,[3]Consolidated!$C$9:$AC$452,27,0),0)</f>
        <v>0</v>
      </c>
      <c r="N102" s="81">
        <f>IFERROR(VLOOKUP($L102,[3]Consolidated!$C$9:$AC$452,5,0),0)</f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4">
        <f>(VLOOKUP($O$2,[4]Prices!$E$3:$K$17,2,FALSE)*O102)+(VLOOKUP($P$2,[4]Prices!$J$3:$K$17,2,FALSE)*P102)+(VLOOKUP($Q$2,[4]Prices!$J$3:$K$17,2,FALSE)*Q102)+(VLOOKUP($R$2,[4]Prices!$J$3:$K$17,2,FALSE)*R102)+(VLOOKUP($S$2,[4]Prices!$J$3:$K$17,2,FALSE)*S102)+(VLOOKUP($T$2,[4]Prices!$J$3:$K$17,2,FALSE)*T102)+(VLOOKUP($U$2,[4]Prices!$J$3:$K$17,2,FALSE)*U102)+(VLOOKUP($V$2,[4]Prices!$J$3:$K$17,2,FALSE)*V102)+(VLOOKUP($W$2,[4]Prices!$J$3:$K$17,2,FALSE)*W102)+(VLOOKUP($X$2,[4]Prices!$J$3:$K$17,2,FALSE)*X102)+(VLOOKUP($Y$2,[4]Prices!$J$3:$K$17,2,FALSE)*Y102)+(VLOOKUP($Z$2,[4]Prices!$J$3:$K$17,2,FALSE)*Z102)+(VLOOKUP($AA$2,[4]Prices!$J$3:$K$17,2,FALSE)*AA102)+(VLOOKUP($AB$2,[4]Prices!$J$3:$K$17,2,FALSE)*AB102)+M102</f>
        <v>0</v>
      </c>
      <c r="AD102" s="18"/>
      <c r="AE102" s="18"/>
      <c r="AF102" s="4">
        <f t="shared" si="4"/>
        <v>0</v>
      </c>
      <c r="AG102" s="4"/>
      <c r="AH102" s="16">
        <f t="shared" si="6"/>
        <v>0</v>
      </c>
      <c r="AI102" s="21" t="e">
        <f t="shared" si="5"/>
        <v>#DIV/0!</v>
      </c>
      <c r="AJ102" s="20" t="e">
        <f t="shared" si="7"/>
        <v>#DIV/0!</v>
      </c>
      <c r="AK102" s="9"/>
    </row>
    <row r="103" spans="1:37" hidden="1">
      <c r="A103" s="77">
        <v>101</v>
      </c>
      <c r="B103" s="78"/>
      <c r="C103" s="79"/>
      <c r="D103" s="79"/>
      <c r="E103" s="79"/>
      <c r="F103" s="79"/>
      <c r="G103" s="79"/>
      <c r="H103" s="80"/>
      <c r="I103" s="45" t="s">
        <v>749</v>
      </c>
      <c r="J103" s="45" t="s">
        <v>1388</v>
      </c>
      <c r="K103" s="46" t="s">
        <v>664</v>
      </c>
      <c r="L103" s="47" t="s">
        <v>1041</v>
      </c>
      <c r="M103" s="81">
        <f>IFERROR(VLOOKUP($L103,[3]Consolidated!$C$9:$AC$452,27,0),0)</f>
        <v>2977500</v>
      </c>
      <c r="N103" s="81">
        <f>IFERROR(VLOOKUP($L103,[3]Consolidated!$C$9:$AC$452,5,0),0)</f>
        <v>15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4">
        <f>(VLOOKUP($O$2,[4]Prices!$E$3:$K$17,2,FALSE)*O103)+(VLOOKUP($P$2,[4]Prices!$J$3:$K$17,2,FALSE)*P103)+(VLOOKUP($Q$2,[4]Prices!$J$3:$K$17,2,FALSE)*Q103)+(VLOOKUP($R$2,[4]Prices!$J$3:$K$17,2,FALSE)*R103)+(VLOOKUP($S$2,[4]Prices!$J$3:$K$17,2,FALSE)*S103)+(VLOOKUP($T$2,[4]Prices!$J$3:$K$17,2,FALSE)*T103)+(VLOOKUP($U$2,[4]Prices!$J$3:$K$17,2,FALSE)*U103)+(VLOOKUP($V$2,[4]Prices!$J$3:$K$17,2,FALSE)*V103)+(VLOOKUP($W$2,[4]Prices!$J$3:$K$17,2,FALSE)*W103)+(VLOOKUP($X$2,[4]Prices!$J$3:$K$17,2,FALSE)*X103)+(VLOOKUP($Y$2,[4]Prices!$J$3:$K$17,2,FALSE)*Y103)+(VLOOKUP($Z$2,[4]Prices!$J$3:$K$17,2,FALSE)*Z103)+(VLOOKUP($AA$2,[4]Prices!$J$3:$K$17,2,FALSE)*AA103)+(VLOOKUP($AB$2,[4]Prices!$J$3:$K$17,2,FALSE)*AB103)+M103</f>
        <v>2977500</v>
      </c>
      <c r="AD103" s="18"/>
      <c r="AE103" s="18"/>
      <c r="AF103" s="4">
        <f t="shared" si="4"/>
        <v>0</v>
      </c>
      <c r="AG103" s="4"/>
      <c r="AH103" s="16">
        <f t="shared" si="6"/>
        <v>0</v>
      </c>
      <c r="AI103" s="21">
        <f t="shared" si="5"/>
        <v>0</v>
      </c>
      <c r="AJ103" s="20">
        <f t="shared" si="7"/>
        <v>0</v>
      </c>
      <c r="AK103" s="9"/>
    </row>
    <row r="104" spans="1:37" hidden="1">
      <c r="A104" s="77">
        <v>102</v>
      </c>
      <c r="B104" s="78"/>
      <c r="C104" s="79"/>
      <c r="D104" s="79"/>
      <c r="E104" s="79"/>
      <c r="F104" s="79"/>
      <c r="G104" s="79"/>
      <c r="H104" s="80"/>
      <c r="I104" s="45" t="s">
        <v>750</v>
      </c>
      <c r="J104" s="45" t="s">
        <v>1388</v>
      </c>
      <c r="K104" s="46" t="s">
        <v>664</v>
      </c>
      <c r="L104" s="47" t="s">
        <v>1042</v>
      </c>
      <c r="M104" s="81">
        <f>IFERROR(VLOOKUP($L104,[3]Consolidated!$C$9:$AC$452,27,0),0)</f>
        <v>3248000</v>
      </c>
      <c r="N104" s="81">
        <f>IFERROR(VLOOKUP($L104,[3]Consolidated!$C$9:$AC$452,5,0),0)</f>
        <v>15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4">
        <f>(VLOOKUP($O$2,[4]Prices!$E$3:$K$17,2,FALSE)*O104)+(VLOOKUP($P$2,[4]Prices!$J$3:$K$17,2,FALSE)*P104)+(VLOOKUP($Q$2,[4]Prices!$J$3:$K$17,2,FALSE)*Q104)+(VLOOKUP($R$2,[4]Prices!$J$3:$K$17,2,FALSE)*R104)+(VLOOKUP($S$2,[4]Prices!$J$3:$K$17,2,FALSE)*S104)+(VLOOKUP($T$2,[4]Prices!$J$3:$K$17,2,FALSE)*T104)+(VLOOKUP($U$2,[4]Prices!$J$3:$K$17,2,FALSE)*U104)+(VLOOKUP($V$2,[4]Prices!$J$3:$K$17,2,FALSE)*V104)+(VLOOKUP($W$2,[4]Prices!$J$3:$K$17,2,FALSE)*W104)+(VLOOKUP($X$2,[4]Prices!$J$3:$K$17,2,FALSE)*X104)+(VLOOKUP($Y$2,[4]Prices!$J$3:$K$17,2,FALSE)*Y104)+(VLOOKUP($Z$2,[4]Prices!$J$3:$K$17,2,FALSE)*Z104)+(VLOOKUP($AA$2,[4]Prices!$J$3:$K$17,2,FALSE)*AA104)+(VLOOKUP($AB$2,[4]Prices!$J$3:$K$17,2,FALSE)*AB104)+M104</f>
        <v>3248000</v>
      </c>
      <c r="AD104" s="18"/>
      <c r="AE104" s="18"/>
      <c r="AF104" s="4">
        <f t="shared" si="4"/>
        <v>0</v>
      </c>
      <c r="AG104" s="4"/>
      <c r="AH104" s="16">
        <f t="shared" si="6"/>
        <v>0</v>
      </c>
      <c r="AI104" s="21">
        <f t="shared" si="5"/>
        <v>0</v>
      </c>
      <c r="AJ104" s="20">
        <f t="shared" si="7"/>
        <v>0</v>
      </c>
      <c r="AK104" s="9"/>
    </row>
    <row r="105" spans="1:37" hidden="1">
      <c r="A105" s="77">
        <v>103</v>
      </c>
      <c r="B105" s="78"/>
      <c r="C105" s="79"/>
      <c r="D105" s="79"/>
      <c r="E105" s="79"/>
      <c r="F105" s="79"/>
      <c r="G105" s="79"/>
      <c r="H105" s="80"/>
      <c r="I105" s="45" t="s">
        <v>751</v>
      </c>
      <c r="J105" s="45" t="s">
        <v>1388</v>
      </c>
      <c r="K105" s="46" t="s">
        <v>664</v>
      </c>
      <c r="L105" s="47" t="s">
        <v>1043</v>
      </c>
      <c r="M105" s="81">
        <f>IFERROR(VLOOKUP($L105,[3]Consolidated!$C$9:$AC$452,27,0),0)</f>
        <v>7263300</v>
      </c>
      <c r="N105" s="81">
        <f>IFERROR(VLOOKUP($L105,[3]Consolidated!$C$9:$AC$452,5,0),0)</f>
        <v>35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4">
        <f>(VLOOKUP($O$2,[4]Prices!$E$3:$K$17,2,FALSE)*O105)+(VLOOKUP($P$2,[4]Prices!$J$3:$K$17,2,FALSE)*P105)+(VLOOKUP($Q$2,[4]Prices!$J$3:$K$17,2,FALSE)*Q105)+(VLOOKUP($R$2,[4]Prices!$J$3:$K$17,2,FALSE)*R105)+(VLOOKUP($S$2,[4]Prices!$J$3:$K$17,2,FALSE)*S105)+(VLOOKUP($T$2,[4]Prices!$J$3:$K$17,2,FALSE)*T105)+(VLOOKUP($U$2,[4]Prices!$J$3:$K$17,2,FALSE)*U105)+(VLOOKUP($V$2,[4]Prices!$J$3:$K$17,2,FALSE)*V105)+(VLOOKUP($W$2,[4]Prices!$J$3:$K$17,2,FALSE)*W105)+(VLOOKUP($X$2,[4]Prices!$J$3:$K$17,2,FALSE)*X105)+(VLOOKUP($Y$2,[4]Prices!$J$3:$K$17,2,FALSE)*Y105)+(VLOOKUP($Z$2,[4]Prices!$J$3:$K$17,2,FALSE)*Z105)+(VLOOKUP($AA$2,[4]Prices!$J$3:$K$17,2,FALSE)*AA105)+(VLOOKUP($AB$2,[4]Prices!$J$3:$K$17,2,FALSE)*AB105)+M105</f>
        <v>7263300</v>
      </c>
      <c r="AD105" s="18"/>
      <c r="AE105" s="18"/>
      <c r="AF105" s="4">
        <f t="shared" si="4"/>
        <v>0</v>
      </c>
      <c r="AG105" s="4"/>
      <c r="AH105" s="16">
        <f t="shared" si="6"/>
        <v>0</v>
      </c>
      <c r="AI105" s="21">
        <f t="shared" si="5"/>
        <v>0</v>
      </c>
      <c r="AJ105" s="20">
        <f t="shared" si="7"/>
        <v>0</v>
      </c>
      <c r="AK105" s="9"/>
    </row>
    <row r="106" spans="1:37" hidden="1">
      <c r="A106" s="77">
        <v>104</v>
      </c>
      <c r="B106" s="78"/>
      <c r="C106" s="79"/>
      <c r="D106" s="79"/>
      <c r="E106" s="79"/>
      <c r="F106" s="79"/>
      <c r="G106" s="79"/>
      <c r="H106" s="80"/>
      <c r="I106" s="45" t="s">
        <v>752</v>
      </c>
      <c r="J106" s="45" t="s">
        <v>1388</v>
      </c>
      <c r="K106" s="46" t="s">
        <v>664</v>
      </c>
      <c r="L106" s="47" t="s">
        <v>1044</v>
      </c>
      <c r="M106" s="81">
        <f>IFERROR(VLOOKUP($L106,[3]Consolidated!$C$9:$AC$452,27,0),0)</f>
        <v>7473000</v>
      </c>
      <c r="N106" s="81">
        <f>IFERROR(VLOOKUP($L106,[3]Consolidated!$C$9:$AC$452,5,0),0)</f>
        <v>35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4">
        <f>(VLOOKUP($O$2,[4]Prices!$E$3:$K$17,2,FALSE)*O106)+(VLOOKUP($P$2,[4]Prices!$J$3:$K$17,2,FALSE)*P106)+(VLOOKUP($Q$2,[4]Prices!$J$3:$K$17,2,FALSE)*Q106)+(VLOOKUP($R$2,[4]Prices!$J$3:$K$17,2,FALSE)*R106)+(VLOOKUP($S$2,[4]Prices!$J$3:$K$17,2,FALSE)*S106)+(VLOOKUP($T$2,[4]Prices!$J$3:$K$17,2,FALSE)*T106)+(VLOOKUP($U$2,[4]Prices!$J$3:$K$17,2,FALSE)*U106)+(VLOOKUP($V$2,[4]Prices!$J$3:$K$17,2,FALSE)*V106)+(VLOOKUP($W$2,[4]Prices!$J$3:$K$17,2,FALSE)*W106)+(VLOOKUP($X$2,[4]Prices!$J$3:$K$17,2,FALSE)*X106)+(VLOOKUP($Y$2,[4]Prices!$J$3:$K$17,2,FALSE)*Y106)+(VLOOKUP($Z$2,[4]Prices!$J$3:$K$17,2,FALSE)*Z106)+(VLOOKUP($AA$2,[4]Prices!$J$3:$K$17,2,FALSE)*AA106)+(VLOOKUP($AB$2,[4]Prices!$J$3:$K$17,2,FALSE)*AB106)+M106</f>
        <v>7473000</v>
      </c>
      <c r="AD106" s="18"/>
      <c r="AE106" s="18"/>
      <c r="AF106" s="4">
        <f t="shared" si="4"/>
        <v>0</v>
      </c>
      <c r="AG106" s="4"/>
      <c r="AH106" s="16">
        <f t="shared" si="6"/>
        <v>0</v>
      </c>
      <c r="AI106" s="21">
        <f t="shared" si="5"/>
        <v>0</v>
      </c>
      <c r="AJ106" s="20">
        <f t="shared" si="7"/>
        <v>0</v>
      </c>
      <c r="AK106" s="9"/>
    </row>
    <row r="107" spans="1:37" hidden="1">
      <c r="A107" s="77">
        <v>105</v>
      </c>
      <c r="B107" s="78"/>
      <c r="C107" s="79"/>
      <c r="D107" s="79"/>
      <c r="E107" s="79"/>
      <c r="F107" s="79"/>
      <c r="G107" s="79"/>
      <c r="H107" s="80"/>
      <c r="I107" s="45" t="s">
        <v>753</v>
      </c>
      <c r="J107" s="45" t="s">
        <v>1388</v>
      </c>
      <c r="K107" s="46" t="s">
        <v>664</v>
      </c>
      <c r="L107" s="47" t="s">
        <v>1045</v>
      </c>
      <c r="M107" s="81">
        <f>IFERROR(VLOOKUP($L107,[3]Consolidated!$C$9:$AC$452,27,0),0)</f>
        <v>7004650</v>
      </c>
      <c r="N107" s="81">
        <f>IFERROR(VLOOKUP($L107,[3]Consolidated!$C$9:$AC$452,5,0),0)</f>
        <v>35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4">
        <f>(VLOOKUP($O$2,[4]Prices!$E$3:$K$17,2,FALSE)*O107)+(VLOOKUP($P$2,[4]Prices!$J$3:$K$17,2,FALSE)*P107)+(VLOOKUP($Q$2,[4]Prices!$J$3:$K$17,2,FALSE)*Q107)+(VLOOKUP($R$2,[4]Prices!$J$3:$K$17,2,FALSE)*R107)+(VLOOKUP($S$2,[4]Prices!$J$3:$K$17,2,FALSE)*S107)+(VLOOKUP($T$2,[4]Prices!$J$3:$K$17,2,FALSE)*T107)+(VLOOKUP($U$2,[4]Prices!$J$3:$K$17,2,FALSE)*U107)+(VLOOKUP($V$2,[4]Prices!$J$3:$K$17,2,FALSE)*V107)+(VLOOKUP($W$2,[4]Prices!$J$3:$K$17,2,FALSE)*W107)+(VLOOKUP($X$2,[4]Prices!$J$3:$K$17,2,FALSE)*X107)+(VLOOKUP($Y$2,[4]Prices!$J$3:$K$17,2,FALSE)*Y107)+(VLOOKUP($Z$2,[4]Prices!$J$3:$K$17,2,FALSE)*Z107)+(VLOOKUP($AA$2,[4]Prices!$J$3:$K$17,2,FALSE)*AA107)+(VLOOKUP($AB$2,[4]Prices!$J$3:$K$17,2,FALSE)*AB107)+M107</f>
        <v>7004650</v>
      </c>
      <c r="AD107" s="18"/>
      <c r="AE107" s="18"/>
      <c r="AF107" s="4">
        <f t="shared" si="4"/>
        <v>0</v>
      </c>
      <c r="AG107" s="4"/>
      <c r="AH107" s="16">
        <f t="shared" si="6"/>
        <v>0</v>
      </c>
      <c r="AI107" s="21">
        <f t="shared" si="5"/>
        <v>0</v>
      </c>
      <c r="AJ107" s="20">
        <f t="shared" si="7"/>
        <v>0</v>
      </c>
      <c r="AK107" s="9"/>
    </row>
    <row r="108" spans="1:37" hidden="1">
      <c r="A108" s="77">
        <v>106</v>
      </c>
      <c r="B108" s="78"/>
      <c r="C108" s="79"/>
      <c r="D108" s="79"/>
      <c r="E108" s="79"/>
      <c r="F108" s="79"/>
      <c r="G108" s="79"/>
      <c r="H108" s="80"/>
      <c r="I108" s="45" t="s">
        <v>754</v>
      </c>
      <c r="J108" s="45" t="s">
        <v>1388</v>
      </c>
      <c r="K108" s="46" t="s">
        <v>664</v>
      </c>
      <c r="L108" s="47" t="s">
        <v>1046</v>
      </c>
      <c r="M108" s="81">
        <f>IFERROR(VLOOKUP($L108,[3]Consolidated!$C$9:$AC$452,27,0),0)</f>
        <v>2006350</v>
      </c>
      <c r="N108" s="81">
        <f>IFERROR(VLOOKUP($L108,[3]Consolidated!$C$9:$AC$452,5,0),0)</f>
        <v>10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4">
        <f>(VLOOKUP($O$2,[4]Prices!$E$3:$K$17,2,FALSE)*O108)+(VLOOKUP($P$2,[4]Prices!$J$3:$K$17,2,FALSE)*P108)+(VLOOKUP($Q$2,[4]Prices!$J$3:$K$17,2,FALSE)*Q108)+(VLOOKUP($R$2,[4]Prices!$J$3:$K$17,2,FALSE)*R108)+(VLOOKUP($S$2,[4]Prices!$J$3:$K$17,2,FALSE)*S108)+(VLOOKUP($T$2,[4]Prices!$J$3:$K$17,2,FALSE)*T108)+(VLOOKUP($U$2,[4]Prices!$J$3:$K$17,2,FALSE)*U108)+(VLOOKUP($V$2,[4]Prices!$J$3:$K$17,2,FALSE)*V108)+(VLOOKUP($W$2,[4]Prices!$J$3:$K$17,2,FALSE)*W108)+(VLOOKUP($X$2,[4]Prices!$J$3:$K$17,2,FALSE)*X108)+(VLOOKUP($Y$2,[4]Prices!$J$3:$K$17,2,FALSE)*Y108)+(VLOOKUP($Z$2,[4]Prices!$J$3:$K$17,2,FALSE)*Z108)+(VLOOKUP($AA$2,[4]Prices!$J$3:$K$17,2,FALSE)*AA108)+(VLOOKUP($AB$2,[4]Prices!$J$3:$K$17,2,FALSE)*AB108)+M108</f>
        <v>2006350</v>
      </c>
      <c r="AD108" s="18"/>
      <c r="AE108" s="18"/>
      <c r="AF108" s="4">
        <f t="shared" si="4"/>
        <v>0</v>
      </c>
      <c r="AG108" s="4"/>
      <c r="AH108" s="16">
        <f t="shared" si="6"/>
        <v>0</v>
      </c>
      <c r="AI108" s="21">
        <f t="shared" si="5"/>
        <v>0</v>
      </c>
      <c r="AJ108" s="20">
        <f t="shared" si="7"/>
        <v>0</v>
      </c>
      <c r="AK108" s="9"/>
    </row>
    <row r="109" spans="1:37" hidden="1">
      <c r="A109" s="77">
        <v>107</v>
      </c>
      <c r="B109" s="78"/>
      <c r="C109" s="79"/>
      <c r="D109" s="79"/>
      <c r="E109" s="79"/>
      <c r="F109" s="79"/>
      <c r="G109" s="79"/>
      <c r="H109" s="80"/>
      <c r="I109" s="45" t="s">
        <v>755</v>
      </c>
      <c r="J109" s="45" t="s">
        <v>1388</v>
      </c>
      <c r="K109" s="46" t="s">
        <v>664</v>
      </c>
      <c r="L109" s="47" t="s">
        <v>1047</v>
      </c>
      <c r="M109" s="81">
        <f>IFERROR(VLOOKUP($L109,[3]Consolidated!$C$9:$AC$452,27,0),0)</f>
        <v>2051000</v>
      </c>
      <c r="N109" s="81">
        <f>IFERROR(VLOOKUP($L109,[3]Consolidated!$C$9:$AC$452,5,0),0)</f>
        <v>10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4">
        <f>(VLOOKUP($O$2,[4]Prices!$E$3:$K$17,2,FALSE)*O109)+(VLOOKUP($P$2,[4]Prices!$J$3:$K$17,2,FALSE)*P109)+(VLOOKUP($Q$2,[4]Prices!$J$3:$K$17,2,FALSE)*Q109)+(VLOOKUP($R$2,[4]Prices!$J$3:$K$17,2,FALSE)*R109)+(VLOOKUP($S$2,[4]Prices!$J$3:$K$17,2,FALSE)*S109)+(VLOOKUP($T$2,[4]Prices!$J$3:$K$17,2,FALSE)*T109)+(VLOOKUP($U$2,[4]Prices!$J$3:$K$17,2,FALSE)*U109)+(VLOOKUP($V$2,[4]Prices!$J$3:$K$17,2,FALSE)*V109)+(VLOOKUP($W$2,[4]Prices!$J$3:$K$17,2,FALSE)*W109)+(VLOOKUP($X$2,[4]Prices!$J$3:$K$17,2,FALSE)*X109)+(VLOOKUP($Y$2,[4]Prices!$J$3:$K$17,2,FALSE)*Y109)+(VLOOKUP($Z$2,[4]Prices!$J$3:$K$17,2,FALSE)*Z109)+(VLOOKUP($AA$2,[4]Prices!$J$3:$K$17,2,FALSE)*AA109)+(VLOOKUP($AB$2,[4]Prices!$J$3:$K$17,2,FALSE)*AB109)+M109</f>
        <v>2051000</v>
      </c>
      <c r="AD109" s="18"/>
      <c r="AE109" s="18"/>
      <c r="AF109" s="4">
        <f t="shared" si="4"/>
        <v>0</v>
      </c>
      <c r="AG109" s="4"/>
      <c r="AH109" s="16">
        <f t="shared" si="6"/>
        <v>0</v>
      </c>
      <c r="AI109" s="21">
        <f t="shared" si="5"/>
        <v>0</v>
      </c>
      <c r="AJ109" s="20">
        <f t="shared" si="7"/>
        <v>0</v>
      </c>
      <c r="AK109" s="9"/>
    </row>
    <row r="110" spans="1:37" hidden="1">
      <c r="A110" s="77">
        <v>108</v>
      </c>
      <c r="B110" s="78"/>
      <c r="C110" s="79"/>
      <c r="D110" s="79"/>
      <c r="E110" s="79"/>
      <c r="F110" s="79"/>
      <c r="G110" s="79"/>
      <c r="H110" s="80"/>
      <c r="I110" s="45" t="s">
        <v>756</v>
      </c>
      <c r="J110" s="45" t="s">
        <v>1388</v>
      </c>
      <c r="K110" s="46" t="s">
        <v>664</v>
      </c>
      <c r="L110" s="47" t="s">
        <v>1048</v>
      </c>
      <c r="M110" s="81">
        <f>IFERROR(VLOOKUP($L110,[3]Consolidated!$C$9:$AC$452,27,0),0)</f>
        <v>6287500</v>
      </c>
      <c r="N110" s="81">
        <f>IFERROR(VLOOKUP($L110,[3]Consolidated!$C$9:$AC$452,5,0),0)</f>
        <v>35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4">
        <f>(VLOOKUP($O$2,[4]Prices!$E$3:$K$17,2,FALSE)*O110)+(VLOOKUP($P$2,[4]Prices!$J$3:$K$17,2,FALSE)*P110)+(VLOOKUP($Q$2,[4]Prices!$J$3:$K$17,2,FALSE)*Q110)+(VLOOKUP($R$2,[4]Prices!$J$3:$K$17,2,FALSE)*R110)+(VLOOKUP($S$2,[4]Prices!$J$3:$K$17,2,FALSE)*S110)+(VLOOKUP($T$2,[4]Prices!$J$3:$K$17,2,FALSE)*T110)+(VLOOKUP($U$2,[4]Prices!$J$3:$K$17,2,FALSE)*U110)+(VLOOKUP($V$2,[4]Prices!$J$3:$K$17,2,FALSE)*V110)+(VLOOKUP($W$2,[4]Prices!$J$3:$K$17,2,FALSE)*W110)+(VLOOKUP($X$2,[4]Prices!$J$3:$K$17,2,FALSE)*X110)+(VLOOKUP($Y$2,[4]Prices!$J$3:$K$17,2,FALSE)*Y110)+(VLOOKUP($Z$2,[4]Prices!$J$3:$K$17,2,FALSE)*Z110)+(VLOOKUP($AA$2,[4]Prices!$J$3:$K$17,2,FALSE)*AA110)+(VLOOKUP($AB$2,[4]Prices!$J$3:$K$17,2,FALSE)*AB110)+M110</f>
        <v>6287500</v>
      </c>
      <c r="AD110" s="18"/>
      <c r="AE110" s="18"/>
      <c r="AF110" s="4">
        <f t="shared" si="4"/>
        <v>0</v>
      </c>
      <c r="AG110" s="4"/>
      <c r="AH110" s="16">
        <f t="shared" si="6"/>
        <v>0</v>
      </c>
      <c r="AI110" s="21">
        <f t="shared" si="5"/>
        <v>0</v>
      </c>
      <c r="AJ110" s="20">
        <f t="shared" si="7"/>
        <v>0</v>
      </c>
      <c r="AK110" s="9"/>
    </row>
    <row r="111" spans="1:37" hidden="1">
      <c r="A111" s="77">
        <v>109</v>
      </c>
      <c r="B111" s="78"/>
      <c r="C111" s="79"/>
      <c r="D111" s="79"/>
      <c r="E111" s="79"/>
      <c r="F111" s="79"/>
      <c r="G111" s="79"/>
      <c r="H111" s="80"/>
      <c r="I111" s="45" t="s">
        <v>1358</v>
      </c>
      <c r="J111" s="45" t="s">
        <v>1388</v>
      </c>
      <c r="K111" s="46" t="s">
        <v>664</v>
      </c>
      <c r="L111" s="46" t="s">
        <v>1365</v>
      </c>
      <c r="M111" s="81">
        <f>IFERROR(VLOOKUP($L111,[3]Consolidated!$C$9:$AC$452,27,0),0)</f>
        <v>2129000</v>
      </c>
      <c r="N111" s="81">
        <f>IFERROR(VLOOKUP($L111,[3]Consolidated!$C$9:$AC$452,5,0),0)</f>
        <v>10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4">
        <f>(VLOOKUP($O$2,[4]Prices!$E$3:$K$17,2,FALSE)*O111)+(VLOOKUP($P$2,[4]Prices!$J$3:$K$17,2,FALSE)*P111)+(VLOOKUP($Q$2,[4]Prices!$J$3:$K$17,2,FALSE)*Q111)+(VLOOKUP($R$2,[4]Prices!$J$3:$K$17,2,FALSE)*R111)+(VLOOKUP($S$2,[4]Prices!$J$3:$K$17,2,FALSE)*S111)+(VLOOKUP($T$2,[4]Prices!$J$3:$K$17,2,FALSE)*T111)+(VLOOKUP($U$2,[4]Prices!$J$3:$K$17,2,FALSE)*U111)+(VLOOKUP($V$2,[4]Prices!$J$3:$K$17,2,FALSE)*V111)+(VLOOKUP($W$2,[4]Prices!$J$3:$K$17,2,FALSE)*W111)+(VLOOKUP($X$2,[4]Prices!$J$3:$K$17,2,FALSE)*X111)+(VLOOKUP($Y$2,[4]Prices!$J$3:$K$17,2,FALSE)*Y111)+(VLOOKUP($Z$2,[4]Prices!$J$3:$K$17,2,FALSE)*Z111)+(VLOOKUP($AA$2,[4]Prices!$J$3:$K$17,2,FALSE)*AA111)+(VLOOKUP($AB$2,[4]Prices!$J$3:$K$17,2,FALSE)*AB111)+M111</f>
        <v>2129000</v>
      </c>
      <c r="AD111" s="18"/>
      <c r="AE111" s="18"/>
      <c r="AF111" s="4">
        <f t="shared" si="4"/>
        <v>0</v>
      </c>
      <c r="AG111" s="4"/>
      <c r="AH111" s="16">
        <f t="shared" si="6"/>
        <v>0</v>
      </c>
      <c r="AI111" s="21">
        <f t="shared" si="5"/>
        <v>0</v>
      </c>
      <c r="AJ111" s="20">
        <f t="shared" si="7"/>
        <v>0</v>
      </c>
      <c r="AK111" s="9"/>
    </row>
    <row r="112" spans="1:37" hidden="1">
      <c r="A112" s="77">
        <v>110</v>
      </c>
      <c r="B112" s="78"/>
      <c r="C112" s="79"/>
      <c r="D112" s="79"/>
      <c r="E112" s="79"/>
      <c r="F112" s="79"/>
      <c r="G112" s="79"/>
      <c r="H112" s="80"/>
      <c r="I112" s="45" t="s">
        <v>1359</v>
      </c>
      <c r="J112" s="45" t="s">
        <v>1388</v>
      </c>
      <c r="K112" s="46" t="s">
        <v>664</v>
      </c>
      <c r="L112" s="46" t="s">
        <v>1366</v>
      </c>
      <c r="M112" s="81">
        <f>IFERROR(VLOOKUP($L112,[3]Consolidated!$C$9:$AC$452,27,0),0)</f>
        <v>2144150</v>
      </c>
      <c r="N112" s="81">
        <f>IFERROR(VLOOKUP($L112,[3]Consolidated!$C$9:$AC$452,5,0),0)</f>
        <v>10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4">
        <f>(VLOOKUP($O$2,[4]Prices!$E$3:$K$17,2,FALSE)*O112)+(VLOOKUP($P$2,[4]Prices!$J$3:$K$17,2,FALSE)*P112)+(VLOOKUP($Q$2,[4]Prices!$J$3:$K$17,2,FALSE)*Q112)+(VLOOKUP($R$2,[4]Prices!$J$3:$K$17,2,FALSE)*R112)+(VLOOKUP($S$2,[4]Prices!$J$3:$K$17,2,FALSE)*S112)+(VLOOKUP($T$2,[4]Prices!$J$3:$K$17,2,FALSE)*T112)+(VLOOKUP($U$2,[4]Prices!$J$3:$K$17,2,FALSE)*U112)+(VLOOKUP($V$2,[4]Prices!$J$3:$K$17,2,FALSE)*V112)+(VLOOKUP($W$2,[4]Prices!$J$3:$K$17,2,FALSE)*W112)+(VLOOKUP($X$2,[4]Prices!$J$3:$K$17,2,FALSE)*X112)+(VLOOKUP($Y$2,[4]Prices!$J$3:$K$17,2,FALSE)*Y112)+(VLOOKUP($Z$2,[4]Prices!$J$3:$K$17,2,FALSE)*Z112)+(VLOOKUP($AA$2,[4]Prices!$J$3:$K$17,2,FALSE)*AA112)+(VLOOKUP($AB$2,[4]Prices!$J$3:$K$17,2,FALSE)*AB112)+M112</f>
        <v>2144150</v>
      </c>
      <c r="AD112" s="18"/>
      <c r="AE112" s="18"/>
      <c r="AF112" s="4">
        <f t="shared" si="4"/>
        <v>0</v>
      </c>
      <c r="AG112" s="4"/>
      <c r="AH112" s="16">
        <f t="shared" si="6"/>
        <v>0</v>
      </c>
      <c r="AI112" s="21">
        <f t="shared" si="5"/>
        <v>0</v>
      </c>
      <c r="AJ112" s="20">
        <f t="shared" si="7"/>
        <v>0</v>
      </c>
      <c r="AK112" s="9"/>
    </row>
    <row r="113" spans="1:37" hidden="1">
      <c r="A113" s="77">
        <v>111</v>
      </c>
      <c r="B113" s="78"/>
      <c r="C113" s="79"/>
      <c r="D113" s="79"/>
      <c r="E113" s="79"/>
      <c r="F113" s="79"/>
      <c r="G113" s="79"/>
      <c r="H113" s="80"/>
      <c r="I113" s="45" t="s">
        <v>1360</v>
      </c>
      <c r="J113" s="45" t="s">
        <v>1388</v>
      </c>
      <c r="K113" s="46" t="s">
        <v>664</v>
      </c>
      <c r="L113" s="46" t="s">
        <v>1367</v>
      </c>
      <c r="M113" s="81">
        <f>IFERROR(VLOOKUP($L113,[3]Consolidated!$C$9:$AC$452,27,0),0)</f>
        <v>2144150</v>
      </c>
      <c r="N113" s="81">
        <f>IFERROR(VLOOKUP($L113,[3]Consolidated!$C$9:$AC$452,5,0),0)</f>
        <v>10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4">
        <f>(VLOOKUP($O$2,[4]Prices!$E$3:$K$17,2,FALSE)*O113)+(VLOOKUP($P$2,[4]Prices!$J$3:$K$17,2,FALSE)*P113)+(VLOOKUP($Q$2,[4]Prices!$J$3:$K$17,2,FALSE)*Q113)+(VLOOKUP($R$2,[4]Prices!$J$3:$K$17,2,FALSE)*R113)+(VLOOKUP($S$2,[4]Prices!$J$3:$K$17,2,FALSE)*S113)+(VLOOKUP($T$2,[4]Prices!$J$3:$K$17,2,FALSE)*T113)+(VLOOKUP($U$2,[4]Prices!$J$3:$K$17,2,FALSE)*U113)+(VLOOKUP($V$2,[4]Prices!$J$3:$K$17,2,FALSE)*V113)+(VLOOKUP($W$2,[4]Prices!$J$3:$K$17,2,FALSE)*W113)+(VLOOKUP($X$2,[4]Prices!$J$3:$K$17,2,FALSE)*X113)+(VLOOKUP($Y$2,[4]Prices!$J$3:$K$17,2,FALSE)*Y113)+(VLOOKUP($Z$2,[4]Prices!$J$3:$K$17,2,FALSE)*Z113)+(VLOOKUP($AA$2,[4]Prices!$J$3:$K$17,2,FALSE)*AA113)+(VLOOKUP($AB$2,[4]Prices!$J$3:$K$17,2,FALSE)*AB113)+M113</f>
        <v>2144150</v>
      </c>
      <c r="AD113" s="18"/>
      <c r="AE113" s="18"/>
      <c r="AF113" s="4">
        <f t="shared" si="4"/>
        <v>0</v>
      </c>
      <c r="AG113" s="4"/>
      <c r="AH113" s="16">
        <f t="shared" si="6"/>
        <v>0</v>
      </c>
      <c r="AI113" s="21">
        <f t="shared" si="5"/>
        <v>0</v>
      </c>
      <c r="AJ113" s="20">
        <f t="shared" si="7"/>
        <v>0</v>
      </c>
      <c r="AK113" s="9"/>
    </row>
    <row r="114" spans="1:37" hidden="1">
      <c r="A114" s="77">
        <v>112</v>
      </c>
      <c r="B114" s="78"/>
      <c r="C114" s="79"/>
      <c r="D114" s="79"/>
      <c r="E114" s="79"/>
      <c r="F114" s="79"/>
      <c r="G114" s="79"/>
      <c r="H114" s="80"/>
      <c r="I114" s="45" t="s">
        <v>1321</v>
      </c>
      <c r="J114" s="45" t="s">
        <v>1388</v>
      </c>
      <c r="K114" s="46" t="s">
        <v>664</v>
      </c>
      <c r="L114" s="46" t="s">
        <v>1060</v>
      </c>
      <c r="M114" s="81">
        <f>IFERROR(VLOOKUP($L114,[3]Consolidated!$C$9:$AC$452,27,0),0)</f>
        <v>7721400</v>
      </c>
      <c r="N114" s="81">
        <f>IFERROR(VLOOKUP($L114,[3]Consolidated!$C$9:$AC$452,5,0),0)</f>
        <v>35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4">
        <f>(VLOOKUP($O$2,[4]Prices!$E$3:$K$17,2,FALSE)*O114)+(VLOOKUP($P$2,[4]Prices!$J$3:$K$17,2,FALSE)*P114)+(VLOOKUP($Q$2,[4]Prices!$J$3:$K$17,2,FALSE)*Q114)+(VLOOKUP($R$2,[4]Prices!$J$3:$K$17,2,FALSE)*R114)+(VLOOKUP($S$2,[4]Prices!$J$3:$K$17,2,FALSE)*S114)+(VLOOKUP($T$2,[4]Prices!$J$3:$K$17,2,FALSE)*T114)+(VLOOKUP($U$2,[4]Prices!$J$3:$K$17,2,FALSE)*U114)+(VLOOKUP($V$2,[4]Prices!$J$3:$K$17,2,FALSE)*V114)+(VLOOKUP($W$2,[4]Prices!$J$3:$K$17,2,FALSE)*W114)+(VLOOKUP($X$2,[4]Prices!$J$3:$K$17,2,FALSE)*X114)+(VLOOKUP($Y$2,[4]Prices!$J$3:$K$17,2,FALSE)*Y114)+(VLOOKUP($Z$2,[4]Prices!$J$3:$K$17,2,FALSE)*Z114)+(VLOOKUP($AA$2,[4]Prices!$J$3:$K$17,2,FALSE)*AA114)+(VLOOKUP($AB$2,[4]Prices!$J$3:$K$17,2,FALSE)*AB114)+M114</f>
        <v>7721400</v>
      </c>
      <c r="AD114" s="18"/>
      <c r="AE114" s="18"/>
      <c r="AF114" s="4">
        <f t="shared" si="4"/>
        <v>0</v>
      </c>
      <c r="AG114" s="4"/>
      <c r="AH114" s="16">
        <f t="shared" si="6"/>
        <v>0</v>
      </c>
      <c r="AI114" s="21">
        <f t="shared" si="5"/>
        <v>0</v>
      </c>
      <c r="AJ114" s="20">
        <f t="shared" si="7"/>
        <v>0</v>
      </c>
      <c r="AK114" s="19"/>
    </row>
    <row r="115" spans="1:37" hidden="1">
      <c r="A115" s="77">
        <v>113</v>
      </c>
      <c r="B115" s="78"/>
      <c r="C115" s="79"/>
      <c r="D115" s="79"/>
      <c r="E115" s="79"/>
      <c r="F115" s="79"/>
      <c r="G115" s="79"/>
      <c r="H115" s="80"/>
      <c r="I115" s="45" t="s">
        <v>863</v>
      </c>
      <c r="J115" s="45" t="s">
        <v>1387</v>
      </c>
      <c r="K115" s="46" t="s">
        <v>652</v>
      </c>
      <c r="L115" s="47" t="s">
        <v>1213</v>
      </c>
      <c r="M115" s="81">
        <f>IFERROR(VLOOKUP($L115,[3]Consolidated!$C$9:$AC$452,27,0),0)</f>
        <v>29059500</v>
      </c>
      <c r="N115" s="81">
        <f>IFERROR(VLOOKUP($L115,[3]Consolidated!$C$9:$AC$452,5,0),0)</f>
        <v>151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4">
        <f>(VLOOKUP($O$2,[4]Prices!$E$3:$K$17,2,FALSE)*O115)+(VLOOKUP($P$2,[4]Prices!$J$3:$K$17,2,FALSE)*P115)+(VLOOKUP($Q$2,[4]Prices!$J$3:$K$17,2,FALSE)*Q115)+(VLOOKUP($R$2,[4]Prices!$J$3:$K$17,2,FALSE)*R115)+(VLOOKUP($S$2,[4]Prices!$J$3:$K$17,2,FALSE)*S115)+(VLOOKUP($T$2,[4]Prices!$J$3:$K$17,2,FALSE)*T115)+(VLOOKUP($U$2,[4]Prices!$J$3:$K$17,2,FALSE)*U115)+(VLOOKUP($V$2,[4]Prices!$J$3:$K$17,2,FALSE)*V115)+(VLOOKUP($W$2,[4]Prices!$J$3:$K$17,2,FALSE)*W115)+(VLOOKUP($X$2,[4]Prices!$J$3:$K$17,2,FALSE)*X115)+(VLOOKUP($Y$2,[4]Prices!$J$3:$K$17,2,FALSE)*Y115)+(VLOOKUP($Z$2,[4]Prices!$J$3:$K$17,2,FALSE)*Z115)+(VLOOKUP($AA$2,[4]Prices!$J$3:$K$17,2,FALSE)*AA115)+(VLOOKUP($AB$2,[4]Prices!$J$3:$K$17,2,FALSE)*AB115)+M115</f>
        <v>29059500</v>
      </c>
      <c r="AD115" s="69">
        <v>5298000</v>
      </c>
      <c r="AE115" s="18"/>
      <c r="AF115" s="4">
        <f t="shared" si="4"/>
        <v>5298000</v>
      </c>
      <c r="AG115" s="4"/>
      <c r="AH115" s="16">
        <f t="shared" si="6"/>
        <v>5298000</v>
      </c>
      <c r="AI115" s="21">
        <f t="shared" si="5"/>
        <v>0.18231559386775409</v>
      </c>
      <c r="AJ115" s="20">
        <f t="shared" si="7"/>
        <v>0.18231559386775409</v>
      </c>
      <c r="AK115" s="9"/>
    </row>
    <row r="116" spans="1:37" hidden="1">
      <c r="A116" s="77">
        <v>114</v>
      </c>
      <c r="B116" s="78"/>
      <c r="C116" s="79"/>
      <c r="D116" s="79"/>
      <c r="E116" s="79"/>
      <c r="F116" s="79"/>
      <c r="G116" s="79"/>
      <c r="H116" s="80"/>
      <c r="I116" s="45" t="s">
        <v>865</v>
      </c>
      <c r="J116" s="45" t="s">
        <v>1387</v>
      </c>
      <c r="K116" s="46" t="s">
        <v>652</v>
      </c>
      <c r="L116" s="47" t="s">
        <v>1215</v>
      </c>
      <c r="M116" s="81">
        <f>IFERROR(VLOOKUP($L116,[3]Consolidated!$C$9:$AC$452,27,0),0)</f>
        <v>9265000</v>
      </c>
      <c r="N116" s="81">
        <f>IFERROR(VLOOKUP($L116,[3]Consolidated!$C$9:$AC$452,5,0),0)</f>
        <v>48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4">
        <f>(VLOOKUP($O$2,[4]Prices!$E$3:$K$17,2,FALSE)*O116)+(VLOOKUP($P$2,[4]Prices!$J$3:$K$17,2,FALSE)*P116)+(VLOOKUP($Q$2,[4]Prices!$J$3:$K$17,2,FALSE)*Q116)+(VLOOKUP($R$2,[4]Prices!$J$3:$K$17,2,FALSE)*R116)+(VLOOKUP($S$2,[4]Prices!$J$3:$K$17,2,FALSE)*S116)+(VLOOKUP($T$2,[4]Prices!$J$3:$K$17,2,FALSE)*T116)+(VLOOKUP($U$2,[4]Prices!$J$3:$K$17,2,FALSE)*U116)+(VLOOKUP($V$2,[4]Prices!$J$3:$K$17,2,FALSE)*V116)+(VLOOKUP($W$2,[4]Prices!$J$3:$K$17,2,FALSE)*W116)+(VLOOKUP($X$2,[4]Prices!$J$3:$K$17,2,FALSE)*X116)+(VLOOKUP($Y$2,[4]Prices!$J$3:$K$17,2,FALSE)*Y116)+(VLOOKUP($Z$2,[4]Prices!$J$3:$K$17,2,FALSE)*Z116)+(VLOOKUP($AA$2,[4]Prices!$J$3:$K$17,2,FALSE)*AA116)+(VLOOKUP($AB$2,[4]Prices!$J$3:$K$17,2,FALSE)*AB116)+M116</f>
        <v>9265000</v>
      </c>
      <c r="AD116" s="69">
        <v>1882500</v>
      </c>
      <c r="AE116" s="18"/>
      <c r="AF116" s="4">
        <f t="shared" si="4"/>
        <v>1882500</v>
      </c>
      <c r="AG116" s="4"/>
      <c r="AH116" s="16">
        <f t="shared" si="6"/>
        <v>1882500</v>
      </c>
      <c r="AI116" s="21">
        <f t="shared" si="5"/>
        <v>0.20318402590393955</v>
      </c>
      <c r="AJ116" s="20">
        <f t="shared" si="7"/>
        <v>0.20318402590393955</v>
      </c>
      <c r="AK116" s="9"/>
    </row>
    <row r="117" spans="1:37" hidden="1">
      <c r="A117" s="77">
        <v>115</v>
      </c>
      <c r="B117" s="78"/>
      <c r="C117" s="79"/>
      <c r="D117" s="79"/>
      <c r="E117" s="79"/>
      <c r="F117" s="79"/>
      <c r="G117" s="79"/>
      <c r="H117" s="80"/>
      <c r="I117" s="45" t="s">
        <v>868</v>
      </c>
      <c r="J117" s="45" t="s">
        <v>1387</v>
      </c>
      <c r="K117" s="46" t="s">
        <v>652</v>
      </c>
      <c r="L117" s="47" t="s">
        <v>1218</v>
      </c>
      <c r="M117" s="81">
        <f>IFERROR(VLOOKUP($L117,[3]Consolidated!$C$9:$AC$452,27,0),0)</f>
        <v>0</v>
      </c>
      <c r="N117" s="81">
        <f>IFERROR(VLOOKUP($L117,[3]Consolidated!$C$9:$AC$452,5,0),0)</f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4">
        <f>(VLOOKUP($O$2,[4]Prices!$E$3:$K$17,2,FALSE)*O117)+(VLOOKUP($P$2,[4]Prices!$J$3:$K$17,2,FALSE)*P117)+(VLOOKUP($Q$2,[4]Prices!$J$3:$K$17,2,FALSE)*Q117)+(VLOOKUP($R$2,[4]Prices!$J$3:$K$17,2,FALSE)*R117)+(VLOOKUP($S$2,[4]Prices!$J$3:$K$17,2,FALSE)*S117)+(VLOOKUP($T$2,[4]Prices!$J$3:$K$17,2,FALSE)*T117)+(VLOOKUP($U$2,[4]Prices!$J$3:$K$17,2,FALSE)*U117)+(VLOOKUP($V$2,[4]Prices!$J$3:$K$17,2,FALSE)*V117)+(VLOOKUP($W$2,[4]Prices!$J$3:$K$17,2,FALSE)*W117)+(VLOOKUP($X$2,[4]Prices!$J$3:$K$17,2,FALSE)*X117)+(VLOOKUP($Y$2,[4]Prices!$J$3:$K$17,2,FALSE)*Y117)+(VLOOKUP($Z$2,[4]Prices!$J$3:$K$17,2,FALSE)*Z117)+(VLOOKUP($AA$2,[4]Prices!$J$3:$K$17,2,FALSE)*AA117)+(VLOOKUP($AB$2,[4]Prices!$J$3:$K$17,2,FALSE)*AB117)+M117</f>
        <v>0</v>
      </c>
      <c r="AD117" s="79">
        <v>0</v>
      </c>
      <c r="AE117" s="18"/>
      <c r="AF117" s="4">
        <f t="shared" si="4"/>
        <v>0</v>
      </c>
      <c r="AG117" s="4"/>
      <c r="AH117" s="16">
        <f t="shared" si="6"/>
        <v>0</v>
      </c>
      <c r="AI117" s="21" t="e">
        <f t="shared" si="5"/>
        <v>#DIV/0!</v>
      </c>
      <c r="AJ117" s="20" t="e">
        <f t="shared" si="7"/>
        <v>#DIV/0!</v>
      </c>
      <c r="AK117" s="9"/>
    </row>
    <row r="118" spans="1:37" hidden="1">
      <c r="A118" s="77">
        <v>116</v>
      </c>
      <c r="B118" s="78"/>
      <c r="C118" s="79"/>
      <c r="D118" s="79"/>
      <c r="E118" s="79"/>
      <c r="F118" s="79"/>
      <c r="G118" s="79"/>
      <c r="H118" s="80"/>
      <c r="I118" s="45" t="s">
        <v>869</v>
      </c>
      <c r="J118" s="45" t="s">
        <v>1387</v>
      </c>
      <c r="K118" s="46" t="s">
        <v>652</v>
      </c>
      <c r="L118" s="47" t="s">
        <v>1219</v>
      </c>
      <c r="M118" s="81">
        <f>IFERROR(VLOOKUP($L118,[3]Consolidated!$C$9:$AC$452,27,0),0)</f>
        <v>4464000</v>
      </c>
      <c r="N118" s="81">
        <f>IFERROR(VLOOKUP($L118,[3]Consolidated!$C$9:$AC$452,5,0),0)</f>
        <v>22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4">
        <f>(VLOOKUP($O$2,[4]Prices!$E$3:$K$17,2,FALSE)*O118)+(VLOOKUP($P$2,[4]Prices!$J$3:$K$17,2,FALSE)*P118)+(VLOOKUP($Q$2,[4]Prices!$J$3:$K$17,2,FALSE)*Q118)+(VLOOKUP($R$2,[4]Prices!$J$3:$K$17,2,FALSE)*R118)+(VLOOKUP($S$2,[4]Prices!$J$3:$K$17,2,FALSE)*S118)+(VLOOKUP($T$2,[4]Prices!$J$3:$K$17,2,FALSE)*T118)+(VLOOKUP($U$2,[4]Prices!$J$3:$K$17,2,FALSE)*U118)+(VLOOKUP($V$2,[4]Prices!$J$3:$K$17,2,FALSE)*V118)+(VLOOKUP($W$2,[4]Prices!$J$3:$K$17,2,FALSE)*W118)+(VLOOKUP($X$2,[4]Prices!$J$3:$K$17,2,FALSE)*X118)+(VLOOKUP($Y$2,[4]Prices!$J$3:$K$17,2,FALSE)*Y118)+(VLOOKUP($Z$2,[4]Prices!$J$3:$K$17,2,FALSE)*Z118)+(VLOOKUP($AA$2,[4]Prices!$J$3:$K$17,2,FALSE)*AA118)+(VLOOKUP($AB$2,[4]Prices!$J$3:$K$17,2,FALSE)*AB118)+M118</f>
        <v>4464000</v>
      </c>
      <c r="AD118" s="69">
        <v>709750</v>
      </c>
      <c r="AE118" s="18"/>
      <c r="AF118" s="4">
        <f t="shared" si="4"/>
        <v>709750</v>
      </c>
      <c r="AG118" s="4"/>
      <c r="AH118" s="16">
        <f t="shared" si="6"/>
        <v>709750</v>
      </c>
      <c r="AI118" s="21">
        <f t="shared" si="5"/>
        <v>0.15899417562724014</v>
      </c>
      <c r="AJ118" s="20">
        <f t="shared" si="7"/>
        <v>0.15899417562724014</v>
      </c>
      <c r="AK118" s="9"/>
    </row>
    <row r="119" spans="1:37" hidden="1">
      <c r="A119" s="77">
        <v>117</v>
      </c>
      <c r="B119" s="78"/>
      <c r="C119" s="79"/>
      <c r="D119" s="79"/>
      <c r="E119" s="79"/>
      <c r="F119" s="79"/>
      <c r="G119" s="79"/>
      <c r="H119" s="80"/>
      <c r="I119" s="45" t="s">
        <v>872</v>
      </c>
      <c r="J119" s="45" t="s">
        <v>1387</v>
      </c>
      <c r="K119" s="46" t="s">
        <v>652</v>
      </c>
      <c r="L119" s="47" t="s">
        <v>1222</v>
      </c>
      <c r="M119" s="81">
        <f>IFERROR(VLOOKUP($L119,[3]Consolidated!$C$9:$AC$452,27,0),0)</f>
        <v>5022500</v>
      </c>
      <c r="N119" s="81">
        <f>IFERROR(VLOOKUP($L119,[3]Consolidated!$C$9:$AC$452,5,0),0)</f>
        <v>26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4">
        <f>(VLOOKUP($O$2,[4]Prices!$E$3:$K$17,2,FALSE)*O119)+(VLOOKUP($P$2,[4]Prices!$J$3:$K$17,2,FALSE)*P119)+(VLOOKUP($Q$2,[4]Prices!$J$3:$K$17,2,FALSE)*Q119)+(VLOOKUP($R$2,[4]Prices!$J$3:$K$17,2,FALSE)*R119)+(VLOOKUP($S$2,[4]Prices!$J$3:$K$17,2,FALSE)*S119)+(VLOOKUP($T$2,[4]Prices!$J$3:$K$17,2,FALSE)*T119)+(VLOOKUP($U$2,[4]Prices!$J$3:$K$17,2,FALSE)*U119)+(VLOOKUP($V$2,[4]Prices!$J$3:$K$17,2,FALSE)*V119)+(VLOOKUP($W$2,[4]Prices!$J$3:$K$17,2,FALSE)*W119)+(VLOOKUP($X$2,[4]Prices!$J$3:$K$17,2,FALSE)*X119)+(VLOOKUP($Y$2,[4]Prices!$J$3:$K$17,2,FALSE)*Y119)+(VLOOKUP($Z$2,[4]Prices!$J$3:$K$17,2,FALSE)*Z119)+(VLOOKUP($AA$2,[4]Prices!$J$3:$K$17,2,FALSE)*AA119)+(VLOOKUP($AB$2,[4]Prices!$J$3:$K$17,2,FALSE)*AB119)+M119</f>
        <v>5022500</v>
      </c>
      <c r="AD119" s="69">
        <v>825000</v>
      </c>
      <c r="AE119" s="18"/>
      <c r="AF119" s="4">
        <f t="shared" si="4"/>
        <v>825000</v>
      </c>
      <c r="AG119" s="4"/>
      <c r="AH119" s="16">
        <f t="shared" si="6"/>
        <v>825000</v>
      </c>
      <c r="AI119" s="21">
        <f t="shared" si="5"/>
        <v>0.16426082628173219</v>
      </c>
      <c r="AJ119" s="20">
        <f t="shared" si="7"/>
        <v>0.16426082628173219</v>
      </c>
      <c r="AK119" s="9"/>
    </row>
    <row r="120" spans="1:37" hidden="1">
      <c r="A120" s="77">
        <v>118</v>
      </c>
      <c r="B120" s="78"/>
      <c r="C120" s="79"/>
      <c r="D120" s="79"/>
      <c r="E120" s="79"/>
      <c r="F120" s="79"/>
      <c r="G120" s="79"/>
      <c r="H120" s="80"/>
      <c r="I120" s="45" t="s">
        <v>957</v>
      </c>
      <c r="J120" s="45" t="s">
        <v>1387</v>
      </c>
      <c r="K120" s="46" t="s">
        <v>652</v>
      </c>
      <c r="L120" s="47" t="s">
        <v>1309</v>
      </c>
      <c r="M120" s="81">
        <f>IFERROR(VLOOKUP($L120,[3]Consolidated!$C$9:$AC$452,27,0),0)</f>
        <v>5232500</v>
      </c>
      <c r="N120" s="81">
        <f>IFERROR(VLOOKUP($L120,[3]Consolidated!$C$9:$AC$452,5,0),0)</f>
        <v>26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4">
        <f>(VLOOKUP($O$2,[4]Prices!$E$3:$K$17,2,FALSE)*O120)+(VLOOKUP($P$2,[4]Prices!$J$3:$K$17,2,FALSE)*P120)+(VLOOKUP($Q$2,[4]Prices!$J$3:$K$17,2,FALSE)*Q120)+(VLOOKUP($R$2,[4]Prices!$J$3:$K$17,2,FALSE)*R120)+(VLOOKUP($S$2,[4]Prices!$J$3:$K$17,2,FALSE)*S120)+(VLOOKUP($T$2,[4]Prices!$J$3:$K$17,2,FALSE)*T120)+(VLOOKUP($U$2,[4]Prices!$J$3:$K$17,2,FALSE)*U120)+(VLOOKUP($V$2,[4]Prices!$J$3:$K$17,2,FALSE)*V120)+(VLOOKUP($W$2,[4]Prices!$J$3:$K$17,2,FALSE)*W120)+(VLOOKUP($X$2,[4]Prices!$J$3:$K$17,2,FALSE)*X120)+(VLOOKUP($Y$2,[4]Prices!$J$3:$K$17,2,FALSE)*Y120)+(VLOOKUP($Z$2,[4]Prices!$J$3:$K$17,2,FALSE)*Z120)+(VLOOKUP($AA$2,[4]Prices!$J$3:$K$17,2,FALSE)*AA120)+(VLOOKUP($AB$2,[4]Prices!$J$3:$K$17,2,FALSE)*AB120)+M120</f>
        <v>5232500</v>
      </c>
      <c r="AD120" s="79">
        <v>0</v>
      </c>
      <c r="AE120" s="18"/>
      <c r="AF120" s="4">
        <f t="shared" si="4"/>
        <v>0</v>
      </c>
      <c r="AG120" s="4"/>
      <c r="AH120" s="16">
        <f t="shared" si="6"/>
        <v>0</v>
      </c>
      <c r="AI120" s="21">
        <f t="shared" si="5"/>
        <v>0</v>
      </c>
      <c r="AJ120" s="20">
        <f t="shared" si="7"/>
        <v>0</v>
      </c>
      <c r="AK120" s="9"/>
    </row>
    <row r="121" spans="1:37" hidden="1">
      <c r="A121" s="77">
        <v>119</v>
      </c>
      <c r="B121" s="78"/>
      <c r="C121" s="79"/>
      <c r="D121" s="79"/>
      <c r="E121" s="79"/>
      <c r="F121" s="79"/>
      <c r="G121" s="79"/>
      <c r="H121" s="80"/>
      <c r="I121" s="45" t="s">
        <v>958</v>
      </c>
      <c r="J121" s="45" t="s">
        <v>1387</v>
      </c>
      <c r="K121" s="46" t="s">
        <v>652</v>
      </c>
      <c r="L121" s="47" t="s">
        <v>1310</v>
      </c>
      <c r="M121" s="81">
        <f>IFERROR(VLOOKUP($L121,[3]Consolidated!$C$9:$AC$452,27,0),0)</f>
        <v>11372000</v>
      </c>
      <c r="N121" s="81">
        <f>IFERROR(VLOOKUP($L121,[3]Consolidated!$C$9:$AC$452,5,0),0)</f>
        <v>55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4">
        <f>(VLOOKUP($O$2,[4]Prices!$E$3:$K$17,2,FALSE)*O121)+(VLOOKUP($P$2,[4]Prices!$J$3:$K$17,2,FALSE)*P121)+(VLOOKUP($Q$2,[4]Prices!$J$3:$K$17,2,FALSE)*Q121)+(VLOOKUP($R$2,[4]Prices!$J$3:$K$17,2,FALSE)*R121)+(VLOOKUP($S$2,[4]Prices!$J$3:$K$17,2,FALSE)*S121)+(VLOOKUP($T$2,[4]Prices!$J$3:$K$17,2,FALSE)*T121)+(VLOOKUP($U$2,[4]Prices!$J$3:$K$17,2,FALSE)*U121)+(VLOOKUP($V$2,[4]Prices!$J$3:$K$17,2,FALSE)*V121)+(VLOOKUP($W$2,[4]Prices!$J$3:$K$17,2,FALSE)*W121)+(VLOOKUP($X$2,[4]Prices!$J$3:$K$17,2,FALSE)*X121)+(VLOOKUP($Y$2,[4]Prices!$J$3:$K$17,2,FALSE)*Y121)+(VLOOKUP($Z$2,[4]Prices!$J$3:$K$17,2,FALSE)*Z121)+(VLOOKUP($AA$2,[4]Prices!$J$3:$K$17,2,FALSE)*AA121)+(VLOOKUP($AB$2,[4]Prices!$J$3:$K$17,2,FALSE)*AB121)+M121</f>
        <v>11372000</v>
      </c>
      <c r="AD121" s="69">
        <v>1736000</v>
      </c>
      <c r="AE121" s="18"/>
      <c r="AF121" s="4">
        <f t="shared" si="4"/>
        <v>1736000</v>
      </c>
      <c r="AG121" s="4"/>
      <c r="AH121" s="16">
        <f t="shared" si="6"/>
        <v>1736000</v>
      </c>
      <c r="AI121" s="21">
        <f t="shared" si="5"/>
        <v>0.15265564544495253</v>
      </c>
      <c r="AJ121" s="20">
        <f t="shared" si="7"/>
        <v>0.15265564544495253</v>
      </c>
      <c r="AK121" s="9"/>
    </row>
    <row r="122" spans="1:37" hidden="1">
      <c r="A122" s="77">
        <v>120</v>
      </c>
      <c r="B122" s="78"/>
      <c r="C122" s="79"/>
      <c r="D122" s="79"/>
      <c r="E122" s="79"/>
      <c r="F122" s="79"/>
      <c r="G122" s="79"/>
      <c r="H122" s="80"/>
      <c r="I122" s="45" t="s">
        <v>867</v>
      </c>
      <c r="J122" s="45" t="s">
        <v>1387</v>
      </c>
      <c r="K122" s="46" t="s">
        <v>652</v>
      </c>
      <c r="L122" s="46" t="s">
        <v>1217</v>
      </c>
      <c r="M122" s="81">
        <f>IFERROR(VLOOKUP($L122,[3]Consolidated!$C$9:$AC$452,27,0),0)</f>
        <v>0</v>
      </c>
      <c r="N122" s="81">
        <f>IFERROR(VLOOKUP($L122,[3]Consolidated!$C$9:$AC$452,5,0),0)</f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4">
        <f>(VLOOKUP($O$2,[4]Prices!$E$3:$K$17,2,FALSE)*O122)+(VLOOKUP($P$2,[4]Prices!$J$3:$K$17,2,FALSE)*P122)+(VLOOKUP($Q$2,[4]Prices!$J$3:$K$17,2,FALSE)*Q122)+(VLOOKUP($R$2,[4]Prices!$J$3:$K$17,2,FALSE)*R122)+(VLOOKUP($S$2,[4]Prices!$J$3:$K$17,2,FALSE)*S122)+(VLOOKUP($T$2,[4]Prices!$J$3:$K$17,2,FALSE)*T122)+(VLOOKUP($U$2,[4]Prices!$J$3:$K$17,2,FALSE)*U122)+(VLOOKUP($V$2,[4]Prices!$J$3:$K$17,2,FALSE)*V122)+(VLOOKUP($W$2,[4]Prices!$J$3:$K$17,2,FALSE)*W122)+(VLOOKUP($X$2,[4]Prices!$J$3:$K$17,2,FALSE)*X122)+(VLOOKUP($Y$2,[4]Prices!$J$3:$K$17,2,FALSE)*Y122)+(VLOOKUP($Z$2,[4]Prices!$J$3:$K$17,2,FALSE)*Z122)+(VLOOKUP($AA$2,[4]Prices!$J$3:$K$17,2,FALSE)*AA122)+(VLOOKUP($AB$2,[4]Prices!$J$3:$K$17,2,FALSE)*AB122)+M122</f>
        <v>0</v>
      </c>
      <c r="AD122" s="79">
        <v>0</v>
      </c>
      <c r="AE122" s="18"/>
      <c r="AF122" s="4">
        <f t="shared" si="4"/>
        <v>0</v>
      </c>
      <c r="AG122" s="4"/>
      <c r="AH122" s="16">
        <f t="shared" si="6"/>
        <v>0</v>
      </c>
      <c r="AI122" s="21" t="e">
        <f t="shared" si="5"/>
        <v>#DIV/0!</v>
      </c>
      <c r="AJ122" s="20" t="e">
        <f t="shared" si="7"/>
        <v>#DIV/0!</v>
      </c>
      <c r="AK122" s="9"/>
    </row>
    <row r="123" spans="1:37" hidden="1">
      <c r="A123" s="77">
        <v>121</v>
      </c>
      <c r="B123" s="78"/>
      <c r="C123" s="79"/>
      <c r="D123" s="79"/>
      <c r="E123" s="79"/>
      <c r="F123" s="79"/>
      <c r="G123" s="79"/>
      <c r="H123" s="80"/>
      <c r="I123" s="45" t="s">
        <v>1331</v>
      </c>
      <c r="J123" s="45" t="s">
        <v>1387</v>
      </c>
      <c r="K123" s="46" t="s">
        <v>652</v>
      </c>
      <c r="L123" s="47" t="s">
        <v>1341</v>
      </c>
      <c r="M123" s="81">
        <f>IFERROR(VLOOKUP($L123,[3]Consolidated!$C$9:$AC$452,27,0),0)</f>
        <v>4142500</v>
      </c>
      <c r="N123" s="81">
        <f>IFERROR(VLOOKUP($L123,[3]Consolidated!$C$9:$AC$452,5,0),0)</f>
        <v>20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4">
        <f>(VLOOKUP($O$2,[4]Prices!$E$3:$K$17,2,FALSE)*O123)+(VLOOKUP($P$2,[4]Prices!$J$3:$K$17,2,FALSE)*P123)+(VLOOKUP($Q$2,[4]Prices!$J$3:$K$17,2,FALSE)*Q123)+(VLOOKUP($R$2,[4]Prices!$J$3:$K$17,2,FALSE)*R123)+(VLOOKUP($S$2,[4]Prices!$J$3:$K$17,2,FALSE)*S123)+(VLOOKUP($T$2,[4]Prices!$J$3:$K$17,2,FALSE)*T123)+(VLOOKUP($U$2,[4]Prices!$J$3:$K$17,2,FALSE)*U123)+(VLOOKUP($V$2,[4]Prices!$J$3:$K$17,2,FALSE)*V123)+(VLOOKUP($W$2,[4]Prices!$J$3:$K$17,2,FALSE)*W123)+(VLOOKUP($X$2,[4]Prices!$J$3:$K$17,2,FALSE)*X123)+(VLOOKUP($Y$2,[4]Prices!$J$3:$K$17,2,FALSE)*Y123)+(VLOOKUP($Z$2,[4]Prices!$J$3:$K$17,2,FALSE)*Z123)+(VLOOKUP($AA$2,[4]Prices!$J$3:$K$17,2,FALSE)*AA123)+(VLOOKUP($AB$2,[4]Prices!$J$3:$K$17,2,FALSE)*AB123)+M123</f>
        <v>4142500</v>
      </c>
      <c r="AD123" s="69">
        <v>825000</v>
      </c>
      <c r="AE123" s="18"/>
      <c r="AF123" s="4">
        <f t="shared" si="4"/>
        <v>825000</v>
      </c>
      <c r="AG123" s="4"/>
      <c r="AH123" s="16">
        <f t="shared" si="6"/>
        <v>825000</v>
      </c>
      <c r="AI123" s="21">
        <f t="shared" si="5"/>
        <v>0.19915509957754979</v>
      </c>
      <c r="AJ123" s="20">
        <f t="shared" si="7"/>
        <v>0.19915509957754979</v>
      </c>
      <c r="AK123" s="19"/>
    </row>
    <row r="124" spans="1:37" hidden="1">
      <c r="A124" s="77">
        <v>122</v>
      </c>
      <c r="B124" s="78"/>
      <c r="C124" s="79"/>
      <c r="D124" s="79"/>
      <c r="E124" s="79"/>
      <c r="F124" s="79"/>
      <c r="G124" s="79"/>
      <c r="H124" s="80"/>
      <c r="I124" s="45" t="s">
        <v>862</v>
      </c>
      <c r="J124" s="45" t="s">
        <v>1387</v>
      </c>
      <c r="K124" s="46" t="s">
        <v>652</v>
      </c>
      <c r="L124" s="47" t="s">
        <v>1212</v>
      </c>
      <c r="M124" s="81">
        <f>IFERROR(VLOOKUP($L124,[3]Consolidated!$C$9:$AC$452,27,0),0)</f>
        <v>0</v>
      </c>
      <c r="N124" s="81">
        <f>IFERROR(VLOOKUP($L124,[3]Consolidated!$C$9:$AC$452,5,0),0)</f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4">
        <f>(VLOOKUP($O$2,[4]Prices!$E$3:$K$17,2,FALSE)*O124)+(VLOOKUP($P$2,[4]Prices!$J$3:$K$17,2,FALSE)*P124)+(VLOOKUP($Q$2,[4]Prices!$J$3:$K$17,2,FALSE)*Q124)+(VLOOKUP($R$2,[4]Prices!$J$3:$K$17,2,FALSE)*R124)+(VLOOKUP($S$2,[4]Prices!$J$3:$K$17,2,FALSE)*S124)+(VLOOKUP($T$2,[4]Prices!$J$3:$K$17,2,FALSE)*T124)+(VLOOKUP($U$2,[4]Prices!$J$3:$K$17,2,FALSE)*U124)+(VLOOKUP($V$2,[4]Prices!$J$3:$K$17,2,FALSE)*V124)+(VLOOKUP($W$2,[4]Prices!$J$3:$K$17,2,FALSE)*W124)+(VLOOKUP($X$2,[4]Prices!$J$3:$K$17,2,FALSE)*X124)+(VLOOKUP($Y$2,[4]Prices!$J$3:$K$17,2,FALSE)*Y124)+(VLOOKUP($Z$2,[4]Prices!$J$3:$K$17,2,FALSE)*Z124)+(VLOOKUP($AA$2,[4]Prices!$J$3:$K$17,2,FALSE)*AA124)+(VLOOKUP($AB$2,[4]Prices!$J$3:$K$17,2,FALSE)*AB124)+M124</f>
        <v>0</v>
      </c>
      <c r="AD124" s="79">
        <v>0</v>
      </c>
      <c r="AE124" s="18"/>
      <c r="AF124" s="4">
        <f t="shared" si="4"/>
        <v>0</v>
      </c>
      <c r="AG124" s="4"/>
      <c r="AH124" s="16">
        <f t="shared" si="6"/>
        <v>0</v>
      </c>
      <c r="AI124" s="21" t="e">
        <f t="shared" si="5"/>
        <v>#DIV/0!</v>
      </c>
      <c r="AJ124" s="20" t="e">
        <f t="shared" si="7"/>
        <v>#DIV/0!</v>
      </c>
      <c r="AK124" s="9"/>
    </row>
    <row r="125" spans="1:37" hidden="1">
      <c r="A125" s="77">
        <v>123</v>
      </c>
      <c r="B125" s="78"/>
      <c r="C125" s="79"/>
      <c r="D125" s="79"/>
      <c r="E125" s="79"/>
      <c r="F125" s="79"/>
      <c r="G125" s="79"/>
      <c r="H125" s="80"/>
      <c r="I125" s="45" t="s">
        <v>864</v>
      </c>
      <c r="J125" s="45" t="s">
        <v>1387</v>
      </c>
      <c r="K125" s="46" t="s">
        <v>652</v>
      </c>
      <c r="L125" s="47" t="s">
        <v>1214</v>
      </c>
      <c r="M125" s="81">
        <f>IFERROR(VLOOKUP($L125,[3]Consolidated!$C$9:$AC$452,27,0),0)</f>
        <v>23345500</v>
      </c>
      <c r="N125" s="81">
        <f>IFERROR(VLOOKUP($L125,[3]Consolidated!$C$9:$AC$452,5,0),0)</f>
        <v>121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4">
        <f>(VLOOKUP($O$2,[4]Prices!$E$3:$K$17,2,FALSE)*O125)+(VLOOKUP($P$2,[4]Prices!$J$3:$K$17,2,FALSE)*P125)+(VLOOKUP($Q$2,[4]Prices!$J$3:$K$17,2,FALSE)*Q125)+(VLOOKUP($R$2,[4]Prices!$J$3:$K$17,2,FALSE)*R125)+(VLOOKUP($S$2,[4]Prices!$J$3:$K$17,2,FALSE)*S125)+(VLOOKUP($T$2,[4]Prices!$J$3:$K$17,2,FALSE)*T125)+(VLOOKUP($U$2,[4]Prices!$J$3:$K$17,2,FALSE)*U125)+(VLOOKUP($V$2,[4]Prices!$J$3:$K$17,2,FALSE)*V125)+(VLOOKUP($W$2,[4]Prices!$J$3:$K$17,2,FALSE)*W125)+(VLOOKUP($X$2,[4]Prices!$J$3:$K$17,2,FALSE)*X125)+(VLOOKUP($Y$2,[4]Prices!$J$3:$K$17,2,FALSE)*Y125)+(VLOOKUP($Z$2,[4]Prices!$J$3:$K$17,2,FALSE)*Z125)+(VLOOKUP($AA$2,[4]Prices!$J$3:$K$17,2,FALSE)*AA125)+(VLOOKUP($AB$2,[4]Prices!$J$3:$K$17,2,FALSE)*AB125)+M125</f>
        <v>23345500</v>
      </c>
      <c r="AD125" s="69">
        <v>4806000</v>
      </c>
      <c r="AE125" s="18"/>
      <c r="AF125" s="4">
        <f t="shared" si="4"/>
        <v>4806000</v>
      </c>
      <c r="AG125" s="4"/>
      <c r="AH125" s="16">
        <f t="shared" si="6"/>
        <v>4806000</v>
      </c>
      <c r="AI125" s="21">
        <f t="shared" si="5"/>
        <v>0.20586408515559743</v>
      </c>
      <c r="AJ125" s="20">
        <f t="shared" si="7"/>
        <v>0.20586408515559743</v>
      </c>
      <c r="AK125" s="9"/>
    </row>
    <row r="126" spans="1:37" hidden="1">
      <c r="A126" s="77">
        <v>124</v>
      </c>
      <c r="B126" s="78"/>
      <c r="C126" s="79"/>
      <c r="D126" s="79"/>
      <c r="E126" s="79"/>
      <c r="F126" s="79"/>
      <c r="G126" s="79"/>
      <c r="H126" s="80"/>
      <c r="I126" s="45" t="s">
        <v>874</v>
      </c>
      <c r="J126" s="45" t="s">
        <v>1387</v>
      </c>
      <c r="K126" s="46" t="s">
        <v>653</v>
      </c>
      <c r="L126" s="47" t="s">
        <v>1224</v>
      </c>
      <c r="M126" s="81">
        <f>IFERROR(VLOOKUP($L126,[3]Consolidated!$C$9:$AC$452,27,0),0)</f>
        <v>5230000</v>
      </c>
      <c r="N126" s="81">
        <f>IFERROR(VLOOKUP($L126,[3]Consolidated!$C$9:$AC$452,5,0),0)</f>
        <v>20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4">
        <f>(VLOOKUP($O$2,[4]Prices!$E$3:$K$17,2,FALSE)*O126)+(VLOOKUP($P$2,[4]Prices!$J$3:$K$17,2,FALSE)*P126)+(VLOOKUP($Q$2,[4]Prices!$J$3:$K$17,2,FALSE)*Q126)+(VLOOKUP($R$2,[4]Prices!$J$3:$K$17,2,FALSE)*R126)+(VLOOKUP($S$2,[4]Prices!$J$3:$K$17,2,FALSE)*S126)+(VLOOKUP($T$2,[4]Prices!$J$3:$K$17,2,FALSE)*T126)+(VLOOKUP($U$2,[4]Prices!$J$3:$K$17,2,FALSE)*U126)+(VLOOKUP($V$2,[4]Prices!$J$3:$K$17,2,FALSE)*V126)+(VLOOKUP($W$2,[4]Prices!$J$3:$K$17,2,FALSE)*W126)+(VLOOKUP($X$2,[4]Prices!$J$3:$K$17,2,FALSE)*X126)+(VLOOKUP($Y$2,[4]Prices!$J$3:$K$17,2,FALSE)*Y126)+(VLOOKUP($Z$2,[4]Prices!$J$3:$K$17,2,FALSE)*Z126)+(VLOOKUP($AA$2,[4]Prices!$J$3:$K$17,2,FALSE)*AA126)+(VLOOKUP($AB$2,[4]Prices!$J$3:$K$17,2,FALSE)*AB126)+M126</f>
        <v>5230000</v>
      </c>
      <c r="AD126" s="69">
        <v>842100</v>
      </c>
      <c r="AE126" s="18"/>
      <c r="AF126" s="4">
        <f t="shared" si="4"/>
        <v>842100</v>
      </c>
      <c r="AG126" s="4"/>
      <c r="AH126" s="16">
        <f t="shared" si="6"/>
        <v>842100</v>
      </c>
      <c r="AI126" s="21">
        <f t="shared" si="5"/>
        <v>0.1610133843212237</v>
      </c>
      <c r="AJ126" s="20">
        <f t="shared" si="7"/>
        <v>0.1610133843212237</v>
      </c>
      <c r="AK126" s="9"/>
    </row>
    <row r="127" spans="1:37" hidden="1">
      <c r="A127" s="77">
        <v>125</v>
      </c>
      <c r="B127" s="78"/>
      <c r="C127" s="79"/>
      <c r="D127" s="79"/>
      <c r="E127" s="79"/>
      <c r="F127" s="79"/>
      <c r="G127" s="79"/>
      <c r="H127" s="80"/>
      <c r="I127" s="45" t="s">
        <v>875</v>
      </c>
      <c r="J127" s="45" t="s">
        <v>1387</v>
      </c>
      <c r="K127" s="46" t="s">
        <v>653</v>
      </c>
      <c r="L127" s="47" t="s">
        <v>1225</v>
      </c>
      <c r="M127" s="81">
        <f>IFERROR(VLOOKUP($L127,[3]Consolidated!$C$9:$AC$452,27,0),0)</f>
        <v>11767500</v>
      </c>
      <c r="N127" s="81">
        <f>IFERROR(VLOOKUP($L127,[3]Consolidated!$C$9:$AC$452,5,0),0)</f>
        <v>45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4">
        <f>(VLOOKUP($O$2,[4]Prices!$E$3:$K$17,2,FALSE)*O127)+(VLOOKUP($P$2,[4]Prices!$J$3:$K$17,2,FALSE)*P127)+(VLOOKUP($Q$2,[4]Prices!$J$3:$K$17,2,FALSE)*Q127)+(VLOOKUP($R$2,[4]Prices!$J$3:$K$17,2,FALSE)*R127)+(VLOOKUP($S$2,[4]Prices!$J$3:$K$17,2,FALSE)*S127)+(VLOOKUP($T$2,[4]Prices!$J$3:$K$17,2,FALSE)*T127)+(VLOOKUP($U$2,[4]Prices!$J$3:$K$17,2,FALSE)*U127)+(VLOOKUP($V$2,[4]Prices!$J$3:$K$17,2,FALSE)*V127)+(VLOOKUP($W$2,[4]Prices!$J$3:$K$17,2,FALSE)*W127)+(VLOOKUP($X$2,[4]Prices!$J$3:$K$17,2,FALSE)*X127)+(VLOOKUP($Y$2,[4]Prices!$J$3:$K$17,2,FALSE)*Y127)+(VLOOKUP($Z$2,[4]Prices!$J$3:$K$17,2,FALSE)*Z127)+(VLOOKUP($AA$2,[4]Prices!$J$3:$K$17,2,FALSE)*AA127)+(VLOOKUP($AB$2,[4]Prices!$J$3:$K$17,2,FALSE)*AB127)+M127</f>
        <v>11767500</v>
      </c>
      <c r="AD127" s="69">
        <v>2193750</v>
      </c>
      <c r="AE127" s="18"/>
      <c r="AF127" s="4">
        <f t="shared" si="4"/>
        <v>2193750</v>
      </c>
      <c r="AG127" s="4"/>
      <c r="AH127" s="16">
        <f t="shared" si="6"/>
        <v>2193750</v>
      </c>
      <c r="AI127" s="21">
        <f t="shared" si="5"/>
        <v>0.18642447418738051</v>
      </c>
      <c r="AJ127" s="20">
        <f t="shared" si="7"/>
        <v>0.18642447418738051</v>
      </c>
      <c r="AK127" s="9"/>
    </row>
    <row r="128" spans="1:37" hidden="1">
      <c r="A128" s="77">
        <v>126</v>
      </c>
      <c r="B128" s="78"/>
      <c r="C128" s="79"/>
      <c r="D128" s="79"/>
      <c r="E128" s="79"/>
      <c r="F128" s="79"/>
      <c r="G128" s="79"/>
      <c r="H128" s="80"/>
      <c r="I128" s="45" t="s">
        <v>876</v>
      </c>
      <c r="J128" s="45" t="s">
        <v>1387</v>
      </c>
      <c r="K128" s="46" t="s">
        <v>653</v>
      </c>
      <c r="L128" s="47" t="s">
        <v>1226</v>
      </c>
      <c r="M128" s="81">
        <f>IFERROR(VLOOKUP($L128,[3]Consolidated!$C$9:$AC$452,27,0),0)</f>
        <v>10460000</v>
      </c>
      <c r="N128" s="81">
        <f>IFERROR(VLOOKUP($L128,[3]Consolidated!$C$9:$AC$452,5,0),0)</f>
        <v>40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4">
        <f>(VLOOKUP($O$2,[4]Prices!$E$3:$K$17,2,FALSE)*O128)+(VLOOKUP($P$2,[4]Prices!$J$3:$K$17,2,FALSE)*P128)+(VLOOKUP($Q$2,[4]Prices!$J$3:$K$17,2,FALSE)*Q128)+(VLOOKUP($R$2,[4]Prices!$J$3:$K$17,2,FALSE)*R128)+(VLOOKUP($S$2,[4]Prices!$J$3:$K$17,2,FALSE)*S128)+(VLOOKUP($T$2,[4]Prices!$J$3:$K$17,2,FALSE)*T128)+(VLOOKUP($U$2,[4]Prices!$J$3:$K$17,2,FALSE)*U128)+(VLOOKUP($V$2,[4]Prices!$J$3:$K$17,2,FALSE)*V128)+(VLOOKUP($W$2,[4]Prices!$J$3:$K$17,2,FALSE)*W128)+(VLOOKUP($X$2,[4]Prices!$J$3:$K$17,2,FALSE)*X128)+(VLOOKUP($Y$2,[4]Prices!$J$3:$K$17,2,FALSE)*Y128)+(VLOOKUP($Z$2,[4]Prices!$J$3:$K$17,2,FALSE)*Z128)+(VLOOKUP($AA$2,[4]Prices!$J$3:$K$17,2,FALSE)*AA128)+(VLOOKUP($AB$2,[4]Prices!$J$3:$K$17,2,FALSE)*AB128)+M128</f>
        <v>10460000</v>
      </c>
      <c r="AD128" s="69">
        <v>1912000</v>
      </c>
      <c r="AE128" s="18"/>
      <c r="AF128" s="4">
        <f t="shared" si="4"/>
        <v>1912000</v>
      </c>
      <c r="AG128" s="4"/>
      <c r="AH128" s="16">
        <f t="shared" si="6"/>
        <v>1912000</v>
      </c>
      <c r="AI128" s="21">
        <f t="shared" si="5"/>
        <v>0.18279158699808795</v>
      </c>
      <c r="AJ128" s="20">
        <f t="shared" si="7"/>
        <v>0.18279158699808795</v>
      </c>
      <c r="AK128" s="9"/>
    </row>
    <row r="129" spans="1:37" hidden="1">
      <c r="A129" s="77">
        <v>127</v>
      </c>
      <c r="B129" s="78"/>
      <c r="C129" s="79"/>
      <c r="D129" s="79"/>
      <c r="E129" s="79"/>
      <c r="F129" s="79"/>
      <c r="G129" s="79"/>
      <c r="H129" s="80"/>
      <c r="I129" s="45" t="s">
        <v>877</v>
      </c>
      <c r="J129" s="45" t="s">
        <v>1387</v>
      </c>
      <c r="K129" s="46" t="s">
        <v>653</v>
      </c>
      <c r="L129" s="47" t="s">
        <v>1227</v>
      </c>
      <c r="M129" s="81">
        <f>IFERROR(VLOOKUP($L129,[3]Consolidated!$C$9:$AC$452,27,0),0)</f>
        <v>7845000</v>
      </c>
      <c r="N129" s="81">
        <f>IFERROR(VLOOKUP($L129,[3]Consolidated!$C$9:$AC$452,5,0),0)</f>
        <v>30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4">
        <f>(VLOOKUP($O$2,[4]Prices!$E$3:$K$17,2,FALSE)*O129)+(VLOOKUP($P$2,[4]Prices!$J$3:$K$17,2,FALSE)*P129)+(VLOOKUP($Q$2,[4]Prices!$J$3:$K$17,2,FALSE)*Q129)+(VLOOKUP($R$2,[4]Prices!$J$3:$K$17,2,FALSE)*R129)+(VLOOKUP($S$2,[4]Prices!$J$3:$K$17,2,FALSE)*S129)+(VLOOKUP($T$2,[4]Prices!$J$3:$K$17,2,FALSE)*T129)+(VLOOKUP($U$2,[4]Prices!$J$3:$K$17,2,FALSE)*U129)+(VLOOKUP($V$2,[4]Prices!$J$3:$K$17,2,FALSE)*V129)+(VLOOKUP($W$2,[4]Prices!$J$3:$K$17,2,FALSE)*W129)+(VLOOKUP($X$2,[4]Prices!$J$3:$K$17,2,FALSE)*X129)+(VLOOKUP($Y$2,[4]Prices!$J$3:$K$17,2,FALSE)*Y129)+(VLOOKUP($Z$2,[4]Prices!$J$3:$K$17,2,FALSE)*Z129)+(VLOOKUP($AA$2,[4]Prices!$J$3:$K$17,2,FALSE)*AA129)+(VLOOKUP($AB$2,[4]Prices!$J$3:$K$17,2,FALSE)*AB129)+M129</f>
        <v>7845000</v>
      </c>
      <c r="AD129" s="69">
        <v>1009750</v>
      </c>
      <c r="AE129" s="18"/>
      <c r="AF129" s="4">
        <f t="shared" si="4"/>
        <v>1009750</v>
      </c>
      <c r="AG129" s="4"/>
      <c r="AH129" s="16">
        <f t="shared" si="6"/>
        <v>1009750</v>
      </c>
      <c r="AI129" s="21">
        <f t="shared" si="5"/>
        <v>0.12871255576800511</v>
      </c>
      <c r="AJ129" s="20">
        <f t="shared" si="7"/>
        <v>0.12871255576800511</v>
      </c>
      <c r="AK129" s="9"/>
    </row>
    <row r="130" spans="1:37" hidden="1">
      <c r="A130" s="77">
        <v>128</v>
      </c>
      <c r="B130" s="78"/>
      <c r="C130" s="79"/>
      <c r="D130" s="79"/>
      <c r="E130" s="79"/>
      <c r="F130" s="79"/>
      <c r="G130" s="79"/>
      <c r="H130" s="80"/>
      <c r="I130" s="45" t="s">
        <v>43</v>
      </c>
      <c r="J130" s="45" t="s">
        <v>1387</v>
      </c>
      <c r="K130" s="46" t="s">
        <v>653</v>
      </c>
      <c r="L130" s="47" t="s">
        <v>1228</v>
      </c>
      <c r="M130" s="81">
        <f>IFERROR(VLOOKUP($L130,[3]Consolidated!$C$9:$AC$452,27,0),0)</f>
        <v>2876500</v>
      </c>
      <c r="N130" s="81">
        <f>IFERROR(VLOOKUP($L130,[3]Consolidated!$C$9:$AC$452,5,0),0)</f>
        <v>11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4">
        <f>(VLOOKUP($O$2,[4]Prices!$E$3:$K$17,2,FALSE)*O130)+(VLOOKUP($P$2,[4]Prices!$J$3:$K$17,2,FALSE)*P130)+(VLOOKUP($Q$2,[4]Prices!$J$3:$K$17,2,FALSE)*Q130)+(VLOOKUP($R$2,[4]Prices!$J$3:$K$17,2,FALSE)*R130)+(VLOOKUP($S$2,[4]Prices!$J$3:$K$17,2,FALSE)*S130)+(VLOOKUP($T$2,[4]Prices!$J$3:$K$17,2,FALSE)*T130)+(VLOOKUP($U$2,[4]Prices!$J$3:$K$17,2,FALSE)*U130)+(VLOOKUP($V$2,[4]Prices!$J$3:$K$17,2,FALSE)*V130)+(VLOOKUP($W$2,[4]Prices!$J$3:$K$17,2,FALSE)*W130)+(VLOOKUP($X$2,[4]Prices!$J$3:$K$17,2,FALSE)*X130)+(VLOOKUP($Y$2,[4]Prices!$J$3:$K$17,2,FALSE)*Y130)+(VLOOKUP($Z$2,[4]Prices!$J$3:$K$17,2,FALSE)*Z130)+(VLOOKUP($AA$2,[4]Prices!$J$3:$K$17,2,FALSE)*AA130)+(VLOOKUP($AB$2,[4]Prices!$J$3:$K$17,2,FALSE)*AB130)+M130</f>
        <v>2876500</v>
      </c>
      <c r="AD130" s="79">
        <v>0</v>
      </c>
      <c r="AE130" s="18"/>
      <c r="AF130" s="4">
        <f t="shared" si="4"/>
        <v>0</v>
      </c>
      <c r="AG130" s="4"/>
      <c r="AH130" s="16">
        <f t="shared" si="6"/>
        <v>0</v>
      </c>
      <c r="AI130" s="21">
        <f t="shared" si="5"/>
        <v>0</v>
      </c>
      <c r="AJ130" s="20">
        <f t="shared" si="7"/>
        <v>0</v>
      </c>
      <c r="AK130" s="9"/>
    </row>
    <row r="131" spans="1:37" hidden="1">
      <c r="A131" s="77">
        <v>129</v>
      </c>
      <c r="B131" s="78"/>
      <c r="C131" s="79"/>
      <c r="D131" s="79"/>
      <c r="E131" s="79"/>
      <c r="F131" s="79"/>
      <c r="G131" s="79"/>
      <c r="H131" s="80"/>
      <c r="I131" s="45" t="s">
        <v>38</v>
      </c>
      <c r="J131" s="45" t="s">
        <v>1387</v>
      </c>
      <c r="K131" s="46" t="s">
        <v>653</v>
      </c>
      <c r="L131" s="47" t="s">
        <v>1229</v>
      </c>
      <c r="M131" s="81">
        <f>IFERROR(VLOOKUP($L131,[3]Consolidated!$C$9:$AC$452,27,0),0)</f>
        <v>5230000</v>
      </c>
      <c r="N131" s="81">
        <f>IFERROR(VLOOKUP($L131,[3]Consolidated!$C$9:$AC$452,5,0),0)</f>
        <v>20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4">
        <f>(VLOOKUP($O$2,[4]Prices!$E$3:$K$17,2,FALSE)*O131)+(VLOOKUP($P$2,[4]Prices!$J$3:$K$17,2,FALSE)*P131)+(VLOOKUP($Q$2,[4]Prices!$J$3:$K$17,2,FALSE)*Q131)+(VLOOKUP($R$2,[4]Prices!$J$3:$K$17,2,FALSE)*R131)+(VLOOKUP($S$2,[4]Prices!$J$3:$K$17,2,FALSE)*S131)+(VLOOKUP($T$2,[4]Prices!$J$3:$K$17,2,FALSE)*T131)+(VLOOKUP($U$2,[4]Prices!$J$3:$K$17,2,FALSE)*U131)+(VLOOKUP($V$2,[4]Prices!$J$3:$K$17,2,FALSE)*V131)+(VLOOKUP($W$2,[4]Prices!$J$3:$K$17,2,FALSE)*W131)+(VLOOKUP($X$2,[4]Prices!$J$3:$K$17,2,FALSE)*X131)+(VLOOKUP($Y$2,[4]Prices!$J$3:$K$17,2,FALSE)*Y131)+(VLOOKUP($Z$2,[4]Prices!$J$3:$K$17,2,FALSE)*Z131)+(VLOOKUP($AA$2,[4]Prices!$J$3:$K$17,2,FALSE)*AA131)+(VLOOKUP($AB$2,[4]Prices!$J$3:$K$17,2,FALSE)*AB131)+M131</f>
        <v>5230000</v>
      </c>
      <c r="AD131" s="69">
        <v>874100</v>
      </c>
      <c r="AE131" s="18"/>
      <c r="AF131" s="4">
        <f t="shared" ref="AF131:AF194" si="8">AD131-AE131</f>
        <v>874100</v>
      </c>
      <c r="AG131" s="4"/>
      <c r="AH131" s="16">
        <f t="shared" si="6"/>
        <v>874100</v>
      </c>
      <c r="AI131" s="21">
        <f t="shared" si="5"/>
        <v>0.167131931166348</v>
      </c>
      <c r="AJ131" s="20">
        <f t="shared" si="7"/>
        <v>0.167131931166348</v>
      </c>
      <c r="AK131" s="9"/>
    </row>
    <row r="132" spans="1:37" hidden="1">
      <c r="A132" s="77">
        <v>130</v>
      </c>
      <c r="B132" s="78"/>
      <c r="C132" s="79"/>
      <c r="D132" s="79"/>
      <c r="E132" s="79"/>
      <c r="F132" s="79"/>
      <c r="G132" s="79"/>
      <c r="H132" s="80"/>
      <c r="I132" s="45" t="s">
        <v>878</v>
      </c>
      <c r="J132" s="45" t="s">
        <v>1387</v>
      </c>
      <c r="K132" s="46" t="s">
        <v>653</v>
      </c>
      <c r="L132" s="46" t="s">
        <v>1230</v>
      </c>
      <c r="M132" s="81">
        <f>IFERROR(VLOOKUP($L132,[3]Consolidated!$C$9:$AC$452,27,0),0)</f>
        <v>36610000</v>
      </c>
      <c r="N132" s="81">
        <f>IFERROR(VLOOKUP($L132,[3]Consolidated!$C$9:$AC$452,5,0),0)</f>
        <v>140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4">
        <f>(VLOOKUP($O$2,[4]Prices!$E$3:$K$17,2,FALSE)*O132)+(VLOOKUP($P$2,[4]Prices!$J$3:$K$17,2,FALSE)*P132)+(VLOOKUP($Q$2,[4]Prices!$J$3:$K$17,2,FALSE)*Q132)+(VLOOKUP($R$2,[4]Prices!$J$3:$K$17,2,FALSE)*R132)+(VLOOKUP($S$2,[4]Prices!$J$3:$K$17,2,FALSE)*S132)+(VLOOKUP($T$2,[4]Prices!$J$3:$K$17,2,FALSE)*T132)+(VLOOKUP($U$2,[4]Prices!$J$3:$K$17,2,FALSE)*U132)+(VLOOKUP($V$2,[4]Prices!$J$3:$K$17,2,FALSE)*V132)+(VLOOKUP($W$2,[4]Prices!$J$3:$K$17,2,FALSE)*W132)+(VLOOKUP($X$2,[4]Prices!$J$3:$K$17,2,FALSE)*X132)+(VLOOKUP($Y$2,[4]Prices!$J$3:$K$17,2,FALSE)*Y132)+(VLOOKUP($Z$2,[4]Prices!$J$3:$K$17,2,FALSE)*Z132)+(VLOOKUP($AA$2,[4]Prices!$J$3:$K$17,2,FALSE)*AA132)+(VLOOKUP($AB$2,[4]Prices!$J$3:$K$17,2,FALSE)*AB132)+M132</f>
        <v>36610000</v>
      </c>
      <c r="AD132" s="69">
        <v>5272250</v>
      </c>
      <c r="AE132" s="18"/>
      <c r="AF132" s="4">
        <f t="shared" si="8"/>
        <v>5272250</v>
      </c>
      <c r="AG132" s="4"/>
      <c r="AH132" s="16">
        <f t="shared" ref="AH132:AH195" si="9">AD132+AG132</f>
        <v>5272250</v>
      </c>
      <c r="AI132" s="21">
        <f t="shared" ref="AI132:AI195" si="10">AH132/M132</f>
        <v>0.14401119912592189</v>
      </c>
      <c r="AJ132" s="20">
        <f t="shared" si="7"/>
        <v>0.14401119912592189</v>
      </c>
      <c r="AK132" s="9"/>
    </row>
    <row r="133" spans="1:37" hidden="1">
      <c r="A133" s="77">
        <v>131</v>
      </c>
      <c r="B133" s="78"/>
      <c r="C133" s="79"/>
      <c r="D133" s="79"/>
      <c r="E133" s="79"/>
      <c r="F133" s="79"/>
      <c r="G133" s="79"/>
      <c r="H133" s="80"/>
      <c r="I133" s="45" t="s">
        <v>879</v>
      </c>
      <c r="J133" s="45" t="s">
        <v>1387</v>
      </c>
      <c r="K133" s="46" t="s">
        <v>653</v>
      </c>
      <c r="L133" s="46" t="s">
        <v>1231</v>
      </c>
      <c r="M133" s="81">
        <f>IFERROR(VLOOKUP($L133,[3]Consolidated!$C$9:$AC$452,27,0),0)</f>
        <v>39225000</v>
      </c>
      <c r="N133" s="81">
        <f>IFERROR(VLOOKUP($L133,[3]Consolidated!$C$9:$AC$452,5,0),0)</f>
        <v>150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4">
        <f>(VLOOKUP($O$2,[4]Prices!$E$3:$K$17,2,FALSE)*O133)+(VLOOKUP($P$2,[4]Prices!$J$3:$K$17,2,FALSE)*P133)+(VLOOKUP($Q$2,[4]Prices!$J$3:$K$17,2,FALSE)*Q133)+(VLOOKUP($R$2,[4]Prices!$J$3:$K$17,2,FALSE)*R133)+(VLOOKUP($S$2,[4]Prices!$J$3:$K$17,2,FALSE)*S133)+(VLOOKUP($T$2,[4]Prices!$J$3:$K$17,2,FALSE)*T133)+(VLOOKUP($U$2,[4]Prices!$J$3:$K$17,2,FALSE)*U133)+(VLOOKUP($V$2,[4]Prices!$J$3:$K$17,2,FALSE)*V133)+(VLOOKUP($W$2,[4]Prices!$J$3:$K$17,2,FALSE)*W133)+(VLOOKUP($X$2,[4]Prices!$J$3:$K$17,2,FALSE)*X133)+(VLOOKUP($Y$2,[4]Prices!$J$3:$K$17,2,FALSE)*Y133)+(VLOOKUP($Z$2,[4]Prices!$J$3:$K$17,2,FALSE)*Z133)+(VLOOKUP($AA$2,[4]Prices!$J$3:$K$17,2,FALSE)*AA133)+(VLOOKUP($AB$2,[4]Prices!$J$3:$K$17,2,FALSE)*AB133)+M133</f>
        <v>39225000</v>
      </c>
      <c r="AD133" s="69">
        <v>4612250</v>
      </c>
      <c r="AE133" s="18"/>
      <c r="AF133" s="4">
        <f t="shared" si="8"/>
        <v>4612250</v>
      </c>
      <c r="AG133" s="4"/>
      <c r="AH133" s="16">
        <f t="shared" si="9"/>
        <v>4612250</v>
      </c>
      <c r="AI133" s="21">
        <f t="shared" si="10"/>
        <v>0.1175844486934353</v>
      </c>
      <c r="AJ133" s="20">
        <f t="shared" ref="AJ133:AJ196" si="11">AH133/AC133</f>
        <v>0.1175844486934353</v>
      </c>
      <c r="AK133" s="9"/>
    </row>
    <row r="134" spans="1:37" s="94" customFormat="1" ht="29">
      <c r="A134" s="84">
        <v>132</v>
      </c>
      <c r="B134" s="78"/>
      <c r="C134" s="79"/>
      <c r="D134" s="79"/>
      <c r="E134" s="79"/>
      <c r="F134" s="79"/>
      <c r="G134" s="79"/>
      <c r="H134" s="80"/>
      <c r="I134" s="85" t="s">
        <v>880</v>
      </c>
      <c r="J134" s="85" t="s">
        <v>1387</v>
      </c>
      <c r="K134" s="86" t="s">
        <v>653</v>
      </c>
      <c r="L134" s="86" t="s">
        <v>1232</v>
      </c>
      <c r="M134" s="87">
        <f>IFERROR(VLOOKUP($L134,[3]Consolidated!$C$9:$AC$452,27,0),0)</f>
        <v>10460000</v>
      </c>
      <c r="N134" s="87">
        <f>IFERROR(VLOOKUP($L134,[3]Consolidated!$C$9:$AC$452,5,0),0)</f>
        <v>40</v>
      </c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9">
        <f>(VLOOKUP($O$2,[4]Prices!$E$3:$K$17,2,FALSE)*O134)+(VLOOKUP($P$2,[4]Prices!$J$3:$K$17,2,FALSE)*P134)+(VLOOKUP($Q$2,[4]Prices!$J$3:$K$17,2,FALSE)*Q134)+(VLOOKUP($R$2,[4]Prices!$J$3:$K$17,2,FALSE)*R134)+(VLOOKUP($S$2,[4]Prices!$J$3:$K$17,2,FALSE)*S134)+(VLOOKUP($T$2,[4]Prices!$J$3:$K$17,2,FALSE)*T134)+(VLOOKUP($U$2,[4]Prices!$J$3:$K$17,2,FALSE)*U134)+(VLOOKUP($V$2,[4]Prices!$J$3:$K$17,2,FALSE)*V134)+(VLOOKUP($W$2,[4]Prices!$J$3:$K$17,2,FALSE)*W134)+(VLOOKUP($X$2,[4]Prices!$J$3:$K$17,2,FALSE)*X134)+(VLOOKUP($Y$2,[4]Prices!$J$3:$K$17,2,FALSE)*Y134)+(VLOOKUP($Z$2,[4]Prices!$J$3:$K$17,2,FALSE)*Z134)+(VLOOKUP($AA$2,[4]Prices!$J$3:$K$17,2,FALSE)*AA134)+(VLOOKUP($AB$2,[4]Prices!$J$3:$K$17,2,FALSE)*AB134)+M134</f>
        <v>10460000</v>
      </c>
      <c r="AD134" s="90">
        <v>0</v>
      </c>
      <c r="AE134" s="18"/>
      <c r="AF134" s="4">
        <f t="shared" si="8"/>
        <v>0</v>
      </c>
      <c r="AG134" s="89">
        <v>3000000</v>
      </c>
      <c r="AH134" s="91">
        <f t="shared" si="9"/>
        <v>3000000</v>
      </c>
      <c r="AI134" s="21">
        <f t="shared" si="10"/>
        <v>0.28680688336520077</v>
      </c>
      <c r="AJ134" s="92">
        <f t="shared" si="11"/>
        <v>0.28680688336520077</v>
      </c>
      <c r="AK134" s="93" t="s">
        <v>1509</v>
      </c>
    </row>
    <row r="135" spans="1:37" hidden="1">
      <c r="A135" s="77">
        <v>133</v>
      </c>
      <c r="B135" s="78"/>
      <c r="C135" s="79"/>
      <c r="D135" s="79"/>
      <c r="E135" s="79"/>
      <c r="F135" s="79"/>
      <c r="G135" s="79"/>
      <c r="H135" s="80"/>
      <c r="I135" s="45" t="s">
        <v>881</v>
      </c>
      <c r="J135" s="45" t="s">
        <v>1387</v>
      </c>
      <c r="K135" s="46" t="s">
        <v>653</v>
      </c>
      <c r="L135" s="46" t="s">
        <v>1233</v>
      </c>
      <c r="M135" s="81">
        <f>IFERROR(VLOOKUP($L135,[3]Consolidated!$C$9:$AC$452,27,0),0)</f>
        <v>10460000</v>
      </c>
      <c r="N135" s="81">
        <f>IFERROR(VLOOKUP($L135,[3]Consolidated!$C$9:$AC$452,5,0),0)</f>
        <v>40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4">
        <f>(VLOOKUP($O$2,[4]Prices!$E$3:$K$17,2,FALSE)*O135)+(VLOOKUP($P$2,[4]Prices!$J$3:$K$17,2,FALSE)*P135)+(VLOOKUP($Q$2,[4]Prices!$J$3:$K$17,2,FALSE)*Q135)+(VLOOKUP($R$2,[4]Prices!$J$3:$K$17,2,FALSE)*R135)+(VLOOKUP($S$2,[4]Prices!$J$3:$K$17,2,FALSE)*S135)+(VLOOKUP($T$2,[4]Prices!$J$3:$K$17,2,FALSE)*T135)+(VLOOKUP($U$2,[4]Prices!$J$3:$K$17,2,FALSE)*U135)+(VLOOKUP($V$2,[4]Prices!$J$3:$K$17,2,FALSE)*V135)+(VLOOKUP($W$2,[4]Prices!$J$3:$K$17,2,FALSE)*W135)+(VLOOKUP($X$2,[4]Prices!$J$3:$K$17,2,FALSE)*X135)+(VLOOKUP($Y$2,[4]Prices!$J$3:$K$17,2,FALSE)*Y135)+(VLOOKUP($Z$2,[4]Prices!$J$3:$K$17,2,FALSE)*Z135)+(VLOOKUP($AA$2,[4]Prices!$J$3:$K$17,2,FALSE)*AA135)+(VLOOKUP($AB$2,[4]Prices!$J$3:$K$17,2,FALSE)*AB135)+M135</f>
        <v>10460000</v>
      </c>
      <c r="AD135" s="69">
        <v>998000</v>
      </c>
      <c r="AE135" s="18"/>
      <c r="AF135" s="4">
        <f t="shared" si="8"/>
        <v>998000</v>
      </c>
      <c r="AG135" s="4"/>
      <c r="AH135" s="16">
        <f t="shared" si="9"/>
        <v>998000</v>
      </c>
      <c r="AI135" s="21">
        <f t="shared" si="10"/>
        <v>9.541108986615679E-2</v>
      </c>
      <c r="AJ135" s="20">
        <f t="shared" si="11"/>
        <v>9.541108986615679E-2</v>
      </c>
      <c r="AK135" s="19"/>
    </row>
    <row r="136" spans="1:37" hidden="1">
      <c r="A136" s="77">
        <v>134</v>
      </c>
      <c r="B136" s="78"/>
      <c r="C136" s="79"/>
      <c r="D136" s="79"/>
      <c r="E136" s="79"/>
      <c r="F136" s="79"/>
      <c r="G136" s="79"/>
      <c r="H136" s="80"/>
      <c r="I136" s="45" t="s">
        <v>882</v>
      </c>
      <c r="J136" s="45" t="s">
        <v>1387</v>
      </c>
      <c r="K136" s="46" t="s">
        <v>653</v>
      </c>
      <c r="L136" s="47" t="s">
        <v>1234</v>
      </c>
      <c r="M136" s="81">
        <f>IFERROR(VLOOKUP($L136,[3]Consolidated!$C$9:$AC$452,27,0),0)</f>
        <v>11767500</v>
      </c>
      <c r="N136" s="81">
        <f>IFERROR(VLOOKUP($L136,[3]Consolidated!$C$9:$AC$452,5,0),0)</f>
        <v>45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4">
        <f>(VLOOKUP($O$2,[4]Prices!$E$3:$K$17,2,FALSE)*O136)+(VLOOKUP($P$2,[4]Prices!$J$3:$K$17,2,FALSE)*P136)+(VLOOKUP($Q$2,[4]Prices!$J$3:$K$17,2,FALSE)*Q136)+(VLOOKUP($R$2,[4]Prices!$J$3:$K$17,2,FALSE)*R136)+(VLOOKUP($S$2,[4]Prices!$J$3:$K$17,2,FALSE)*S136)+(VLOOKUP($T$2,[4]Prices!$J$3:$K$17,2,FALSE)*T136)+(VLOOKUP($U$2,[4]Prices!$J$3:$K$17,2,FALSE)*U136)+(VLOOKUP($V$2,[4]Prices!$J$3:$K$17,2,FALSE)*V136)+(VLOOKUP($W$2,[4]Prices!$J$3:$K$17,2,FALSE)*W136)+(VLOOKUP($X$2,[4]Prices!$J$3:$K$17,2,FALSE)*X136)+(VLOOKUP($Y$2,[4]Prices!$J$3:$K$17,2,FALSE)*Y136)+(VLOOKUP($Z$2,[4]Prices!$J$3:$K$17,2,FALSE)*Z136)+(VLOOKUP($AA$2,[4]Prices!$J$3:$K$17,2,FALSE)*AA136)+(VLOOKUP($AB$2,[4]Prices!$J$3:$K$17,2,FALSE)*AB136)+M136</f>
        <v>11767500</v>
      </c>
      <c r="AD136" s="69">
        <v>1815000</v>
      </c>
      <c r="AE136" s="18"/>
      <c r="AF136" s="4">
        <f t="shared" si="8"/>
        <v>1815000</v>
      </c>
      <c r="AG136" s="4"/>
      <c r="AH136" s="16">
        <f t="shared" si="9"/>
        <v>1815000</v>
      </c>
      <c r="AI136" s="21">
        <f t="shared" si="10"/>
        <v>0.15423836838750796</v>
      </c>
      <c r="AJ136" s="20">
        <f t="shared" si="11"/>
        <v>0.15423836838750796</v>
      </c>
      <c r="AK136" s="9"/>
    </row>
    <row r="137" spans="1:37" hidden="1">
      <c r="A137" s="77">
        <v>135</v>
      </c>
      <c r="B137" s="78"/>
      <c r="C137" s="79"/>
      <c r="D137" s="79"/>
      <c r="E137" s="79"/>
      <c r="F137" s="79"/>
      <c r="G137" s="79"/>
      <c r="H137" s="80"/>
      <c r="I137" s="45" t="s">
        <v>883</v>
      </c>
      <c r="J137" s="45" t="s">
        <v>1387</v>
      </c>
      <c r="K137" s="46" t="s">
        <v>653</v>
      </c>
      <c r="L137" s="47" t="s">
        <v>1235</v>
      </c>
      <c r="M137" s="81">
        <f>IFERROR(VLOOKUP($L137,[3]Consolidated!$C$9:$AC$452,27,0),0)</f>
        <v>16997500</v>
      </c>
      <c r="N137" s="81">
        <f>IFERROR(VLOOKUP($L137,[3]Consolidated!$C$9:$AC$452,5,0),0)</f>
        <v>65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4">
        <f>(VLOOKUP($O$2,[4]Prices!$E$3:$K$17,2,FALSE)*O137)+(VLOOKUP($P$2,[4]Prices!$J$3:$K$17,2,FALSE)*P137)+(VLOOKUP($Q$2,[4]Prices!$J$3:$K$17,2,FALSE)*Q137)+(VLOOKUP($R$2,[4]Prices!$J$3:$K$17,2,FALSE)*R137)+(VLOOKUP($S$2,[4]Prices!$J$3:$K$17,2,FALSE)*S137)+(VLOOKUP($T$2,[4]Prices!$J$3:$K$17,2,FALSE)*T137)+(VLOOKUP($U$2,[4]Prices!$J$3:$K$17,2,FALSE)*U137)+(VLOOKUP($V$2,[4]Prices!$J$3:$K$17,2,FALSE)*V137)+(VLOOKUP($W$2,[4]Prices!$J$3:$K$17,2,FALSE)*W137)+(VLOOKUP($X$2,[4]Prices!$J$3:$K$17,2,FALSE)*X137)+(VLOOKUP($Y$2,[4]Prices!$J$3:$K$17,2,FALSE)*Y137)+(VLOOKUP($Z$2,[4]Prices!$J$3:$K$17,2,FALSE)*Z137)+(VLOOKUP($AA$2,[4]Prices!$J$3:$K$17,2,FALSE)*AA137)+(VLOOKUP($AB$2,[4]Prices!$J$3:$K$17,2,FALSE)*AB137)+M137</f>
        <v>16997500</v>
      </c>
      <c r="AD137" s="69">
        <v>2598000</v>
      </c>
      <c r="AE137" s="18"/>
      <c r="AF137" s="4">
        <f t="shared" si="8"/>
        <v>2598000</v>
      </c>
      <c r="AG137" s="4"/>
      <c r="AH137" s="16">
        <f t="shared" si="9"/>
        <v>2598000</v>
      </c>
      <c r="AI137" s="21">
        <f t="shared" si="10"/>
        <v>0.15284600676570084</v>
      </c>
      <c r="AJ137" s="20">
        <f t="shared" si="11"/>
        <v>0.15284600676570084</v>
      </c>
      <c r="AK137" s="9"/>
    </row>
    <row r="138" spans="1:37" hidden="1">
      <c r="A138" s="77">
        <v>136</v>
      </c>
      <c r="B138" s="78"/>
      <c r="C138" s="79"/>
      <c r="D138" s="79"/>
      <c r="E138" s="79"/>
      <c r="F138" s="79"/>
      <c r="G138" s="79"/>
      <c r="H138" s="80"/>
      <c r="I138" s="45" t="s">
        <v>884</v>
      </c>
      <c r="J138" s="45" t="s">
        <v>1387</v>
      </c>
      <c r="K138" s="46" t="s">
        <v>653</v>
      </c>
      <c r="L138" s="47" t="s">
        <v>1236</v>
      </c>
      <c r="M138" s="81">
        <f>IFERROR(VLOOKUP($L138,[3]Consolidated!$C$9:$AC$452,27,0),0)</f>
        <v>33995000</v>
      </c>
      <c r="N138" s="81">
        <f>IFERROR(VLOOKUP($L138,[3]Consolidated!$C$9:$AC$452,5,0),0)</f>
        <v>130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4">
        <f>(VLOOKUP($O$2,[4]Prices!$E$3:$K$17,2,FALSE)*O138)+(VLOOKUP($P$2,[4]Prices!$J$3:$K$17,2,FALSE)*P138)+(VLOOKUP($Q$2,[4]Prices!$J$3:$K$17,2,FALSE)*Q138)+(VLOOKUP($R$2,[4]Prices!$J$3:$K$17,2,FALSE)*R138)+(VLOOKUP($S$2,[4]Prices!$J$3:$K$17,2,FALSE)*S138)+(VLOOKUP($T$2,[4]Prices!$J$3:$K$17,2,FALSE)*T138)+(VLOOKUP($U$2,[4]Prices!$J$3:$K$17,2,FALSE)*U138)+(VLOOKUP($V$2,[4]Prices!$J$3:$K$17,2,FALSE)*V138)+(VLOOKUP($W$2,[4]Prices!$J$3:$K$17,2,FALSE)*W138)+(VLOOKUP($X$2,[4]Prices!$J$3:$K$17,2,FALSE)*X138)+(VLOOKUP($Y$2,[4]Prices!$J$3:$K$17,2,FALSE)*Y138)+(VLOOKUP($Z$2,[4]Prices!$J$3:$K$17,2,FALSE)*Z138)+(VLOOKUP($AA$2,[4]Prices!$J$3:$K$17,2,FALSE)*AA138)+(VLOOKUP($AB$2,[4]Prices!$J$3:$K$17,2,FALSE)*AB138)+M138</f>
        <v>33995000</v>
      </c>
      <c r="AD138" s="69">
        <v>4240300</v>
      </c>
      <c r="AE138" s="18"/>
      <c r="AF138" s="4">
        <f t="shared" si="8"/>
        <v>4240300</v>
      </c>
      <c r="AG138" s="4"/>
      <c r="AH138" s="16">
        <f t="shared" si="9"/>
        <v>4240300</v>
      </c>
      <c r="AI138" s="21">
        <f t="shared" si="10"/>
        <v>0.12473304897779085</v>
      </c>
      <c r="AJ138" s="20">
        <f t="shared" si="11"/>
        <v>0.12473304897779085</v>
      </c>
      <c r="AK138" s="9"/>
    </row>
    <row r="139" spans="1:37" hidden="1">
      <c r="A139" s="77">
        <v>137</v>
      </c>
      <c r="B139" s="78"/>
      <c r="C139" s="79"/>
      <c r="D139" s="79"/>
      <c r="E139" s="79"/>
      <c r="F139" s="79"/>
      <c r="G139" s="79"/>
      <c r="H139" s="80"/>
      <c r="I139" s="45" t="s">
        <v>885</v>
      </c>
      <c r="J139" s="45" t="s">
        <v>1387</v>
      </c>
      <c r="K139" s="46" t="s">
        <v>653</v>
      </c>
      <c r="L139" s="47" t="s">
        <v>1237</v>
      </c>
      <c r="M139" s="81">
        <f>IFERROR(VLOOKUP($L139,[3]Consolidated!$C$9:$AC$452,27,0),0)</f>
        <v>4707000</v>
      </c>
      <c r="N139" s="81">
        <f>IFERROR(VLOOKUP($L139,[3]Consolidated!$C$9:$AC$452,5,0),0)</f>
        <v>18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4">
        <f>(VLOOKUP($O$2,[4]Prices!$E$3:$K$17,2,FALSE)*O139)+(VLOOKUP($P$2,[4]Prices!$J$3:$K$17,2,FALSE)*P139)+(VLOOKUP($Q$2,[4]Prices!$J$3:$K$17,2,FALSE)*Q139)+(VLOOKUP($R$2,[4]Prices!$J$3:$K$17,2,FALSE)*R139)+(VLOOKUP($S$2,[4]Prices!$J$3:$K$17,2,FALSE)*S139)+(VLOOKUP($T$2,[4]Prices!$J$3:$K$17,2,FALSE)*T139)+(VLOOKUP($U$2,[4]Prices!$J$3:$K$17,2,FALSE)*U139)+(VLOOKUP($V$2,[4]Prices!$J$3:$K$17,2,FALSE)*V139)+(VLOOKUP($W$2,[4]Prices!$J$3:$K$17,2,FALSE)*W139)+(VLOOKUP($X$2,[4]Prices!$J$3:$K$17,2,FALSE)*X139)+(VLOOKUP($Y$2,[4]Prices!$J$3:$K$17,2,FALSE)*Y139)+(VLOOKUP($Z$2,[4]Prices!$J$3:$K$17,2,FALSE)*Z139)+(VLOOKUP($AA$2,[4]Prices!$J$3:$K$17,2,FALSE)*AA139)+(VLOOKUP($AB$2,[4]Prices!$J$3:$K$17,2,FALSE)*AB139)+M139</f>
        <v>4707000</v>
      </c>
      <c r="AD139" s="69">
        <v>562500</v>
      </c>
      <c r="AE139" s="18"/>
      <c r="AF139" s="4">
        <f t="shared" si="8"/>
        <v>562500</v>
      </c>
      <c r="AG139" s="4"/>
      <c r="AH139" s="16">
        <f t="shared" si="9"/>
        <v>562500</v>
      </c>
      <c r="AI139" s="21">
        <f t="shared" si="10"/>
        <v>0.11950286806883365</v>
      </c>
      <c r="AJ139" s="20">
        <f t="shared" si="11"/>
        <v>0.11950286806883365</v>
      </c>
      <c r="AK139" s="9"/>
    </row>
    <row r="140" spans="1:37" hidden="1">
      <c r="A140" s="77">
        <v>138</v>
      </c>
      <c r="B140" s="78"/>
      <c r="C140" s="79"/>
      <c r="D140" s="79"/>
      <c r="E140" s="79"/>
      <c r="F140" s="79"/>
      <c r="G140" s="79"/>
      <c r="H140" s="80"/>
      <c r="I140" s="45" t="s">
        <v>886</v>
      </c>
      <c r="J140" s="67" t="s">
        <v>1387</v>
      </c>
      <c r="K140" s="46" t="s">
        <v>653</v>
      </c>
      <c r="L140" s="47" t="s">
        <v>1238</v>
      </c>
      <c r="M140" s="81">
        <f>IFERROR(VLOOKUP($L140,[3]Consolidated!$C$9:$AC$452,27,0),0)</f>
        <v>6537500</v>
      </c>
      <c r="N140" s="81">
        <f>IFERROR(VLOOKUP($L140,[3]Consolidated!$C$9:$AC$452,5,0),0)</f>
        <v>25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4">
        <f>(VLOOKUP($O$2,[4]Prices!$E$3:$K$17,2,FALSE)*O140)+(VLOOKUP($P$2,[4]Prices!$J$3:$K$17,2,FALSE)*P140)+(VLOOKUP($Q$2,[4]Prices!$J$3:$K$17,2,FALSE)*Q140)+(VLOOKUP($R$2,[4]Prices!$J$3:$K$17,2,FALSE)*R140)+(VLOOKUP($S$2,[4]Prices!$J$3:$K$17,2,FALSE)*S140)+(VLOOKUP($T$2,[4]Prices!$J$3:$K$17,2,FALSE)*T140)+(VLOOKUP($U$2,[4]Prices!$J$3:$K$17,2,FALSE)*U140)+(VLOOKUP($V$2,[4]Prices!$J$3:$K$17,2,FALSE)*V140)+(VLOOKUP($W$2,[4]Prices!$J$3:$K$17,2,FALSE)*W140)+(VLOOKUP($X$2,[4]Prices!$J$3:$K$17,2,FALSE)*X140)+(VLOOKUP($Y$2,[4]Prices!$J$3:$K$17,2,FALSE)*Y140)+(VLOOKUP($Z$2,[4]Prices!$J$3:$K$17,2,FALSE)*Z140)+(VLOOKUP($AA$2,[4]Prices!$J$3:$K$17,2,FALSE)*AA140)+(VLOOKUP($AB$2,[4]Prices!$J$3:$K$17,2,FALSE)*AB140)+M140</f>
        <v>6537500</v>
      </c>
      <c r="AD140" s="79">
        <v>0</v>
      </c>
      <c r="AE140" s="18"/>
      <c r="AF140" s="4">
        <f t="shared" si="8"/>
        <v>0</v>
      </c>
      <c r="AG140" s="4"/>
      <c r="AH140" s="16">
        <f t="shared" si="9"/>
        <v>0</v>
      </c>
      <c r="AI140" s="21">
        <f t="shared" si="10"/>
        <v>0</v>
      </c>
      <c r="AJ140" s="20">
        <f t="shared" si="11"/>
        <v>0</v>
      </c>
      <c r="AK140" s="9"/>
    </row>
    <row r="141" spans="1:37" hidden="1">
      <c r="A141" s="77">
        <v>139</v>
      </c>
      <c r="B141" s="78"/>
      <c r="C141" s="79"/>
      <c r="D141" s="79"/>
      <c r="E141" s="79"/>
      <c r="F141" s="79"/>
      <c r="G141" s="79"/>
      <c r="H141" s="80"/>
      <c r="I141" s="45" t="s">
        <v>887</v>
      </c>
      <c r="J141" s="45" t="s">
        <v>1387</v>
      </c>
      <c r="K141" s="46" t="s">
        <v>653</v>
      </c>
      <c r="L141" s="47" t="s">
        <v>1239</v>
      </c>
      <c r="M141" s="81">
        <f>IFERROR(VLOOKUP($L141,[3]Consolidated!$C$9:$AC$452,27,0),0)</f>
        <v>5230000</v>
      </c>
      <c r="N141" s="81">
        <f>IFERROR(VLOOKUP($L141,[3]Consolidated!$C$9:$AC$452,5,0),0)</f>
        <v>20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4">
        <f>(VLOOKUP($O$2,[4]Prices!$E$3:$K$17,2,FALSE)*O141)+(VLOOKUP($P$2,[4]Prices!$J$3:$K$17,2,FALSE)*P141)+(VLOOKUP($Q$2,[4]Prices!$J$3:$K$17,2,FALSE)*Q141)+(VLOOKUP($R$2,[4]Prices!$J$3:$K$17,2,FALSE)*R141)+(VLOOKUP($S$2,[4]Prices!$J$3:$K$17,2,FALSE)*S141)+(VLOOKUP($T$2,[4]Prices!$J$3:$K$17,2,FALSE)*T141)+(VLOOKUP($U$2,[4]Prices!$J$3:$K$17,2,FALSE)*U141)+(VLOOKUP($V$2,[4]Prices!$J$3:$K$17,2,FALSE)*V141)+(VLOOKUP($W$2,[4]Prices!$J$3:$K$17,2,FALSE)*W141)+(VLOOKUP($X$2,[4]Prices!$J$3:$K$17,2,FALSE)*X141)+(VLOOKUP($Y$2,[4]Prices!$J$3:$K$17,2,FALSE)*Y141)+(VLOOKUP($Z$2,[4]Prices!$J$3:$K$17,2,FALSE)*Z141)+(VLOOKUP($AA$2,[4]Prices!$J$3:$K$17,2,FALSE)*AA141)+(VLOOKUP($AB$2,[4]Prices!$J$3:$K$17,2,FALSE)*AB141)+M141</f>
        <v>5230000</v>
      </c>
      <c r="AD141" s="69">
        <v>461550</v>
      </c>
      <c r="AE141" s="18"/>
      <c r="AF141" s="4">
        <f t="shared" si="8"/>
        <v>461550</v>
      </c>
      <c r="AG141" s="4"/>
      <c r="AH141" s="16">
        <f t="shared" si="9"/>
        <v>461550</v>
      </c>
      <c r="AI141" s="21">
        <f t="shared" si="10"/>
        <v>8.8250478011472275E-2</v>
      </c>
      <c r="AJ141" s="20">
        <f t="shared" si="11"/>
        <v>8.8250478011472275E-2</v>
      </c>
      <c r="AK141" s="9"/>
    </row>
    <row r="142" spans="1:37">
      <c r="A142" s="77">
        <v>140</v>
      </c>
      <c r="B142" s="78"/>
      <c r="C142" s="79"/>
      <c r="D142" s="79"/>
      <c r="E142" s="79"/>
      <c r="F142" s="79"/>
      <c r="G142" s="79"/>
      <c r="H142" s="80"/>
      <c r="I142" s="45" t="s">
        <v>888</v>
      </c>
      <c r="J142" s="45" t="s">
        <v>1387</v>
      </c>
      <c r="K142" s="46" t="s">
        <v>654</v>
      </c>
      <c r="L142" s="47" t="s">
        <v>1240</v>
      </c>
      <c r="M142" s="81">
        <f>IFERROR(VLOOKUP($L142,[3]Consolidated!$C$9:$AC$452,27,0),0)</f>
        <v>3944000</v>
      </c>
      <c r="N142" s="81">
        <f>IFERROR(VLOOKUP($L142,[3]Consolidated!$C$9:$AC$452,5,0),0)</f>
        <v>20</v>
      </c>
      <c r="O142" s="5">
        <v>5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4">
        <f>(VLOOKUP($O$2,[4]Prices!$E$3:$K$17,2,FALSE)*O142)+(VLOOKUP($P$2,[4]Prices!$J$3:$K$17,2,FALSE)*P142)+(VLOOKUP($Q$2,[4]Prices!$J$3:$K$17,2,FALSE)*Q142)+(VLOOKUP($R$2,[4]Prices!$J$3:$K$17,2,FALSE)*R142)+(VLOOKUP($S$2,[4]Prices!$J$3:$K$17,2,FALSE)*S142)+(VLOOKUP($T$2,[4]Prices!$J$3:$K$17,2,FALSE)*T142)+(VLOOKUP($U$2,[4]Prices!$J$3:$K$17,2,FALSE)*U142)+(VLOOKUP($V$2,[4]Prices!$J$3:$K$17,2,FALSE)*V142)+(VLOOKUP($W$2,[4]Prices!$J$3:$K$17,2,FALSE)*W142)+(VLOOKUP($X$2,[4]Prices!$J$3:$K$17,2,FALSE)*X142)+(VLOOKUP($Y$2,[4]Prices!$J$3:$K$17,2,FALSE)*Y142)+(VLOOKUP($Z$2,[4]Prices!$J$3:$K$17,2,FALSE)*Z142)+(VLOOKUP($AA$2,[4]Prices!$J$3:$K$17,2,FALSE)*AA142)+(VLOOKUP($AB$2,[4]Prices!$J$3:$K$17,2,FALSE)*AB142)+M142</f>
        <v>5249000</v>
      </c>
      <c r="AD142" s="69">
        <v>2267700</v>
      </c>
      <c r="AE142" s="18"/>
      <c r="AF142" s="4">
        <f t="shared" si="8"/>
        <v>2267700</v>
      </c>
      <c r="AG142" s="4">
        <v>730000</v>
      </c>
      <c r="AH142" s="16">
        <f t="shared" si="9"/>
        <v>2997700</v>
      </c>
      <c r="AI142" s="21">
        <f t="shared" si="10"/>
        <v>0.76006592292089248</v>
      </c>
      <c r="AJ142" s="20">
        <f t="shared" si="11"/>
        <v>0.57109925700133357</v>
      </c>
      <c r="AK142" s="9"/>
    </row>
    <row r="143" spans="1:37" hidden="1">
      <c r="A143" s="77">
        <v>141</v>
      </c>
      <c r="B143" s="78"/>
      <c r="C143" s="79"/>
      <c r="D143" s="79"/>
      <c r="E143" s="79"/>
      <c r="F143" s="79"/>
      <c r="G143" s="79"/>
      <c r="H143" s="80"/>
      <c r="I143" s="45" t="s">
        <v>889</v>
      </c>
      <c r="J143" s="45" t="s">
        <v>1387</v>
      </c>
      <c r="K143" s="46" t="s">
        <v>654</v>
      </c>
      <c r="L143" s="47" t="s">
        <v>1241</v>
      </c>
      <c r="M143" s="81">
        <f>IFERROR(VLOOKUP($L143,[3]Consolidated!$C$9:$AC$452,27,0),0)</f>
        <v>16606000</v>
      </c>
      <c r="N143" s="81">
        <f>IFERROR(VLOOKUP($L143,[3]Consolidated!$C$9:$AC$452,5,0),0)</f>
        <v>80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4">
        <f>(VLOOKUP($O$2,[4]Prices!$E$3:$K$17,2,FALSE)*O143)+(VLOOKUP($P$2,[4]Prices!$J$3:$K$17,2,FALSE)*P143)+(VLOOKUP($Q$2,[4]Prices!$J$3:$K$17,2,FALSE)*Q143)+(VLOOKUP($R$2,[4]Prices!$J$3:$K$17,2,FALSE)*R143)+(VLOOKUP($S$2,[4]Prices!$J$3:$K$17,2,FALSE)*S143)+(VLOOKUP($T$2,[4]Prices!$J$3:$K$17,2,FALSE)*T143)+(VLOOKUP($U$2,[4]Prices!$J$3:$K$17,2,FALSE)*U143)+(VLOOKUP($V$2,[4]Prices!$J$3:$K$17,2,FALSE)*V143)+(VLOOKUP($W$2,[4]Prices!$J$3:$K$17,2,FALSE)*W143)+(VLOOKUP($X$2,[4]Prices!$J$3:$K$17,2,FALSE)*X143)+(VLOOKUP($Y$2,[4]Prices!$J$3:$K$17,2,FALSE)*Y143)+(VLOOKUP($Z$2,[4]Prices!$J$3:$K$17,2,FALSE)*Z143)+(VLOOKUP($AA$2,[4]Prices!$J$3:$K$17,2,FALSE)*AA143)+(VLOOKUP($AB$2,[4]Prices!$J$3:$K$17,2,FALSE)*AB143)+M143</f>
        <v>16606000</v>
      </c>
      <c r="AD143" s="69">
        <v>4111000</v>
      </c>
      <c r="AE143" s="18"/>
      <c r="AF143" s="4">
        <f t="shared" si="8"/>
        <v>4111000</v>
      </c>
      <c r="AG143" s="4"/>
      <c r="AH143" s="16">
        <f t="shared" si="9"/>
        <v>4111000</v>
      </c>
      <c r="AI143" s="21">
        <f t="shared" si="10"/>
        <v>0.24756112248584849</v>
      </c>
      <c r="AJ143" s="20">
        <f t="shared" si="11"/>
        <v>0.24756112248584849</v>
      </c>
      <c r="AK143" s="9"/>
    </row>
    <row r="144" spans="1:37">
      <c r="A144" s="77">
        <v>142</v>
      </c>
      <c r="B144" s="78"/>
      <c r="C144" s="79"/>
      <c r="D144" s="79"/>
      <c r="E144" s="79"/>
      <c r="F144" s="79"/>
      <c r="G144" s="79"/>
      <c r="H144" s="80"/>
      <c r="I144" s="45" t="s">
        <v>891</v>
      </c>
      <c r="J144" s="45" t="s">
        <v>1387</v>
      </c>
      <c r="K144" s="46" t="s">
        <v>654</v>
      </c>
      <c r="L144" s="47" t="s">
        <v>1243</v>
      </c>
      <c r="M144" s="81">
        <f>IFERROR(VLOOKUP($L144,[3]Consolidated!$C$9:$AC$452,27,0),0)</f>
        <v>10551500</v>
      </c>
      <c r="N144" s="81">
        <f>IFERROR(VLOOKUP($L144,[3]Consolidated!$C$9:$AC$452,5,0),0)</f>
        <v>55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4">
        <f>(VLOOKUP($O$2,[4]Prices!$E$3:$K$17,2,FALSE)*O144)+(VLOOKUP($P$2,[4]Prices!$J$3:$K$17,2,FALSE)*P144)+(VLOOKUP($Q$2,[4]Prices!$J$3:$K$17,2,FALSE)*Q144)+(VLOOKUP($R$2,[4]Prices!$J$3:$K$17,2,FALSE)*R144)+(VLOOKUP($S$2,[4]Prices!$J$3:$K$17,2,FALSE)*S144)+(VLOOKUP($T$2,[4]Prices!$J$3:$K$17,2,FALSE)*T144)+(VLOOKUP($U$2,[4]Prices!$J$3:$K$17,2,FALSE)*U144)+(VLOOKUP($V$2,[4]Prices!$J$3:$K$17,2,FALSE)*V144)+(VLOOKUP($W$2,[4]Prices!$J$3:$K$17,2,FALSE)*W144)+(VLOOKUP($X$2,[4]Prices!$J$3:$K$17,2,FALSE)*X144)+(VLOOKUP($Y$2,[4]Prices!$J$3:$K$17,2,FALSE)*Y144)+(VLOOKUP($Z$2,[4]Prices!$J$3:$K$17,2,FALSE)*Z144)+(VLOOKUP($AA$2,[4]Prices!$J$3:$K$17,2,FALSE)*AA144)+(VLOOKUP($AB$2,[4]Prices!$J$3:$K$17,2,FALSE)*AB144)+M144</f>
        <v>10551500</v>
      </c>
      <c r="AD144" s="69">
        <v>2607500</v>
      </c>
      <c r="AE144" s="18"/>
      <c r="AF144" s="4">
        <f t="shared" si="8"/>
        <v>2607500</v>
      </c>
      <c r="AG144" s="4">
        <v>4200000</v>
      </c>
      <c r="AH144" s="16">
        <f t="shared" si="9"/>
        <v>6807500</v>
      </c>
      <c r="AI144" s="21">
        <f t="shared" si="10"/>
        <v>0.64516893332701508</v>
      </c>
      <c r="AJ144" s="20">
        <f t="shared" si="11"/>
        <v>0.64516893332701508</v>
      </c>
      <c r="AK144" s="19"/>
    </row>
    <row r="145" spans="1:37" hidden="1">
      <c r="A145" s="77">
        <v>143</v>
      </c>
      <c r="B145" s="78"/>
      <c r="C145" s="79"/>
      <c r="D145" s="79"/>
      <c r="E145" s="79"/>
      <c r="F145" s="79"/>
      <c r="G145" s="79"/>
      <c r="H145" s="80"/>
      <c r="I145" s="45" t="s">
        <v>892</v>
      </c>
      <c r="J145" s="45" t="s">
        <v>1387</v>
      </c>
      <c r="K145" s="46" t="s">
        <v>654</v>
      </c>
      <c r="L145" s="47" t="s">
        <v>1244</v>
      </c>
      <c r="M145" s="81">
        <f>IFERROR(VLOOKUP($L145,[3]Consolidated!$C$9:$AC$452,27,0),0)</f>
        <v>0</v>
      </c>
      <c r="N145" s="81">
        <f>IFERROR(VLOOKUP($L145,[3]Consolidated!$C$9:$AC$452,5,0),0)</f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4">
        <f>(VLOOKUP($O$2,[4]Prices!$E$3:$K$17,2,FALSE)*O145)+(VLOOKUP($P$2,[4]Prices!$J$3:$K$17,2,FALSE)*P145)+(VLOOKUP($Q$2,[4]Prices!$J$3:$K$17,2,FALSE)*Q145)+(VLOOKUP($R$2,[4]Prices!$J$3:$K$17,2,FALSE)*R145)+(VLOOKUP($S$2,[4]Prices!$J$3:$K$17,2,FALSE)*S145)+(VLOOKUP($T$2,[4]Prices!$J$3:$K$17,2,FALSE)*T145)+(VLOOKUP($U$2,[4]Prices!$J$3:$K$17,2,FALSE)*U145)+(VLOOKUP($V$2,[4]Prices!$J$3:$K$17,2,FALSE)*V145)+(VLOOKUP($W$2,[4]Prices!$J$3:$K$17,2,FALSE)*W145)+(VLOOKUP($X$2,[4]Prices!$J$3:$K$17,2,FALSE)*X145)+(VLOOKUP($Y$2,[4]Prices!$J$3:$K$17,2,FALSE)*Y145)+(VLOOKUP($Z$2,[4]Prices!$J$3:$K$17,2,FALSE)*Z145)+(VLOOKUP($AA$2,[4]Prices!$J$3:$K$17,2,FALSE)*AA145)+(VLOOKUP($AB$2,[4]Prices!$J$3:$K$17,2,FALSE)*AB145)+M145</f>
        <v>0</v>
      </c>
      <c r="AD145" s="79">
        <v>0</v>
      </c>
      <c r="AE145" s="18"/>
      <c r="AF145" s="4">
        <f t="shared" si="8"/>
        <v>0</v>
      </c>
      <c r="AG145" s="4"/>
      <c r="AH145" s="16">
        <f t="shared" si="9"/>
        <v>0</v>
      </c>
      <c r="AI145" s="21" t="e">
        <f t="shared" si="10"/>
        <v>#DIV/0!</v>
      </c>
      <c r="AJ145" s="20" t="e">
        <f t="shared" si="11"/>
        <v>#DIV/0!</v>
      </c>
      <c r="AK145" s="9"/>
    </row>
    <row r="146" spans="1:37" hidden="1">
      <c r="A146" s="77">
        <v>144</v>
      </c>
      <c r="B146" s="78"/>
      <c r="C146" s="79"/>
      <c r="D146" s="79"/>
      <c r="E146" s="79"/>
      <c r="F146" s="79"/>
      <c r="G146" s="79"/>
      <c r="H146" s="80"/>
      <c r="I146" s="45" t="s">
        <v>893</v>
      </c>
      <c r="J146" s="45" t="s">
        <v>1387</v>
      </c>
      <c r="K146" s="46" t="s">
        <v>654</v>
      </c>
      <c r="L146" s="47" t="s">
        <v>1245</v>
      </c>
      <c r="M146" s="81">
        <f>IFERROR(VLOOKUP($L146,[3]Consolidated!$C$9:$AC$452,27,0),0)</f>
        <v>0</v>
      </c>
      <c r="N146" s="81">
        <f>IFERROR(VLOOKUP($L146,[3]Consolidated!$C$9:$AC$452,5,0),0)</f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4">
        <f>(VLOOKUP($O$2,[4]Prices!$E$3:$K$17,2,FALSE)*O146)+(VLOOKUP($P$2,[4]Prices!$J$3:$K$17,2,FALSE)*P146)+(VLOOKUP($Q$2,[4]Prices!$J$3:$K$17,2,FALSE)*Q146)+(VLOOKUP($R$2,[4]Prices!$J$3:$K$17,2,FALSE)*R146)+(VLOOKUP($S$2,[4]Prices!$J$3:$K$17,2,FALSE)*S146)+(VLOOKUP($T$2,[4]Prices!$J$3:$K$17,2,FALSE)*T146)+(VLOOKUP($U$2,[4]Prices!$J$3:$K$17,2,FALSE)*U146)+(VLOOKUP($V$2,[4]Prices!$J$3:$K$17,2,FALSE)*V146)+(VLOOKUP($W$2,[4]Prices!$J$3:$K$17,2,FALSE)*W146)+(VLOOKUP($X$2,[4]Prices!$J$3:$K$17,2,FALSE)*X146)+(VLOOKUP($Y$2,[4]Prices!$J$3:$K$17,2,FALSE)*Y146)+(VLOOKUP($Z$2,[4]Prices!$J$3:$K$17,2,FALSE)*Z146)+(VLOOKUP($AA$2,[4]Prices!$J$3:$K$17,2,FALSE)*AA146)+(VLOOKUP($AB$2,[4]Prices!$J$3:$K$17,2,FALSE)*AB146)+M146</f>
        <v>0</v>
      </c>
      <c r="AD146" s="79">
        <v>0</v>
      </c>
      <c r="AE146" s="18"/>
      <c r="AF146" s="4">
        <f t="shared" si="8"/>
        <v>0</v>
      </c>
      <c r="AG146" s="4"/>
      <c r="AH146" s="16">
        <f t="shared" si="9"/>
        <v>0</v>
      </c>
      <c r="AI146" s="21" t="e">
        <f t="shared" si="10"/>
        <v>#DIV/0!</v>
      </c>
      <c r="AJ146" s="20" t="e">
        <f t="shared" si="11"/>
        <v>#DIV/0!</v>
      </c>
      <c r="AK146" s="9"/>
    </row>
    <row r="147" spans="1:37">
      <c r="A147" s="77">
        <v>145</v>
      </c>
      <c r="B147" s="78"/>
      <c r="C147" s="79"/>
      <c r="D147" s="79"/>
      <c r="E147" s="79"/>
      <c r="F147" s="79"/>
      <c r="G147" s="79"/>
      <c r="H147" s="80"/>
      <c r="I147" s="45" t="s">
        <v>894</v>
      </c>
      <c r="J147" s="45" t="s">
        <v>1387</v>
      </c>
      <c r="K147" s="46" t="s">
        <v>654</v>
      </c>
      <c r="L147" s="47" t="s">
        <v>1246</v>
      </c>
      <c r="M147" s="81">
        <f>IFERROR(VLOOKUP($L147,[3]Consolidated!$C$9:$AC$452,27,0),0)</f>
        <v>3984000</v>
      </c>
      <c r="N147" s="81">
        <f>IFERROR(VLOOKUP($L147,[3]Consolidated!$C$9:$AC$452,5,0),0)</f>
        <v>20</v>
      </c>
      <c r="O147" s="5">
        <v>6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4">
        <f>(VLOOKUP($O$2,[4]Prices!$E$3:$K$17,2,FALSE)*O147)+(VLOOKUP($P$2,[4]Prices!$J$3:$K$17,2,FALSE)*P147)+(VLOOKUP($Q$2,[4]Prices!$J$3:$K$17,2,FALSE)*Q147)+(VLOOKUP($R$2,[4]Prices!$J$3:$K$17,2,FALSE)*R147)+(VLOOKUP($S$2,[4]Prices!$J$3:$K$17,2,FALSE)*S147)+(VLOOKUP($T$2,[4]Prices!$J$3:$K$17,2,FALSE)*T147)+(VLOOKUP($U$2,[4]Prices!$J$3:$K$17,2,FALSE)*U147)+(VLOOKUP($V$2,[4]Prices!$J$3:$K$17,2,FALSE)*V147)+(VLOOKUP($W$2,[4]Prices!$J$3:$K$17,2,FALSE)*W147)+(VLOOKUP($X$2,[4]Prices!$J$3:$K$17,2,FALSE)*X147)+(VLOOKUP($Y$2,[4]Prices!$J$3:$K$17,2,FALSE)*Y147)+(VLOOKUP($Z$2,[4]Prices!$J$3:$K$17,2,FALSE)*Z147)+(VLOOKUP($AA$2,[4]Prices!$J$3:$K$17,2,FALSE)*AA147)+(VLOOKUP($AB$2,[4]Prices!$J$3:$K$17,2,FALSE)*AB147)+M147</f>
        <v>5550000</v>
      </c>
      <c r="AD147" s="69">
        <v>2690500</v>
      </c>
      <c r="AE147" s="18"/>
      <c r="AF147" s="4">
        <f t="shared" si="8"/>
        <v>2690500</v>
      </c>
      <c r="AG147" s="4">
        <v>700000</v>
      </c>
      <c r="AH147" s="16">
        <f t="shared" si="9"/>
        <v>3390500</v>
      </c>
      <c r="AI147" s="21">
        <f t="shared" si="10"/>
        <v>0.85102911646586343</v>
      </c>
      <c r="AJ147" s="20">
        <f t="shared" si="11"/>
        <v>0.61090090090090088</v>
      </c>
      <c r="AK147" s="9"/>
    </row>
    <row r="148" spans="1:37" hidden="1">
      <c r="A148" s="77">
        <v>146</v>
      </c>
      <c r="B148" s="78"/>
      <c r="C148" s="79"/>
      <c r="D148" s="79"/>
      <c r="E148" s="79"/>
      <c r="F148" s="79"/>
      <c r="G148" s="79"/>
      <c r="H148" s="80"/>
      <c r="I148" s="45" t="s">
        <v>895</v>
      </c>
      <c r="J148" s="45" t="s">
        <v>1387</v>
      </c>
      <c r="K148" s="46" t="s">
        <v>654</v>
      </c>
      <c r="L148" s="47" t="s">
        <v>1247</v>
      </c>
      <c r="M148" s="81">
        <f>IFERROR(VLOOKUP($L148,[3]Consolidated!$C$9:$AC$452,27,0),0)</f>
        <v>0</v>
      </c>
      <c r="N148" s="81">
        <f>IFERROR(VLOOKUP($L148,[3]Consolidated!$C$9:$AC$452,5,0),0)</f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4">
        <f>(VLOOKUP($O$2,[4]Prices!$E$3:$K$17,2,FALSE)*O148)+(VLOOKUP($P$2,[4]Prices!$J$3:$K$17,2,FALSE)*P148)+(VLOOKUP($Q$2,[4]Prices!$J$3:$K$17,2,FALSE)*Q148)+(VLOOKUP($R$2,[4]Prices!$J$3:$K$17,2,FALSE)*R148)+(VLOOKUP($S$2,[4]Prices!$J$3:$K$17,2,FALSE)*S148)+(VLOOKUP($T$2,[4]Prices!$J$3:$K$17,2,FALSE)*T148)+(VLOOKUP($U$2,[4]Prices!$J$3:$K$17,2,FALSE)*U148)+(VLOOKUP($V$2,[4]Prices!$J$3:$K$17,2,FALSE)*V148)+(VLOOKUP($W$2,[4]Prices!$J$3:$K$17,2,FALSE)*W148)+(VLOOKUP($X$2,[4]Prices!$J$3:$K$17,2,FALSE)*X148)+(VLOOKUP($Y$2,[4]Prices!$J$3:$K$17,2,FALSE)*Y148)+(VLOOKUP($Z$2,[4]Prices!$J$3:$K$17,2,FALSE)*Z148)+(VLOOKUP($AA$2,[4]Prices!$J$3:$K$17,2,FALSE)*AA148)+(VLOOKUP($AB$2,[4]Prices!$J$3:$K$17,2,FALSE)*AB148)+M148</f>
        <v>0</v>
      </c>
      <c r="AD148" s="79">
        <v>0</v>
      </c>
      <c r="AE148" s="18"/>
      <c r="AF148" s="4">
        <f t="shared" si="8"/>
        <v>0</v>
      </c>
      <c r="AG148" s="4"/>
      <c r="AH148" s="16">
        <f t="shared" si="9"/>
        <v>0</v>
      </c>
      <c r="AI148" s="21" t="e">
        <f t="shared" si="10"/>
        <v>#DIV/0!</v>
      </c>
      <c r="AJ148" s="20" t="e">
        <f t="shared" si="11"/>
        <v>#DIV/0!</v>
      </c>
      <c r="AK148" s="9"/>
    </row>
    <row r="149" spans="1:37" hidden="1">
      <c r="A149" s="77">
        <v>147</v>
      </c>
      <c r="B149" s="78"/>
      <c r="C149" s="79"/>
      <c r="D149" s="79"/>
      <c r="E149" s="79"/>
      <c r="F149" s="79"/>
      <c r="G149" s="79"/>
      <c r="H149" s="80"/>
      <c r="I149" s="45" t="s">
        <v>896</v>
      </c>
      <c r="J149" s="45" t="s">
        <v>1387</v>
      </c>
      <c r="K149" s="46" t="s">
        <v>655</v>
      </c>
      <c r="L149" s="47" t="s">
        <v>1248</v>
      </c>
      <c r="M149" s="81">
        <f>IFERROR(VLOOKUP($L149,[3]Consolidated!$C$9:$AC$452,27,0),0)</f>
        <v>3371900</v>
      </c>
      <c r="N149" s="81">
        <f>IFERROR(VLOOKUP($L149,[3]Consolidated!$C$9:$AC$452,5,0),0)</f>
        <v>17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4">
        <f>(VLOOKUP($O$2,[4]Prices!$E$3:$K$17,2,FALSE)*O149)+(VLOOKUP($P$2,[4]Prices!$J$3:$K$17,2,FALSE)*P149)+(VLOOKUP($Q$2,[4]Prices!$J$3:$K$17,2,FALSE)*Q149)+(VLOOKUP($R$2,[4]Prices!$J$3:$K$17,2,FALSE)*R149)+(VLOOKUP($S$2,[4]Prices!$J$3:$K$17,2,FALSE)*S149)+(VLOOKUP($T$2,[4]Prices!$J$3:$K$17,2,FALSE)*T149)+(VLOOKUP($U$2,[4]Prices!$J$3:$K$17,2,FALSE)*U149)+(VLOOKUP($V$2,[4]Prices!$J$3:$K$17,2,FALSE)*V149)+(VLOOKUP($W$2,[4]Prices!$J$3:$K$17,2,FALSE)*W149)+(VLOOKUP($X$2,[4]Prices!$J$3:$K$17,2,FALSE)*X149)+(VLOOKUP($Y$2,[4]Prices!$J$3:$K$17,2,FALSE)*Y149)+(VLOOKUP($Z$2,[4]Prices!$J$3:$K$17,2,FALSE)*Z149)+(VLOOKUP($AA$2,[4]Prices!$J$3:$K$17,2,FALSE)*AA149)+(VLOOKUP($AB$2,[4]Prices!$J$3:$K$17,2,FALSE)*AB149)+M149</f>
        <v>3371900</v>
      </c>
      <c r="AD149" s="69">
        <v>1046000</v>
      </c>
      <c r="AE149" s="18"/>
      <c r="AF149" s="4">
        <f t="shared" si="8"/>
        <v>1046000</v>
      </c>
      <c r="AG149" s="4"/>
      <c r="AH149" s="16">
        <f t="shared" si="9"/>
        <v>1046000</v>
      </c>
      <c r="AI149" s="21">
        <f t="shared" si="10"/>
        <v>0.31021086034579909</v>
      </c>
      <c r="AJ149" s="20">
        <f t="shared" si="11"/>
        <v>0.31021086034579909</v>
      </c>
      <c r="AK149" s="9"/>
    </row>
    <row r="150" spans="1:37" hidden="1">
      <c r="A150" s="77">
        <v>148</v>
      </c>
      <c r="B150" s="78"/>
      <c r="C150" s="79"/>
      <c r="D150" s="79"/>
      <c r="E150" s="79"/>
      <c r="F150" s="79"/>
      <c r="G150" s="79"/>
      <c r="H150" s="80"/>
      <c r="I150" s="45" t="s">
        <v>897</v>
      </c>
      <c r="J150" s="45" t="s">
        <v>1387</v>
      </c>
      <c r="K150" s="46" t="s">
        <v>655</v>
      </c>
      <c r="L150" s="47" t="s">
        <v>1249</v>
      </c>
      <c r="M150" s="81">
        <f>IFERROR(VLOOKUP($L150,[3]Consolidated!$C$9:$AC$452,27,0),0)</f>
        <v>8879517.5</v>
      </c>
      <c r="N150" s="81">
        <f>IFERROR(VLOOKUP($L150,[3]Consolidated!$C$9:$AC$452,5,0),0)</f>
        <v>40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4">
        <f>(VLOOKUP($O$2,[4]Prices!$E$3:$K$17,2,FALSE)*O150)+(VLOOKUP($P$2,[4]Prices!$J$3:$K$17,2,FALSE)*P150)+(VLOOKUP($Q$2,[4]Prices!$J$3:$K$17,2,FALSE)*Q150)+(VLOOKUP($R$2,[4]Prices!$J$3:$K$17,2,FALSE)*R150)+(VLOOKUP($S$2,[4]Prices!$J$3:$K$17,2,FALSE)*S150)+(VLOOKUP($T$2,[4]Prices!$J$3:$K$17,2,FALSE)*T150)+(VLOOKUP($U$2,[4]Prices!$J$3:$K$17,2,FALSE)*U150)+(VLOOKUP($V$2,[4]Prices!$J$3:$K$17,2,FALSE)*V150)+(VLOOKUP($W$2,[4]Prices!$J$3:$K$17,2,FALSE)*W150)+(VLOOKUP($X$2,[4]Prices!$J$3:$K$17,2,FALSE)*X150)+(VLOOKUP($Y$2,[4]Prices!$J$3:$K$17,2,FALSE)*Y150)+(VLOOKUP($Z$2,[4]Prices!$J$3:$K$17,2,FALSE)*Z150)+(VLOOKUP($AA$2,[4]Prices!$J$3:$K$17,2,FALSE)*AA150)+(VLOOKUP($AB$2,[4]Prices!$J$3:$K$17,2,FALSE)*AB150)+M150</f>
        <v>8879517.5</v>
      </c>
      <c r="AD150" s="79">
        <v>0</v>
      </c>
      <c r="AE150" s="18"/>
      <c r="AF150" s="4">
        <f t="shared" si="8"/>
        <v>0</v>
      </c>
      <c r="AG150" s="4"/>
      <c r="AH150" s="16">
        <f t="shared" si="9"/>
        <v>0</v>
      </c>
      <c r="AI150" s="21">
        <f t="shared" si="10"/>
        <v>0</v>
      </c>
      <c r="AJ150" s="20">
        <f t="shared" si="11"/>
        <v>0</v>
      </c>
      <c r="AK150" s="9"/>
    </row>
    <row r="151" spans="1:37" hidden="1">
      <c r="A151" s="77">
        <v>149</v>
      </c>
      <c r="B151" s="78"/>
      <c r="C151" s="79"/>
      <c r="D151" s="79"/>
      <c r="E151" s="79"/>
      <c r="F151" s="79"/>
      <c r="G151" s="79"/>
      <c r="H151" s="80"/>
      <c r="I151" s="45" t="s">
        <v>899</v>
      </c>
      <c r="J151" s="45" t="s">
        <v>1387</v>
      </c>
      <c r="K151" s="46" t="s">
        <v>655</v>
      </c>
      <c r="L151" s="47" t="s">
        <v>1250</v>
      </c>
      <c r="M151" s="81">
        <f>IFERROR(VLOOKUP($L151,[3]Consolidated!$C$9:$AC$452,27,0),0)</f>
        <v>5480750</v>
      </c>
      <c r="N151" s="81">
        <f>IFERROR(VLOOKUP($L151,[3]Consolidated!$C$9:$AC$452,5,0),0)</f>
        <v>30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4">
        <f>(VLOOKUP($O$2,[4]Prices!$E$3:$K$17,2,FALSE)*O151)+(VLOOKUP($P$2,[4]Prices!$J$3:$K$17,2,FALSE)*P151)+(VLOOKUP($Q$2,[4]Prices!$J$3:$K$17,2,FALSE)*Q151)+(VLOOKUP($R$2,[4]Prices!$J$3:$K$17,2,FALSE)*R151)+(VLOOKUP($S$2,[4]Prices!$J$3:$K$17,2,FALSE)*S151)+(VLOOKUP($T$2,[4]Prices!$J$3:$K$17,2,FALSE)*T151)+(VLOOKUP($U$2,[4]Prices!$J$3:$K$17,2,FALSE)*U151)+(VLOOKUP($V$2,[4]Prices!$J$3:$K$17,2,FALSE)*V151)+(VLOOKUP($W$2,[4]Prices!$J$3:$K$17,2,FALSE)*W151)+(VLOOKUP($X$2,[4]Prices!$J$3:$K$17,2,FALSE)*X151)+(VLOOKUP($Y$2,[4]Prices!$J$3:$K$17,2,FALSE)*Y151)+(VLOOKUP($Z$2,[4]Prices!$J$3:$K$17,2,FALSE)*Z151)+(VLOOKUP($AA$2,[4]Prices!$J$3:$K$17,2,FALSE)*AA151)+(VLOOKUP($AB$2,[4]Prices!$J$3:$K$17,2,FALSE)*AB151)+M151</f>
        <v>5480750</v>
      </c>
      <c r="AD151" s="79">
        <v>0</v>
      </c>
      <c r="AE151" s="18"/>
      <c r="AF151" s="4">
        <f t="shared" si="8"/>
        <v>0</v>
      </c>
      <c r="AG151" s="4"/>
      <c r="AH151" s="16">
        <f t="shared" si="9"/>
        <v>0</v>
      </c>
      <c r="AI151" s="21">
        <f t="shared" si="10"/>
        <v>0</v>
      </c>
      <c r="AJ151" s="20">
        <f t="shared" si="11"/>
        <v>0</v>
      </c>
      <c r="AK151" s="9"/>
    </row>
    <row r="152" spans="1:37" hidden="1">
      <c r="A152" s="77">
        <v>150</v>
      </c>
      <c r="B152" s="78"/>
      <c r="C152" s="79"/>
      <c r="D152" s="79"/>
      <c r="E152" s="79"/>
      <c r="F152" s="79"/>
      <c r="G152" s="79"/>
      <c r="H152" s="80"/>
      <c r="I152" s="45" t="s">
        <v>900</v>
      </c>
      <c r="J152" s="45" t="s">
        <v>1387</v>
      </c>
      <c r="K152" s="46" t="s">
        <v>655</v>
      </c>
      <c r="L152" s="47" t="s">
        <v>1251</v>
      </c>
      <c r="M152" s="81">
        <f>IFERROR(VLOOKUP($L152,[3]Consolidated!$C$9:$AC$452,27,0),0)</f>
        <v>2502000</v>
      </c>
      <c r="N152" s="81">
        <f>IFERROR(VLOOKUP($L152,[3]Consolidated!$C$9:$AC$452,5,0),0)</f>
        <v>15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4">
        <f>(VLOOKUP($O$2,[4]Prices!$E$3:$K$17,2,FALSE)*O152)+(VLOOKUP($P$2,[4]Prices!$J$3:$K$17,2,FALSE)*P152)+(VLOOKUP($Q$2,[4]Prices!$J$3:$K$17,2,FALSE)*Q152)+(VLOOKUP($R$2,[4]Prices!$J$3:$K$17,2,FALSE)*R152)+(VLOOKUP($S$2,[4]Prices!$J$3:$K$17,2,FALSE)*S152)+(VLOOKUP($T$2,[4]Prices!$J$3:$K$17,2,FALSE)*T152)+(VLOOKUP($U$2,[4]Prices!$J$3:$K$17,2,FALSE)*U152)+(VLOOKUP($V$2,[4]Prices!$J$3:$K$17,2,FALSE)*V152)+(VLOOKUP($W$2,[4]Prices!$J$3:$K$17,2,FALSE)*W152)+(VLOOKUP($X$2,[4]Prices!$J$3:$K$17,2,FALSE)*X152)+(VLOOKUP($Y$2,[4]Prices!$J$3:$K$17,2,FALSE)*Y152)+(VLOOKUP($Z$2,[4]Prices!$J$3:$K$17,2,FALSE)*Z152)+(VLOOKUP($AA$2,[4]Prices!$J$3:$K$17,2,FALSE)*AA152)+(VLOOKUP($AB$2,[4]Prices!$J$3:$K$17,2,FALSE)*AB152)+M152</f>
        <v>2502000</v>
      </c>
      <c r="AD152" s="79">
        <v>0</v>
      </c>
      <c r="AE152" s="18"/>
      <c r="AF152" s="4">
        <f t="shared" si="8"/>
        <v>0</v>
      </c>
      <c r="AG152" s="4"/>
      <c r="AH152" s="16">
        <f t="shared" si="9"/>
        <v>0</v>
      </c>
      <c r="AI152" s="21">
        <f t="shared" si="10"/>
        <v>0</v>
      </c>
      <c r="AJ152" s="20">
        <f t="shared" si="11"/>
        <v>0</v>
      </c>
      <c r="AK152" s="9"/>
    </row>
    <row r="153" spans="1:37" hidden="1">
      <c r="A153" s="77">
        <v>151</v>
      </c>
      <c r="B153" s="78"/>
      <c r="C153" s="79"/>
      <c r="D153" s="79"/>
      <c r="E153" s="79"/>
      <c r="F153" s="79"/>
      <c r="G153" s="79"/>
      <c r="H153" s="80"/>
      <c r="I153" s="45" t="s">
        <v>901</v>
      </c>
      <c r="J153" s="45" t="s">
        <v>1387</v>
      </c>
      <c r="K153" s="46" t="s">
        <v>655</v>
      </c>
      <c r="L153" s="46" t="s">
        <v>1252</v>
      </c>
      <c r="M153" s="81">
        <f>IFERROR(VLOOKUP($L153,[3]Consolidated!$C$9:$AC$452,27,0),0)</f>
        <v>0</v>
      </c>
      <c r="N153" s="81">
        <f>IFERROR(VLOOKUP($L153,[3]Consolidated!$C$9:$AC$452,5,0),0)</f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4">
        <f>(VLOOKUP($O$2,[4]Prices!$E$3:$K$17,2,FALSE)*O153)+(VLOOKUP($P$2,[4]Prices!$J$3:$K$17,2,FALSE)*P153)+(VLOOKUP($Q$2,[4]Prices!$J$3:$K$17,2,FALSE)*Q153)+(VLOOKUP($R$2,[4]Prices!$J$3:$K$17,2,FALSE)*R153)+(VLOOKUP($S$2,[4]Prices!$J$3:$K$17,2,FALSE)*S153)+(VLOOKUP($T$2,[4]Prices!$J$3:$K$17,2,FALSE)*T153)+(VLOOKUP($U$2,[4]Prices!$J$3:$K$17,2,FALSE)*U153)+(VLOOKUP($V$2,[4]Prices!$J$3:$K$17,2,FALSE)*V153)+(VLOOKUP($W$2,[4]Prices!$J$3:$K$17,2,FALSE)*W153)+(VLOOKUP($X$2,[4]Prices!$J$3:$K$17,2,FALSE)*X153)+(VLOOKUP($Y$2,[4]Prices!$J$3:$K$17,2,FALSE)*Y153)+(VLOOKUP($Z$2,[4]Prices!$J$3:$K$17,2,FALSE)*Z153)+(VLOOKUP($AA$2,[4]Prices!$J$3:$K$17,2,FALSE)*AA153)+(VLOOKUP($AB$2,[4]Prices!$J$3:$K$17,2,FALSE)*AB153)+M153</f>
        <v>0</v>
      </c>
      <c r="AD153" s="79">
        <v>0</v>
      </c>
      <c r="AE153" s="18"/>
      <c r="AF153" s="4">
        <f t="shared" si="8"/>
        <v>0</v>
      </c>
      <c r="AG153" s="4"/>
      <c r="AH153" s="16">
        <f t="shared" si="9"/>
        <v>0</v>
      </c>
      <c r="AI153" s="21" t="e">
        <f t="shared" si="10"/>
        <v>#DIV/0!</v>
      </c>
      <c r="AJ153" s="20" t="e">
        <f t="shared" si="11"/>
        <v>#DIV/0!</v>
      </c>
      <c r="AK153" s="9"/>
    </row>
    <row r="154" spans="1:37" hidden="1">
      <c r="A154" s="77">
        <v>152</v>
      </c>
      <c r="B154" s="78"/>
      <c r="C154" s="79"/>
      <c r="D154" s="79"/>
      <c r="E154" s="79"/>
      <c r="F154" s="79"/>
      <c r="G154" s="79"/>
      <c r="H154" s="80"/>
      <c r="I154" s="45" t="s">
        <v>902</v>
      </c>
      <c r="J154" s="45" t="s">
        <v>1387</v>
      </c>
      <c r="K154" s="46" t="s">
        <v>655</v>
      </c>
      <c r="L154" s="46" t="s">
        <v>1253</v>
      </c>
      <c r="M154" s="81">
        <f>IFERROR(VLOOKUP($L154,[3]Consolidated!$C$9:$AC$452,27,0),0)</f>
        <v>2433600</v>
      </c>
      <c r="N154" s="81">
        <f>IFERROR(VLOOKUP($L154,[3]Consolidated!$C$9:$AC$452,5,0),0)</f>
        <v>10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4">
        <f>(VLOOKUP($O$2,[4]Prices!$E$3:$K$17,2,FALSE)*O154)+(VLOOKUP($P$2,[4]Prices!$J$3:$K$17,2,FALSE)*P154)+(VLOOKUP($Q$2,[4]Prices!$J$3:$K$17,2,FALSE)*Q154)+(VLOOKUP($R$2,[4]Prices!$J$3:$K$17,2,FALSE)*R154)+(VLOOKUP($S$2,[4]Prices!$J$3:$K$17,2,FALSE)*S154)+(VLOOKUP($T$2,[4]Prices!$J$3:$K$17,2,FALSE)*T154)+(VLOOKUP($U$2,[4]Prices!$J$3:$K$17,2,FALSE)*U154)+(VLOOKUP($V$2,[4]Prices!$J$3:$K$17,2,FALSE)*V154)+(VLOOKUP($W$2,[4]Prices!$J$3:$K$17,2,FALSE)*W154)+(VLOOKUP($X$2,[4]Prices!$J$3:$K$17,2,FALSE)*X154)+(VLOOKUP($Y$2,[4]Prices!$J$3:$K$17,2,FALSE)*Y154)+(VLOOKUP($Z$2,[4]Prices!$J$3:$K$17,2,FALSE)*Z154)+(VLOOKUP($AA$2,[4]Prices!$J$3:$K$17,2,FALSE)*AA154)+(VLOOKUP($AB$2,[4]Prices!$J$3:$K$17,2,FALSE)*AB154)+M154</f>
        <v>2433600</v>
      </c>
      <c r="AD154" s="69">
        <v>847260</v>
      </c>
      <c r="AE154" s="18"/>
      <c r="AF154" s="4">
        <f t="shared" si="8"/>
        <v>847260</v>
      </c>
      <c r="AG154" s="4"/>
      <c r="AH154" s="16">
        <f t="shared" si="9"/>
        <v>847260</v>
      </c>
      <c r="AI154" s="21">
        <f t="shared" si="10"/>
        <v>0.34815088757396451</v>
      </c>
      <c r="AJ154" s="20">
        <f t="shared" si="11"/>
        <v>0.34815088757396451</v>
      </c>
      <c r="AK154" s="9"/>
    </row>
    <row r="155" spans="1:37">
      <c r="A155" s="77">
        <v>153</v>
      </c>
      <c r="B155" s="78"/>
      <c r="C155" s="79"/>
      <c r="D155" s="79"/>
      <c r="E155" s="79"/>
      <c r="F155" s="79"/>
      <c r="G155" s="79"/>
      <c r="H155" s="80"/>
      <c r="I155" s="45" t="s">
        <v>903</v>
      </c>
      <c r="J155" s="45" t="s">
        <v>1387</v>
      </c>
      <c r="K155" s="46" t="s">
        <v>655</v>
      </c>
      <c r="L155" s="46" t="s">
        <v>1254</v>
      </c>
      <c r="M155" s="81">
        <f>IFERROR(VLOOKUP($L155,[3]Consolidated!$C$9:$AC$452,27,0),0)</f>
        <v>6819575</v>
      </c>
      <c r="N155" s="81">
        <f>IFERROR(VLOOKUP($L155,[3]Consolidated!$C$9:$AC$452,5,0),0)</f>
        <v>40</v>
      </c>
      <c r="O155" s="5">
        <v>5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4">
        <f>(VLOOKUP($O$2,[4]Prices!$E$3:$K$17,2,FALSE)*O155)+(VLOOKUP($P$2,[4]Prices!$J$3:$K$17,2,FALSE)*P155)+(VLOOKUP($Q$2,[4]Prices!$J$3:$K$17,2,FALSE)*Q155)+(VLOOKUP($R$2,[4]Prices!$J$3:$K$17,2,FALSE)*R155)+(VLOOKUP($S$2,[4]Prices!$J$3:$K$17,2,FALSE)*S155)+(VLOOKUP($T$2,[4]Prices!$J$3:$K$17,2,FALSE)*T155)+(VLOOKUP($U$2,[4]Prices!$J$3:$K$17,2,FALSE)*U155)+(VLOOKUP($V$2,[4]Prices!$J$3:$K$17,2,FALSE)*V155)+(VLOOKUP($W$2,[4]Prices!$J$3:$K$17,2,FALSE)*W155)+(VLOOKUP($X$2,[4]Prices!$J$3:$K$17,2,FALSE)*X155)+(VLOOKUP($Y$2,[4]Prices!$J$3:$K$17,2,FALSE)*Y155)+(VLOOKUP($Z$2,[4]Prices!$J$3:$K$17,2,FALSE)*Z155)+(VLOOKUP($AA$2,[4]Prices!$J$3:$K$17,2,FALSE)*AA155)+(VLOOKUP($AB$2,[4]Prices!$J$3:$K$17,2,FALSE)*AB155)+M155</f>
        <v>8124575</v>
      </c>
      <c r="AD155" s="69">
        <v>4353500</v>
      </c>
      <c r="AE155" s="18"/>
      <c r="AF155" s="4">
        <f t="shared" si="8"/>
        <v>4353500</v>
      </c>
      <c r="AG155" s="4">
        <v>756000</v>
      </c>
      <c r="AH155" s="16">
        <f t="shared" si="9"/>
        <v>5109500</v>
      </c>
      <c r="AI155" s="21">
        <f t="shared" si="10"/>
        <v>0.74924023857791722</v>
      </c>
      <c r="AJ155" s="20">
        <f t="shared" si="11"/>
        <v>0.62889443447811111</v>
      </c>
      <c r="AK155" s="9"/>
    </row>
    <row r="156" spans="1:37" hidden="1">
      <c r="A156" s="77">
        <v>154</v>
      </c>
      <c r="B156" s="78"/>
      <c r="C156" s="79"/>
      <c r="D156" s="79"/>
      <c r="E156" s="79"/>
      <c r="F156" s="79"/>
      <c r="G156" s="79"/>
      <c r="H156" s="80"/>
      <c r="I156" s="45" t="s">
        <v>904</v>
      </c>
      <c r="J156" s="45" t="s">
        <v>1387</v>
      </c>
      <c r="K156" s="46" t="s">
        <v>655</v>
      </c>
      <c r="L156" s="46" t="s">
        <v>1255</v>
      </c>
      <c r="M156" s="81">
        <f>IFERROR(VLOOKUP($L156,[3]Consolidated!$C$9:$AC$452,27,0),0)</f>
        <v>0</v>
      </c>
      <c r="N156" s="81">
        <f>IFERROR(VLOOKUP($L156,[3]Consolidated!$C$9:$AC$452,5,0),0)</f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4">
        <f>(VLOOKUP($O$2,[4]Prices!$E$3:$K$17,2,FALSE)*O156)+(VLOOKUP($P$2,[4]Prices!$J$3:$K$17,2,FALSE)*P156)+(VLOOKUP($Q$2,[4]Prices!$J$3:$K$17,2,FALSE)*Q156)+(VLOOKUP($R$2,[4]Prices!$J$3:$K$17,2,FALSE)*R156)+(VLOOKUP($S$2,[4]Prices!$J$3:$K$17,2,FALSE)*S156)+(VLOOKUP($T$2,[4]Prices!$J$3:$K$17,2,FALSE)*T156)+(VLOOKUP($U$2,[4]Prices!$J$3:$K$17,2,FALSE)*U156)+(VLOOKUP($V$2,[4]Prices!$J$3:$K$17,2,FALSE)*V156)+(VLOOKUP($W$2,[4]Prices!$J$3:$K$17,2,FALSE)*W156)+(VLOOKUP($X$2,[4]Prices!$J$3:$K$17,2,FALSE)*X156)+(VLOOKUP($Y$2,[4]Prices!$J$3:$K$17,2,FALSE)*Y156)+(VLOOKUP($Z$2,[4]Prices!$J$3:$K$17,2,FALSE)*Z156)+(VLOOKUP($AA$2,[4]Prices!$J$3:$K$17,2,FALSE)*AA156)+(VLOOKUP($AB$2,[4]Prices!$J$3:$K$17,2,FALSE)*AB156)+M156</f>
        <v>0</v>
      </c>
      <c r="AD156" s="79">
        <v>0</v>
      </c>
      <c r="AE156" s="18"/>
      <c r="AF156" s="4">
        <f t="shared" si="8"/>
        <v>0</v>
      </c>
      <c r="AG156" s="4"/>
      <c r="AH156" s="16">
        <f t="shared" si="9"/>
        <v>0</v>
      </c>
      <c r="AI156" s="21" t="e">
        <f t="shared" si="10"/>
        <v>#DIV/0!</v>
      </c>
      <c r="AJ156" s="20" t="e">
        <f t="shared" si="11"/>
        <v>#DIV/0!</v>
      </c>
      <c r="AK156" s="19"/>
    </row>
    <row r="157" spans="1:37" hidden="1">
      <c r="A157" s="77">
        <v>155</v>
      </c>
      <c r="B157" s="78"/>
      <c r="C157" s="79"/>
      <c r="D157" s="79"/>
      <c r="E157" s="79"/>
      <c r="F157" s="79"/>
      <c r="G157" s="79"/>
      <c r="H157" s="80"/>
      <c r="I157" s="45" t="s">
        <v>905</v>
      </c>
      <c r="J157" s="45" t="s">
        <v>1387</v>
      </c>
      <c r="K157" s="46" t="s">
        <v>655</v>
      </c>
      <c r="L157" s="47" t="s">
        <v>1256</v>
      </c>
      <c r="M157" s="81">
        <f>IFERROR(VLOOKUP($L157,[3]Consolidated!$C$9:$AC$452,27,0),0)</f>
        <v>1862500</v>
      </c>
      <c r="N157" s="81">
        <f>IFERROR(VLOOKUP($L157,[3]Consolidated!$C$9:$AC$452,5,0),0)</f>
        <v>11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4">
        <f>(VLOOKUP($O$2,[4]Prices!$E$3:$K$17,2,FALSE)*O157)+(VLOOKUP($P$2,[4]Prices!$J$3:$K$17,2,FALSE)*P157)+(VLOOKUP($Q$2,[4]Prices!$J$3:$K$17,2,FALSE)*Q157)+(VLOOKUP($R$2,[4]Prices!$J$3:$K$17,2,FALSE)*R157)+(VLOOKUP($S$2,[4]Prices!$J$3:$K$17,2,FALSE)*S157)+(VLOOKUP($T$2,[4]Prices!$J$3:$K$17,2,FALSE)*T157)+(VLOOKUP($U$2,[4]Prices!$J$3:$K$17,2,FALSE)*U157)+(VLOOKUP($V$2,[4]Prices!$J$3:$K$17,2,FALSE)*V157)+(VLOOKUP($W$2,[4]Prices!$J$3:$K$17,2,FALSE)*W157)+(VLOOKUP($X$2,[4]Prices!$J$3:$K$17,2,FALSE)*X157)+(VLOOKUP($Y$2,[4]Prices!$J$3:$K$17,2,FALSE)*Y157)+(VLOOKUP($Z$2,[4]Prices!$J$3:$K$17,2,FALSE)*Z157)+(VLOOKUP($AA$2,[4]Prices!$J$3:$K$17,2,FALSE)*AA157)+(VLOOKUP($AB$2,[4]Prices!$J$3:$K$17,2,FALSE)*AB157)+M157</f>
        <v>1862500</v>
      </c>
      <c r="AD157" s="79">
        <v>0</v>
      </c>
      <c r="AE157" s="18"/>
      <c r="AF157" s="4">
        <f t="shared" si="8"/>
        <v>0</v>
      </c>
      <c r="AG157" s="4"/>
      <c r="AH157" s="16">
        <f t="shared" si="9"/>
        <v>0</v>
      </c>
      <c r="AI157" s="21">
        <f t="shared" si="10"/>
        <v>0</v>
      </c>
      <c r="AJ157" s="20">
        <f t="shared" si="11"/>
        <v>0</v>
      </c>
      <c r="AK157" s="9"/>
    </row>
    <row r="158" spans="1:37" hidden="1">
      <c r="A158" s="77">
        <v>156</v>
      </c>
      <c r="B158" s="78"/>
      <c r="C158" s="79"/>
      <c r="D158" s="79"/>
      <c r="E158" s="79"/>
      <c r="F158" s="79"/>
      <c r="G158" s="79"/>
      <c r="H158" s="80"/>
      <c r="I158" s="45" t="s">
        <v>906</v>
      </c>
      <c r="J158" s="45" t="s">
        <v>1387</v>
      </c>
      <c r="K158" s="46" t="s">
        <v>655</v>
      </c>
      <c r="L158" s="47" t="s">
        <v>1257</v>
      </c>
      <c r="M158" s="81">
        <f>IFERROR(VLOOKUP($L158,[3]Consolidated!$C$9:$AC$452,27,0),0)</f>
        <v>8610000</v>
      </c>
      <c r="N158" s="81">
        <f>IFERROR(VLOOKUP($L158,[3]Consolidated!$C$9:$AC$452,5,0),0)</f>
        <v>45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4">
        <f>(VLOOKUP($O$2,[4]Prices!$E$3:$K$17,2,FALSE)*O158)+(VLOOKUP($P$2,[4]Prices!$J$3:$K$17,2,FALSE)*P158)+(VLOOKUP($Q$2,[4]Prices!$J$3:$K$17,2,FALSE)*Q158)+(VLOOKUP($R$2,[4]Prices!$J$3:$K$17,2,FALSE)*R158)+(VLOOKUP($S$2,[4]Prices!$J$3:$K$17,2,FALSE)*S158)+(VLOOKUP($T$2,[4]Prices!$J$3:$K$17,2,FALSE)*T158)+(VLOOKUP($U$2,[4]Prices!$J$3:$K$17,2,FALSE)*U158)+(VLOOKUP($V$2,[4]Prices!$J$3:$K$17,2,FALSE)*V158)+(VLOOKUP($W$2,[4]Prices!$J$3:$K$17,2,FALSE)*W158)+(VLOOKUP($X$2,[4]Prices!$J$3:$K$17,2,FALSE)*X158)+(VLOOKUP($Y$2,[4]Prices!$J$3:$K$17,2,FALSE)*Y158)+(VLOOKUP($Z$2,[4]Prices!$J$3:$K$17,2,FALSE)*Z158)+(VLOOKUP($AA$2,[4]Prices!$J$3:$K$17,2,FALSE)*AA158)+(VLOOKUP($AB$2,[4]Prices!$J$3:$K$17,2,FALSE)*AB158)+M158</f>
        <v>8610000</v>
      </c>
      <c r="AD158" s="79">
        <v>0</v>
      </c>
      <c r="AE158" s="18"/>
      <c r="AF158" s="4">
        <f t="shared" si="8"/>
        <v>0</v>
      </c>
      <c r="AG158" s="4"/>
      <c r="AH158" s="16">
        <f t="shared" si="9"/>
        <v>0</v>
      </c>
      <c r="AI158" s="21">
        <f t="shared" si="10"/>
        <v>0</v>
      </c>
      <c r="AJ158" s="20">
        <f t="shared" si="11"/>
        <v>0</v>
      </c>
      <c r="AK158" s="9"/>
    </row>
    <row r="159" spans="1:37" hidden="1">
      <c r="A159" s="77">
        <v>157</v>
      </c>
      <c r="B159" s="78"/>
      <c r="C159" s="79"/>
      <c r="D159" s="79"/>
      <c r="E159" s="79"/>
      <c r="F159" s="79"/>
      <c r="G159" s="79"/>
      <c r="H159" s="80"/>
      <c r="I159" s="45" t="s">
        <v>907</v>
      </c>
      <c r="J159" s="45" t="s">
        <v>1387</v>
      </c>
      <c r="K159" s="46" t="s">
        <v>655</v>
      </c>
      <c r="L159" s="47" t="s">
        <v>1258</v>
      </c>
      <c r="M159" s="81">
        <f>IFERROR(VLOOKUP($L159,[3]Consolidated!$C$9:$AC$452,27,0),0)</f>
        <v>7483437.5</v>
      </c>
      <c r="N159" s="81">
        <f>IFERROR(VLOOKUP($L159,[3]Consolidated!$C$9:$AC$452,5,0),0)</f>
        <v>35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4">
        <f>(VLOOKUP($O$2,[4]Prices!$E$3:$K$17,2,FALSE)*O159)+(VLOOKUP($P$2,[4]Prices!$J$3:$K$17,2,FALSE)*P159)+(VLOOKUP($Q$2,[4]Prices!$J$3:$K$17,2,FALSE)*Q159)+(VLOOKUP($R$2,[4]Prices!$J$3:$K$17,2,FALSE)*R159)+(VLOOKUP($S$2,[4]Prices!$J$3:$K$17,2,FALSE)*S159)+(VLOOKUP($T$2,[4]Prices!$J$3:$K$17,2,FALSE)*T159)+(VLOOKUP($U$2,[4]Prices!$J$3:$K$17,2,FALSE)*U159)+(VLOOKUP($V$2,[4]Prices!$J$3:$K$17,2,FALSE)*V159)+(VLOOKUP($W$2,[4]Prices!$J$3:$K$17,2,FALSE)*W159)+(VLOOKUP($X$2,[4]Prices!$J$3:$K$17,2,FALSE)*X159)+(VLOOKUP($Y$2,[4]Prices!$J$3:$K$17,2,FALSE)*Y159)+(VLOOKUP($Z$2,[4]Prices!$J$3:$K$17,2,FALSE)*Z159)+(VLOOKUP($AA$2,[4]Prices!$J$3:$K$17,2,FALSE)*AA159)+(VLOOKUP($AB$2,[4]Prices!$J$3:$K$17,2,FALSE)*AB159)+M159</f>
        <v>7483437.5</v>
      </c>
      <c r="AD159" s="69">
        <v>1804350</v>
      </c>
      <c r="AE159" s="18"/>
      <c r="AF159" s="4">
        <f t="shared" si="8"/>
        <v>1804350</v>
      </c>
      <c r="AG159" s="4"/>
      <c r="AH159" s="16">
        <f t="shared" si="9"/>
        <v>1804350</v>
      </c>
      <c r="AI159" s="21">
        <f t="shared" si="10"/>
        <v>0.24111245667515763</v>
      </c>
      <c r="AJ159" s="20">
        <f t="shared" si="11"/>
        <v>0.24111245667515763</v>
      </c>
      <c r="AK159" s="9"/>
    </row>
    <row r="160" spans="1:37" hidden="1">
      <c r="A160" s="77">
        <v>158</v>
      </c>
      <c r="B160" s="78"/>
      <c r="C160" s="79"/>
      <c r="D160" s="79"/>
      <c r="E160" s="79"/>
      <c r="F160" s="79"/>
      <c r="G160" s="79"/>
      <c r="H160" s="80"/>
      <c r="I160" s="45" t="s">
        <v>908</v>
      </c>
      <c r="J160" s="45" t="s">
        <v>1387</v>
      </c>
      <c r="K160" s="46" t="s">
        <v>655</v>
      </c>
      <c r="L160" s="47" t="s">
        <v>1259</v>
      </c>
      <c r="M160" s="81">
        <f>IFERROR(VLOOKUP($L160,[3]Consolidated!$C$9:$AC$452,27,0),0)</f>
        <v>0</v>
      </c>
      <c r="N160" s="81">
        <f>IFERROR(VLOOKUP($L160,[3]Consolidated!$C$9:$AC$452,5,0),0)</f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4">
        <f>(VLOOKUP($O$2,[4]Prices!$E$3:$K$17,2,FALSE)*O160)+(VLOOKUP($P$2,[4]Prices!$J$3:$K$17,2,FALSE)*P160)+(VLOOKUP($Q$2,[4]Prices!$J$3:$K$17,2,FALSE)*Q160)+(VLOOKUP($R$2,[4]Prices!$J$3:$K$17,2,FALSE)*R160)+(VLOOKUP($S$2,[4]Prices!$J$3:$K$17,2,FALSE)*S160)+(VLOOKUP($T$2,[4]Prices!$J$3:$K$17,2,FALSE)*T160)+(VLOOKUP($U$2,[4]Prices!$J$3:$K$17,2,FALSE)*U160)+(VLOOKUP($V$2,[4]Prices!$J$3:$K$17,2,FALSE)*V160)+(VLOOKUP($W$2,[4]Prices!$J$3:$K$17,2,FALSE)*W160)+(VLOOKUP($X$2,[4]Prices!$J$3:$K$17,2,FALSE)*X160)+(VLOOKUP($Y$2,[4]Prices!$J$3:$K$17,2,FALSE)*Y160)+(VLOOKUP($Z$2,[4]Prices!$J$3:$K$17,2,FALSE)*Z160)+(VLOOKUP($AA$2,[4]Prices!$J$3:$K$17,2,FALSE)*AA160)+(VLOOKUP($AB$2,[4]Prices!$J$3:$K$17,2,FALSE)*AB160)+M160</f>
        <v>0</v>
      </c>
      <c r="AD160" s="79">
        <v>0</v>
      </c>
      <c r="AE160" s="18"/>
      <c r="AF160" s="4">
        <f t="shared" si="8"/>
        <v>0</v>
      </c>
      <c r="AG160" s="4"/>
      <c r="AH160" s="16">
        <f t="shared" si="9"/>
        <v>0</v>
      </c>
      <c r="AI160" s="21" t="e">
        <f t="shared" si="10"/>
        <v>#DIV/0!</v>
      </c>
      <c r="AJ160" s="20" t="e">
        <f t="shared" si="11"/>
        <v>#DIV/0!</v>
      </c>
      <c r="AK160" s="9"/>
    </row>
    <row r="161" spans="1:37" hidden="1">
      <c r="A161" s="77">
        <v>159</v>
      </c>
      <c r="B161" s="78"/>
      <c r="C161" s="79"/>
      <c r="D161" s="79"/>
      <c r="E161" s="79"/>
      <c r="F161" s="79"/>
      <c r="G161" s="79"/>
      <c r="H161" s="80"/>
      <c r="I161" s="45" t="s">
        <v>909</v>
      </c>
      <c r="J161" s="45" t="s">
        <v>1387</v>
      </c>
      <c r="K161" s="46" t="s">
        <v>655</v>
      </c>
      <c r="L161" s="47" t="s">
        <v>1260</v>
      </c>
      <c r="M161" s="81">
        <f>IFERROR(VLOOKUP($L161,[3]Consolidated!$C$9:$AC$452,27,0),0)</f>
        <v>6549250</v>
      </c>
      <c r="N161" s="81">
        <f>IFERROR(VLOOKUP($L161,[3]Consolidated!$C$9:$AC$452,5,0),0)</f>
        <v>35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4">
        <f>(VLOOKUP($O$2,[4]Prices!$E$3:$K$17,2,FALSE)*O161)+(VLOOKUP($P$2,[4]Prices!$J$3:$K$17,2,FALSE)*P161)+(VLOOKUP($Q$2,[4]Prices!$J$3:$K$17,2,FALSE)*Q161)+(VLOOKUP($R$2,[4]Prices!$J$3:$K$17,2,FALSE)*R161)+(VLOOKUP($S$2,[4]Prices!$J$3:$K$17,2,FALSE)*S161)+(VLOOKUP($T$2,[4]Prices!$J$3:$K$17,2,FALSE)*T161)+(VLOOKUP($U$2,[4]Prices!$J$3:$K$17,2,FALSE)*U161)+(VLOOKUP($V$2,[4]Prices!$J$3:$K$17,2,FALSE)*V161)+(VLOOKUP($W$2,[4]Prices!$J$3:$K$17,2,FALSE)*W161)+(VLOOKUP($X$2,[4]Prices!$J$3:$K$17,2,FALSE)*X161)+(VLOOKUP($Y$2,[4]Prices!$J$3:$K$17,2,FALSE)*Y161)+(VLOOKUP($Z$2,[4]Prices!$J$3:$K$17,2,FALSE)*Z161)+(VLOOKUP($AA$2,[4]Prices!$J$3:$K$17,2,FALSE)*AA161)+(VLOOKUP($AB$2,[4]Prices!$J$3:$K$17,2,FALSE)*AB161)+M161</f>
        <v>6549250</v>
      </c>
      <c r="AD161" s="79">
        <v>0</v>
      </c>
      <c r="AE161" s="18"/>
      <c r="AF161" s="4">
        <f t="shared" si="8"/>
        <v>0</v>
      </c>
      <c r="AG161" s="4"/>
      <c r="AH161" s="16">
        <f t="shared" si="9"/>
        <v>0</v>
      </c>
      <c r="AI161" s="21">
        <f t="shared" si="10"/>
        <v>0</v>
      </c>
      <c r="AJ161" s="20">
        <f t="shared" si="11"/>
        <v>0</v>
      </c>
      <c r="AK161" s="9"/>
    </row>
    <row r="162" spans="1:37" hidden="1">
      <c r="A162" s="77">
        <v>160</v>
      </c>
      <c r="B162" s="78"/>
      <c r="C162" s="79"/>
      <c r="D162" s="79"/>
      <c r="E162" s="79"/>
      <c r="F162" s="79"/>
      <c r="G162" s="79"/>
      <c r="H162" s="80"/>
      <c r="I162" s="45" t="s">
        <v>910</v>
      </c>
      <c r="J162" s="45" t="s">
        <v>1387</v>
      </c>
      <c r="K162" s="46" t="s">
        <v>655</v>
      </c>
      <c r="L162" s="47" t="s">
        <v>1261</v>
      </c>
      <c r="M162" s="81">
        <f>IFERROR(VLOOKUP($L162,[3]Consolidated!$C$9:$AC$452,27,0),0)</f>
        <v>6549250</v>
      </c>
      <c r="N162" s="81">
        <f>IFERROR(VLOOKUP($L162,[3]Consolidated!$C$9:$AC$452,5,0),0)</f>
        <v>35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4">
        <f>(VLOOKUP($O$2,[4]Prices!$E$3:$K$17,2,FALSE)*O162)+(VLOOKUP($P$2,[4]Prices!$J$3:$K$17,2,FALSE)*P162)+(VLOOKUP($Q$2,[4]Prices!$J$3:$K$17,2,FALSE)*Q162)+(VLOOKUP($R$2,[4]Prices!$J$3:$K$17,2,FALSE)*R162)+(VLOOKUP($S$2,[4]Prices!$J$3:$K$17,2,FALSE)*S162)+(VLOOKUP($T$2,[4]Prices!$J$3:$K$17,2,FALSE)*T162)+(VLOOKUP($U$2,[4]Prices!$J$3:$K$17,2,FALSE)*U162)+(VLOOKUP($V$2,[4]Prices!$J$3:$K$17,2,FALSE)*V162)+(VLOOKUP($W$2,[4]Prices!$J$3:$K$17,2,FALSE)*W162)+(VLOOKUP($X$2,[4]Prices!$J$3:$K$17,2,FALSE)*X162)+(VLOOKUP($Y$2,[4]Prices!$J$3:$K$17,2,FALSE)*Y162)+(VLOOKUP($Z$2,[4]Prices!$J$3:$K$17,2,FALSE)*Z162)+(VLOOKUP($AA$2,[4]Prices!$J$3:$K$17,2,FALSE)*AA162)+(VLOOKUP($AB$2,[4]Prices!$J$3:$K$17,2,FALSE)*AB162)+M162</f>
        <v>6549250</v>
      </c>
      <c r="AD162" s="69">
        <v>1804350</v>
      </c>
      <c r="AE162" s="18"/>
      <c r="AF162" s="4">
        <f t="shared" si="8"/>
        <v>1804350</v>
      </c>
      <c r="AG162" s="4"/>
      <c r="AH162" s="16">
        <f t="shared" si="9"/>
        <v>1804350</v>
      </c>
      <c r="AI162" s="21">
        <f t="shared" si="10"/>
        <v>0.27550482879719052</v>
      </c>
      <c r="AJ162" s="20">
        <f t="shared" si="11"/>
        <v>0.27550482879719052</v>
      </c>
      <c r="AK162" s="9"/>
    </row>
    <row r="163" spans="1:37" hidden="1">
      <c r="A163" s="77">
        <v>161</v>
      </c>
      <c r="B163" s="78"/>
      <c r="C163" s="79"/>
      <c r="D163" s="79"/>
      <c r="E163" s="79"/>
      <c r="F163" s="79"/>
      <c r="G163" s="79"/>
      <c r="H163" s="80"/>
      <c r="I163" s="45" t="s">
        <v>911</v>
      </c>
      <c r="J163" s="45" t="s">
        <v>1387</v>
      </c>
      <c r="K163" s="46" t="s">
        <v>655</v>
      </c>
      <c r="L163" s="47" t="s">
        <v>1262</v>
      </c>
      <c r="M163" s="81">
        <f>IFERROR(VLOOKUP($L163,[3]Consolidated!$C$9:$AC$452,27,0),0)</f>
        <v>0</v>
      </c>
      <c r="N163" s="81">
        <f>IFERROR(VLOOKUP($L163,[3]Consolidated!$C$9:$AC$452,5,0),0)</f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4">
        <f>(VLOOKUP($O$2,[4]Prices!$E$3:$K$17,2,FALSE)*O163)+(VLOOKUP($P$2,[4]Prices!$J$3:$K$17,2,FALSE)*P163)+(VLOOKUP($Q$2,[4]Prices!$J$3:$K$17,2,FALSE)*Q163)+(VLOOKUP($R$2,[4]Prices!$J$3:$K$17,2,FALSE)*R163)+(VLOOKUP($S$2,[4]Prices!$J$3:$K$17,2,FALSE)*S163)+(VLOOKUP($T$2,[4]Prices!$J$3:$K$17,2,FALSE)*T163)+(VLOOKUP($U$2,[4]Prices!$J$3:$K$17,2,FALSE)*U163)+(VLOOKUP($V$2,[4]Prices!$J$3:$K$17,2,FALSE)*V163)+(VLOOKUP($W$2,[4]Prices!$J$3:$K$17,2,FALSE)*W163)+(VLOOKUP($X$2,[4]Prices!$J$3:$K$17,2,FALSE)*X163)+(VLOOKUP($Y$2,[4]Prices!$J$3:$K$17,2,FALSE)*Y163)+(VLOOKUP($Z$2,[4]Prices!$J$3:$K$17,2,FALSE)*Z163)+(VLOOKUP($AA$2,[4]Prices!$J$3:$K$17,2,FALSE)*AA163)+(VLOOKUP($AB$2,[4]Prices!$J$3:$K$17,2,FALSE)*AB163)+M163</f>
        <v>0</v>
      </c>
      <c r="AD163" s="79">
        <v>0</v>
      </c>
      <c r="AE163" s="18"/>
      <c r="AF163" s="4">
        <f t="shared" si="8"/>
        <v>0</v>
      </c>
      <c r="AG163" s="4"/>
      <c r="AH163" s="16">
        <f t="shared" si="9"/>
        <v>0</v>
      </c>
      <c r="AI163" s="21" t="e">
        <f t="shared" si="10"/>
        <v>#DIV/0!</v>
      </c>
      <c r="AJ163" s="20" t="e">
        <f t="shared" si="11"/>
        <v>#DIV/0!</v>
      </c>
      <c r="AK163" s="9"/>
    </row>
    <row r="164" spans="1:37">
      <c r="A164" s="77">
        <v>162</v>
      </c>
      <c r="B164" s="78"/>
      <c r="C164" s="79"/>
      <c r="D164" s="79"/>
      <c r="E164" s="79"/>
      <c r="F164" s="79"/>
      <c r="G164" s="79"/>
      <c r="H164" s="80"/>
      <c r="I164" s="45" t="s">
        <v>912</v>
      </c>
      <c r="J164" s="45" t="s">
        <v>1387</v>
      </c>
      <c r="K164" s="46" t="s">
        <v>655</v>
      </c>
      <c r="L164" s="47" t="s">
        <v>1263</v>
      </c>
      <c r="M164" s="81">
        <f>IFERROR(VLOOKUP($L164,[3]Consolidated!$C$9:$AC$452,27,0),0)</f>
        <v>3992835</v>
      </c>
      <c r="N164" s="81">
        <f>IFERROR(VLOOKUP($L164,[3]Consolidated!$C$9:$AC$452,5,0),0)</f>
        <v>20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4">
        <f>(VLOOKUP($O$2,[4]Prices!$E$3:$K$17,2,FALSE)*O164)+(VLOOKUP($P$2,[4]Prices!$J$3:$K$17,2,FALSE)*P164)+(VLOOKUP($Q$2,[4]Prices!$J$3:$K$17,2,FALSE)*Q164)+(VLOOKUP($R$2,[4]Prices!$J$3:$K$17,2,FALSE)*R164)+(VLOOKUP($S$2,[4]Prices!$J$3:$K$17,2,FALSE)*S164)+(VLOOKUP($T$2,[4]Prices!$J$3:$K$17,2,FALSE)*T164)+(VLOOKUP($U$2,[4]Prices!$J$3:$K$17,2,FALSE)*U164)+(VLOOKUP($V$2,[4]Prices!$J$3:$K$17,2,FALSE)*V164)+(VLOOKUP($W$2,[4]Prices!$J$3:$K$17,2,FALSE)*W164)+(VLOOKUP($X$2,[4]Prices!$J$3:$K$17,2,FALSE)*X164)+(VLOOKUP($Y$2,[4]Prices!$J$3:$K$17,2,FALSE)*Y164)+(VLOOKUP($Z$2,[4]Prices!$J$3:$K$17,2,FALSE)*Z164)+(VLOOKUP($AA$2,[4]Prices!$J$3:$K$17,2,FALSE)*AA164)+(VLOOKUP($AB$2,[4]Prices!$J$3:$K$17,2,FALSE)*AB164)+M164</f>
        <v>3992835</v>
      </c>
      <c r="AD164" s="69">
        <v>1846000</v>
      </c>
      <c r="AE164" s="18"/>
      <c r="AF164" s="4">
        <f t="shared" si="8"/>
        <v>1846000</v>
      </c>
      <c r="AG164" s="4">
        <v>869000</v>
      </c>
      <c r="AH164" s="16">
        <f t="shared" si="9"/>
        <v>2715000</v>
      </c>
      <c r="AI164" s="21">
        <f t="shared" si="10"/>
        <v>0.67996799266686447</v>
      </c>
      <c r="AJ164" s="20">
        <f t="shared" si="11"/>
        <v>0.67996799266686447</v>
      </c>
      <c r="AK164" s="9"/>
    </row>
    <row r="165" spans="1:37" hidden="1">
      <c r="A165" s="77">
        <v>163</v>
      </c>
      <c r="B165" s="78"/>
      <c r="C165" s="79"/>
      <c r="D165" s="79"/>
      <c r="E165" s="79"/>
      <c r="F165" s="79"/>
      <c r="G165" s="79"/>
      <c r="H165" s="80"/>
      <c r="I165" s="45" t="s">
        <v>913</v>
      </c>
      <c r="J165" s="45" t="s">
        <v>1387</v>
      </c>
      <c r="K165" s="46" t="s">
        <v>655</v>
      </c>
      <c r="L165" s="47" t="s">
        <v>1264</v>
      </c>
      <c r="M165" s="81">
        <f>IFERROR(VLOOKUP($L165,[3]Consolidated!$C$9:$AC$452,27,0),0)</f>
        <v>2917810</v>
      </c>
      <c r="N165" s="81">
        <f>IFERROR(VLOOKUP($L165,[3]Consolidated!$C$9:$AC$452,5,0),0)</f>
        <v>15.000000000000002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4">
        <f>(VLOOKUP($O$2,[4]Prices!$E$3:$K$17,2,FALSE)*O165)+(VLOOKUP($P$2,[4]Prices!$J$3:$K$17,2,FALSE)*P165)+(VLOOKUP($Q$2,[4]Prices!$J$3:$K$17,2,FALSE)*Q165)+(VLOOKUP($R$2,[4]Prices!$J$3:$K$17,2,FALSE)*R165)+(VLOOKUP($S$2,[4]Prices!$J$3:$K$17,2,FALSE)*S165)+(VLOOKUP($T$2,[4]Prices!$J$3:$K$17,2,FALSE)*T165)+(VLOOKUP($U$2,[4]Prices!$J$3:$K$17,2,FALSE)*U165)+(VLOOKUP($V$2,[4]Prices!$J$3:$K$17,2,FALSE)*V165)+(VLOOKUP($W$2,[4]Prices!$J$3:$K$17,2,FALSE)*W165)+(VLOOKUP($X$2,[4]Prices!$J$3:$K$17,2,FALSE)*X165)+(VLOOKUP($Y$2,[4]Prices!$J$3:$K$17,2,FALSE)*Y165)+(VLOOKUP($Z$2,[4]Prices!$J$3:$K$17,2,FALSE)*Z165)+(VLOOKUP($AA$2,[4]Prices!$J$3:$K$17,2,FALSE)*AA165)+(VLOOKUP($AB$2,[4]Prices!$J$3:$K$17,2,FALSE)*AB165)+M165</f>
        <v>2917810</v>
      </c>
      <c r="AD165" s="69">
        <v>993700</v>
      </c>
      <c r="AE165" s="18"/>
      <c r="AF165" s="4">
        <f t="shared" si="8"/>
        <v>993700</v>
      </c>
      <c r="AG165" s="4"/>
      <c r="AH165" s="16">
        <f t="shared" si="9"/>
        <v>993700</v>
      </c>
      <c r="AI165" s="21">
        <f t="shared" si="10"/>
        <v>0.34056364190951433</v>
      </c>
      <c r="AJ165" s="20">
        <f t="shared" si="11"/>
        <v>0.34056364190951433</v>
      </c>
      <c r="AK165" s="19"/>
    </row>
    <row r="166" spans="1:37" hidden="1">
      <c r="A166" s="77">
        <v>164</v>
      </c>
      <c r="B166" s="78"/>
      <c r="C166" s="79"/>
      <c r="D166" s="79"/>
      <c r="E166" s="79"/>
      <c r="F166" s="79"/>
      <c r="G166" s="79"/>
      <c r="H166" s="80"/>
      <c r="I166" s="45" t="s">
        <v>915</v>
      </c>
      <c r="J166" s="45" t="s">
        <v>1387</v>
      </c>
      <c r="K166" s="46" t="s">
        <v>655</v>
      </c>
      <c r="L166" s="47" t="s">
        <v>1266</v>
      </c>
      <c r="M166" s="81">
        <f>IFERROR(VLOOKUP($L166,[3]Consolidated!$C$9:$AC$452,27,0),0)</f>
        <v>12399500</v>
      </c>
      <c r="N166" s="81">
        <f>IFERROR(VLOOKUP($L166,[3]Consolidated!$C$9:$AC$452,5,0),0)</f>
        <v>60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4">
        <f>(VLOOKUP($O$2,[4]Prices!$E$3:$K$17,2,FALSE)*O166)+(VLOOKUP($P$2,[4]Prices!$J$3:$K$17,2,FALSE)*P166)+(VLOOKUP($Q$2,[4]Prices!$J$3:$K$17,2,FALSE)*Q166)+(VLOOKUP($R$2,[4]Prices!$J$3:$K$17,2,FALSE)*R166)+(VLOOKUP($S$2,[4]Prices!$J$3:$K$17,2,FALSE)*S166)+(VLOOKUP($T$2,[4]Prices!$J$3:$K$17,2,FALSE)*T166)+(VLOOKUP($U$2,[4]Prices!$J$3:$K$17,2,FALSE)*U166)+(VLOOKUP($V$2,[4]Prices!$J$3:$K$17,2,FALSE)*V166)+(VLOOKUP($W$2,[4]Prices!$J$3:$K$17,2,FALSE)*W166)+(VLOOKUP($X$2,[4]Prices!$J$3:$K$17,2,FALSE)*X166)+(VLOOKUP($Y$2,[4]Prices!$J$3:$K$17,2,FALSE)*Y166)+(VLOOKUP($Z$2,[4]Prices!$J$3:$K$17,2,FALSE)*Z166)+(VLOOKUP($AA$2,[4]Prices!$J$3:$K$17,2,FALSE)*AA166)+(VLOOKUP($AB$2,[4]Prices!$J$3:$K$17,2,FALSE)*AB166)+M166</f>
        <v>12399500</v>
      </c>
      <c r="AD166" s="69">
        <v>4262450</v>
      </c>
      <c r="AE166" s="18"/>
      <c r="AF166" s="4">
        <f t="shared" si="8"/>
        <v>4262450</v>
      </c>
      <c r="AG166" s="4"/>
      <c r="AH166" s="16">
        <f t="shared" si="9"/>
        <v>4262450</v>
      </c>
      <c r="AI166" s="21">
        <f t="shared" si="10"/>
        <v>0.34375982902536395</v>
      </c>
      <c r="AJ166" s="20">
        <f t="shared" si="11"/>
        <v>0.34375982902536395</v>
      </c>
      <c r="AK166" s="9"/>
    </row>
    <row r="167" spans="1:37" hidden="1">
      <c r="A167" s="77">
        <v>165</v>
      </c>
      <c r="B167" s="78"/>
      <c r="C167" s="79"/>
      <c r="D167" s="79"/>
      <c r="E167" s="79"/>
      <c r="F167" s="79"/>
      <c r="G167" s="79"/>
      <c r="H167" s="80"/>
      <c r="I167" s="45" t="s">
        <v>916</v>
      </c>
      <c r="J167" s="45" t="s">
        <v>1387</v>
      </c>
      <c r="K167" s="46" t="s">
        <v>655</v>
      </c>
      <c r="L167" s="47" t="s">
        <v>1267</v>
      </c>
      <c r="M167" s="81">
        <f>IFERROR(VLOOKUP($L167,[3]Consolidated!$C$9:$AC$452,27,0),0)</f>
        <v>2246500</v>
      </c>
      <c r="N167" s="81">
        <f>IFERROR(VLOOKUP($L167,[3]Consolidated!$C$9:$AC$452,5,0),0)</f>
        <v>11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4">
        <f>(VLOOKUP($O$2,[4]Prices!$E$3:$K$17,2,FALSE)*O167)+(VLOOKUP($P$2,[4]Prices!$J$3:$K$17,2,FALSE)*P167)+(VLOOKUP($Q$2,[4]Prices!$J$3:$K$17,2,FALSE)*Q167)+(VLOOKUP($R$2,[4]Prices!$J$3:$K$17,2,FALSE)*R167)+(VLOOKUP($S$2,[4]Prices!$J$3:$K$17,2,FALSE)*S167)+(VLOOKUP($T$2,[4]Prices!$J$3:$K$17,2,FALSE)*T167)+(VLOOKUP($U$2,[4]Prices!$J$3:$K$17,2,FALSE)*U167)+(VLOOKUP($V$2,[4]Prices!$J$3:$K$17,2,FALSE)*V167)+(VLOOKUP($W$2,[4]Prices!$J$3:$K$17,2,FALSE)*W167)+(VLOOKUP($X$2,[4]Prices!$J$3:$K$17,2,FALSE)*X167)+(VLOOKUP($Y$2,[4]Prices!$J$3:$K$17,2,FALSE)*Y167)+(VLOOKUP($Z$2,[4]Prices!$J$3:$K$17,2,FALSE)*Z167)+(VLOOKUP($AA$2,[4]Prices!$J$3:$K$17,2,FALSE)*AA167)+(VLOOKUP($AB$2,[4]Prices!$J$3:$K$17,2,FALSE)*AB167)+M167</f>
        <v>2246500</v>
      </c>
      <c r="AD167" s="79">
        <v>0</v>
      </c>
      <c r="AE167" s="18"/>
      <c r="AF167" s="4">
        <f t="shared" si="8"/>
        <v>0</v>
      </c>
      <c r="AG167" s="4"/>
      <c r="AH167" s="16">
        <f t="shared" si="9"/>
        <v>0</v>
      </c>
      <c r="AI167" s="21">
        <f t="shared" si="10"/>
        <v>0</v>
      </c>
      <c r="AJ167" s="20">
        <f t="shared" si="11"/>
        <v>0</v>
      </c>
      <c r="AK167" s="9"/>
    </row>
    <row r="168" spans="1:37" hidden="1">
      <c r="A168" s="77">
        <v>166</v>
      </c>
      <c r="B168" s="78"/>
      <c r="C168" s="79"/>
      <c r="D168" s="79"/>
      <c r="E168" s="79"/>
      <c r="F168" s="79"/>
      <c r="G168" s="79"/>
      <c r="H168" s="80"/>
      <c r="I168" s="45" t="s">
        <v>917</v>
      </c>
      <c r="J168" s="45" t="s">
        <v>1387</v>
      </c>
      <c r="K168" s="46" t="s">
        <v>656</v>
      </c>
      <c r="L168" s="47" t="s">
        <v>1268</v>
      </c>
      <c r="M168" s="81">
        <f>IFERROR(VLOOKUP($L168,[3]Consolidated!$C$9:$AC$452,27,0),0)</f>
        <v>1937600</v>
      </c>
      <c r="N168" s="81">
        <f>IFERROR(VLOOKUP($L168,[3]Consolidated!$C$9:$AC$452,5,0),0)</f>
        <v>10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4">
        <f>(VLOOKUP($O$2,[4]Prices!$E$3:$K$17,2,FALSE)*O168)+(VLOOKUP($P$2,[4]Prices!$J$3:$K$17,2,FALSE)*P168)+(VLOOKUP($Q$2,[4]Prices!$J$3:$K$17,2,FALSE)*Q168)+(VLOOKUP($R$2,[4]Prices!$J$3:$K$17,2,FALSE)*R168)+(VLOOKUP($S$2,[4]Prices!$J$3:$K$17,2,FALSE)*S168)+(VLOOKUP($T$2,[4]Prices!$J$3:$K$17,2,FALSE)*T168)+(VLOOKUP($U$2,[4]Prices!$J$3:$K$17,2,FALSE)*U168)+(VLOOKUP($V$2,[4]Prices!$J$3:$K$17,2,FALSE)*V168)+(VLOOKUP($W$2,[4]Prices!$J$3:$K$17,2,FALSE)*W168)+(VLOOKUP($X$2,[4]Prices!$J$3:$K$17,2,FALSE)*X168)+(VLOOKUP($Y$2,[4]Prices!$J$3:$K$17,2,FALSE)*Y168)+(VLOOKUP($Z$2,[4]Prices!$J$3:$K$17,2,FALSE)*Z168)+(VLOOKUP($AA$2,[4]Prices!$J$3:$K$17,2,FALSE)*AA168)+(VLOOKUP($AB$2,[4]Prices!$J$3:$K$17,2,FALSE)*AB168)+M168</f>
        <v>1937600</v>
      </c>
      <c r="AD168" s="69">
        <v>661900</v>
      </c>
      <c r="AE168" s="18"/>
      <c r="AF168" s="4">
        <f t="shared" si="8"/>
        <v>661900</v>
      </c>
      <c r="AG168" s="4"/>
      <c r="AH168" s="16">
        <f t="shared" si="9"/>
        <v>661900</v>
      </c>
      <c r="AI168" s="21">
        <f t="shared" si="10"/>
        <v>0.34160817506193231</v>
      </c>
      <c r="AJ168" s="20">
        <f t="shared" si="11"/>
        <v>0.34160817506193231</v>
      </c>
      <c r="AK168" s="9"/>
    </row>
    <row r="169" spans="1:37" hidden="1">
      <c r="A169" s="77">
        <v>167</v>
      </c>
      <c r="B169" s="78"/>
      <c r="C169" s="79"/>
      <c r="D169" s="79"/>
      <c r="E169" s="79"/>
      <c r="F169" s="79"/>
      <c r="G169" s="79"/>
      <c r="H169" s="80"/>
      <c r="I169" s="45" t="s">
        <v>918</v>
      </c>
      <c r="J169" s="45" t="s">
        <v>1387</v>
      </c>
      <c r="K169" s="46" t="s">
        <v>656</v>
      </c>
      <c r="L169" s="47" t="s">
        <v>1269</v>
      </c>
      <c r="M169" s="81">
        <f>IFERROR(VLOOKUP($L169,[3]Consolidated!$C$9:$AC$452,27,0),0)</f>
        <v>8596050</v>
      </c>
      <c r="N169" s="81">
        <f>IFERROR(VLOOKUP($L169,[3]Consolidated!$C$9:$AC$452,5,0),0)</f>
        <v>40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4">
        <f>(VLOOKUP($O$2,[4]Prices!$E$3:$K$17,2,FALSE)*O169)+(VLOOKUP($P$2,[4]Prices!$J$3:$K$17,2,FALSE)*P169)+(VLOOKUP($Q$2,[4]Prices!$J$3:$K$17,2,FALSE)*Q169)+(VLOOKUP($R$2,[4]Prices!$J$3:$K$17,2,FALSE)*R169)+(VLOOKUP($S$2,[4]Prices!$J$3:$K$17,2,FALSE)*S169)+(VLOOKUP($T$2,[4]Prices!$J$3:$K$17,2,FALSE)*T169)+(VLOOKUP($U$2,[4]Prices!$J$3:$K$17,2,FALSE)*U169)+(VLOOKUP($V$2,[4]Prices!$J$3:$K$17,2,FALSE)*V169)+(VLOOKUP($W$2,[4]Prices!$J$3:$K$17,2,FALSE)*W169)+(VLOOKUP($X$2,[4]Prices!$J$3:$K$17,2,FALSE)*X169)+(VLOOKUP($Y$2,[4]Prices!$J$3:$K$17,2,FALSE)*Y169)+(VLOOKUP($Z$2,[4]Prices!$J$3:$K$17,2,FALSE)*Z169)+(VLOOKUP($AA$2,[4]Prices!$J$3:$K$17,2,FALSE)*AA169)+(VLOOKUP($AB$2,[4]Prices!$J$3:$K$17,2,FALSE)*AB169)+M169</f>
        <v>8596050</v>
      </c>
      <c r="AD169" s="69">
        <v>1267750</v>
      </c>
      <c r="AE169" s="18"/>
      <c r="AF169" s="4">
        <f t="shared" si="8"/>
        <v>1267750</v>
      </c>
      <c r="AG169" s="4"/>
      <c r="AH169" s="16">
        <f t="shared" si="9"/>
        <v>1267750</v>
      </c>
      <c r="AI169" s="21">
        <f t="shared" si="10"/>
        <v>0.14748052884755208</v>
      </c>
      <c r="AJ169" s="20">
        <f t="shared" si="11"/>
        <v>0.14748052884755208</v>
      </c>
      <c r="AK169" s="9"/>
    </row>
    <row r="170" spans="1:37" hidden="1">
      <c r="A170" s="77">
        <v>168</v>
      </c>
      <c r="B170" s="78"/>
      <c r="C170" s="79"/>
      <c r="D170" s="79"/>
      <c r="E170" s="79"/>
      <c r="F170" s="79"/>
      <c r="G170" s="79"/>
      <c r="H170" s="80"/>
      <c r="I170" s="45" t="s">
        <v>919</v>
      </c>
      <c r="J170" s="45" t="s">
        <v>1387</v>
      </c>
      <c r="K170" s="46" t="s">
        <v>656</v>
      </c>
      <c r="L170" s="47" t="s">
        <v>1270</v>
      </c>
      <c r="M170" s="81">
        <f>IFERROR(VLOOKUP($L170,[3]Consolidated!$C$9:$AC$452,27,0),0)</f>
        <v>8359400</v>
      </c>
      <c r="N170" s="81">
        <f>IFERROR(VLOOKUP($L170,[3]Consolidated!$C$9:$AC$452,5,0),0)</f>
        <v>40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4">
        <f>(VLOOKUP($O$2,[4]Prices!$E$3:$K$17,2,FALSE)*O170)+(VLOOKUP($P$2,[4]Prices!$J$3:$K$17,2,FALSE)*P170)+(VLOOKUP($Q$2,[4]Prices!$J$3:$K$17,2,FALSE)*Q170)+(VLOOKUP($R$2,[4]Prices!$J$3:$K$17,2,FALSE)*R170)+(VLOOKUP($S$2,[4]Prices!$J$3:$K$17,2,FALSE)*S170)+(VLOOKUP($T$2,[4]Prices!$J$3:$K$17,2,FALSE)*T170)+(VLOOKUP($U$2,[4]Prices!$J$3:$K$17,2,FALSE)*U170)+(VLOOKUP($V$2,[4]Prices!$J$3:$K$17,2,FALSE)*V170)+(VLOOKUP($W$2,[4]Prices!$J$3:$K$17,2,FALSE)*W170)+(VLOOKUP($X$2,[4]Prices!$J$3:$K$17,2,FALSE)*X170)+(VLOOKUP($Y$2,[4]Prices!$J$3:$K$17,2,FALSE)*Y170)+(VLOOKUP($Z$2,[4]Prices!$J$3:$K$17,2,FALSE)*Z170)+(VLOOKUP($AA$2,[4]Prices!$J$3:$K$17,2,FALSE)*AA170)+(VLOOKUP($AB$2,[4]Prices!$J$3:$K$17,2,FALSE)*AB170)+M170</f>
        <v>8359400</v>
      </c>
      <c r="AD170" s="69">
        <v>1319050</v>
      </c>
      <c r="AE170" s="18"/>
      <c r="AF170" s="4">
        <f t="shared" si="8"/>
        <v>1319050</v>
      </c>
      <c r="AG170" s="4"/>
      <c r="AH170" s="16">
        <f t="shared" si="9"/>
        <v>1319050</v>
      </c>
      <c r="AI170" s="21">
        <f t="shared" si="10"/>
        <v>0.15779242529368137</v>
      </c>
      <c r="AJ170" s="20">
        <f t="shared" si="11"/>
        <v>0.15779242529368137</v>
      </c>
      <c r="AK170" s="9"/>
    </row>
    <row r="171" spans="1:37" hidden="1">
      <c r="A171" s="77">
        <v>169</v>
      </c>
      <c r="B171" s="78"/>
      <c r="C171" s="79"/>
      <c r="D171" s="79"/>
      <c r="E171" s="79"/>
      <c r="F171" s="79"/>
      <c r="G171" s="79"/>
      <c r="H171" s="80"/>
      <c r="I171" s="45" t="s">
        <v>920</v>
      </c>
      <c r="J171" s="45" t="s">
        <v>1387</v>
      </c>
      <c r="K171" s="46" t="s">
        <v>656</v>
      </c>
      <c r="L171" s="47" t="s">
        <v>1271</v>
      </c>
      <c r="M171" s="81">
        <f>IFERROR(VLOOKUP($L171,[3]Consolidated!$C$9:$AC$452,27,0),0)</f>
        <v>0</v>
      </c>
      <c r="N171" s="81">
        <f>IFERROR(VLOOKUP($L171,[3]Consolidated!$C$9:$AC$452,5,0),0)</f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4">
        <f>(VLOOKUP($O$2,[4]Prices!$E$3:$K$17,2,FALSE)*O171)+(VLOOKUP($P$2,[4]Prices!$J$3:$K$17,2,FALSE)*P171)+(VLOOKUP($Q$2,[4]Prices!$J$3:$K$17,2,FALSE)*Q171)+(VLOOKUP($R$2,[4]Prices!$J$3:$K$17,2,FALSE)*R171)+(VLOOKUP($S$2,[4]Prices!$J$3:$K$17,2,FALSE)*S171)+(VLOOKUP($T$2,[4]Prices!$J$3:$K$17,2,FALSE)*T171)+(VLOOKUP($U$2,[4]Prices!$J$3:$K$17,2,FALSE)*U171)+(VLOOKUP($V$2,[4]Prices!$J$3:$K$17,2,FALSE)*V171)+(VLOOKUP($W$2,[4]Prices!$J$3:$K$17,2,FALSE)*W171)+(VLOOKUP($X$2,[4]Prices!$J$3:$K$17,2,FALSE)*X171)+(VLOOKUP($Y$2,[4]Prices!$J$3:$K$17,2,FALSE)*Y171)+(VLOOKUP($Z$2,[4]Prices!$J$3:$K$17,2,FALSE)*Z171)+(VLOOKUP($AA$2,[4]Prices!$J$3:$K$17,2,FALSE)*AA171)+(VLOOKUP($AB$2,[4]Prices!$J$3:$K$17,2,FALSE)*AB171)+M171</f>
        <v>0</v>
      </c>
      <c r="AD171" s="79">
        <v>0</v>
      </c>
      <c r="AE171" s="18"/>
      <c r="AF171" s="4">
        <f t="shared" si="8"/>
        <v>0</v>
      </c>
      <c r="AG171" s="4"/>
      <c r="AH171" s="16">
        <f t="shared" si="9"/>
        <v>0</v>
      </c>
      <c r="AI171" s="21" t="e">
        <f t="shared" si="10"/>
        <v>#DIV/0!</v>
      </c>
      <c r="AJ171" s="20" t="e">
        <f t="shared" si="11"/>
        <v>#DIV/0!</v>
      </c>
      <c r="AK171" s="9"/>
    </row>
    <row r="172" spans="1:37" hidden="1">
      <c r="A172" s="77">
        <v>170</v>
      </c>
      <c r="B172" s="78"/>
      <c r="C172" s="79"/>
      <c r="D172" s="79"/>
      <c r="E172" s="79"/>
      <c r="F172" s="79"/>
      <c r="G172" s="79"/>
      <c r="H172" s="80"/>
      <c r="I172" s="45" t="s">
        <v>921</v>
      </c>
      <c r="J172" s="45" t="s">
        <v>1387</v>
      </c>
      <c r="K172" s="46" t="s">
        <v>656</v>
      </c>
      <c r="L172" s="47" t="s">
        <v>1272</v>
      </c>
      <c r="M172" s="81">
        <f>IFERROR(VLOOKUP($L172,[3]Consolidated!$C$9:$AC$452,27,0),0)</f>
        <v>0</v>
      </c>
      <c r="N172" s="81">
        <f>IFERROR(VLOOKUP($L172,[3]Consolidated!$C$9:$AC$452,5,0),0)</f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4">
        <f>(VLOOKUP($O$2,[4]Prices!$E$3:$K$17,2,FALSE)*O172)+(VLOOKUP($P$2,[4]Prices!$J$3:$K$17,2,FALSE)*P172)+(VLOOKUP($Q$2,[4]Prices!$J$3:$K$17,2,FALSE)*Q172)+(VLOOKUP($R$2,[4]Prices!$J$3:$K$17,2,FALSE)*R172)+(VLOOKUP($S$2,[4]Prices!$J$3:$K$17,2,FALSE)*S172)+(VLOOKUP($T$2,[4]Prices!$J$3:$K$17,2,FALSE)*T172)+(VLOOKUP($U$2,[4]Prices!$J$3:$K$17,2,FALSE)*U172)+(VLOOKUP($V$2,[4]Prices!$J$3:$K$17,2,FALSE)*V172)+(VLOOKUP($W$2,[4]Prices!$J$3:$K$17,2,FALSE)*W172)+(VLOOKUP($X$2,[4]Prices!$J$3:$K$17,2,FALSE)*X172)+(VLOOKUP($Y$2,[4]Prices!$J$3:$K$17,2,FALSE)*Y172)+(VLOOKUP($Z$2,[4]Prices!$J$3:$K$17,2,FALSE)*Z172)+(VLOOKUP($AA$2,[4]Prices!$J$3:$K$17,2,FALSE)*AA172)+(VLOOKUP($AB$2,[4]Prices!$J$3:$K$17,2,FALSE)*AB172)+M172</f>
        <v>0</v>
      </c>
      <c r="AD172" s="79">
        <v>0</v>
      </c>
      <c r="AE172" s="18"/>
      <c r="AF172" s="4">
        <f t="shared" si="8"/>
        <v>0</v>
      </c>
      <c r="AG172" s="4"/>
      <c r="AH172" s="16">
        <f t="shared" si="9"/>
        <v>0</v>
      </c>
      <c r="AI172" s="21" t="e">
        <f t="shared" si="10"/>
        <v>#DIV/0!</v>
      </c>
      <c r="AJ172" s="20" t="e">
        <f t="shared" si="11"/>
        <v>#DIV/0!</v>
      </c>
      <c r="AK172" s="9"/>
    </row>
    <row r="173" spans="1:37" hidden="1">
      <c r="A173" s="77">
        <v>171</v>
      </c>
      <c r="B173" s="78"/>
      <c r="C173" s="79"/>
      <c r="D173" s="79"/>
      <c r="E173" s="79"/>
      <c r="F173" s="79"/>
      <c r="G173" s="79"/>
      <c r="H173" s="80"/>
      <c r="I173" s="45" t="s">
        <v>922</v>
      </c>
      <c r="J173" s="45" t="s">
        <v>1387</v>
      </c>
      <c r="K173" s="46" t="s">
        <v>656</v>
      </c>
      <c r="L173" s="47" t="s">
        <v>1273</v>
      </c>
      <c r="M173" s="81">
        <f>IFERROR(VLOOKUP($L173,[3]Consolidated!$C$9:$AC$452,27,0),0)</f>
        <v>1558640</v>
      </c>
      <c r="N173" s="81">
        <f>IFERROR(VLOOKUP($L173,[3]Consolidated!$C$9:$AC$452,5,0),0)</f>
        <v>9.9999999999999982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4">
        <f>(VLOOKUP($O$2,[4]Prices!$E$3:$K$17,2,FALSE)*O173)+(VLOOKUP($P$2,[4]Prices!$J$3:$K$17,2,FALSE)*P173)+(VLOOKUP($Q$2,[4]Prices!$J$3:$K$17,2,FALSE)*Q173)+(VLOOKUP($R$2,[4]Prices!$J$3:$K$17,2,FALSE)*R173)+(VLOOKUP($S$2,[4]Prices!$J$3:$K$17,2,FALSE)*S173)+(VLOOKUP($T$2,[4]Prices!$J$3:$K$17,2,FALSE)*T173)+(VLOOKUP($U$2,[4]Prices!$J$3:$K$17,2,FALSE)*U173)+(VLOOKUP($V$2,[4]Prices!$J$3:$K$17,2,FALSE)*V173)+(VLOOKUP($W$2,[4]Prices!$J$3:$K$17,2,FALSE)*W173)+(VLOOKUP($X$2,[4]Prices!$J$3:$K$17,2,FALSE)*X173)+(VLOOKUP($Y$2,[4]Prices!$J$3:$K$17,2,FALSE)*Y173)+(VLOOKUP($Z$2,[4]Prices!$J$3:$K$17,2,FALSE)*Z173)+(VLOOKUP($AA$2,[4]Prices!$J$3:$K$17,2,FALSE)*AA173)+(VLOOKUP($AB$2,[4]Prices!$J$3:$K$17,2,FALSE)*AB173)+M173</f>
        <v>1558640</v>
      </c>
      <c r="AD173" s="79">
        <v>0</v>
      </c>
      <c r="AE173" s="18"/>
      <c r="AF173" s="4">
        <f t="shared" si="8"/>
        <v>0</v>
      </c>
      <c r="AG173" s="4"/>
      <c r="AH173" s="16">
        <f t="shared" si="9"/>
        <v>0</v>
      </c>
      <c r="AI173" s="21">
        <f t="shared" si="10"/>
        <v>0</v>
      </c>
      <c r="AJ173" s="20">
        <f t="shared" si="11"/>
        <v>0</v>
      </c>
      <c r="AK173" s="9"/>
    </row>
    <row r="174" spans="1:37" hidden="1">
      <c r="A174" s="77">
        <v>172</v>
      </c>
      <c r="B174" s="78"/>
      <c r="C174" s="79"/>
      <c r="D174" s="79"/>
      <c r="E174" s="79"/>
      <c r="F174" s="79"/>
      <c r="G174" s="79"/>
      <c r="H174" s="80"/>
      <c r="I174" s="45" t="s">
        <v>923</v>
      </c>
      <c r="J174" s="45" t="s">
        <v>1387</v>
      </c>
      <c r="K174" s="46" t="s">
        <v>656</v>
      </c>
      <c r="L174" s="46" t="s">
        <v>1274</v>
      </c>
      <c r="M174" s="81">
        <f>IFERROR(VLOOKUP($L174,[3]Consolidated!$C$9:$AC$452,27,0),0)</f>
        <v>15217620</v>
      </c>
      <c r="N174" s="81">
        <f>IFERROR(VLOOKUP($L174,[3]Consolidated!$C$9:$AC$452,5,0),0)</f>
        <v>70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4">
        <f>(VLOOKUP($O$2,[4]Prices!$E$3:$K$17,2,FALSE)*O174)+(VLOOKUP($P$2,[4]Prices!$J$3:$K$17,2,FALSE)*P174)+(VLOOKUP($Q$2,[4]Prices!$J$3:$K$17,2,FALSE)*Q174)+(VLOOKUP($R$2,[4]Prices!$J$3:$K$17,2,FALSE)*R174)+(VLOOKUP($S$2,[4]Prices!$J$3:$K$17,2,FALSE)*S174)+(VLOOKUP($T$2,[4]Prices!$J$3:$K$17,2,FALSE)*T174)+(VLOOKUP($U$2,[4]Prices!$J$3:$K$17,2,FALSE)*U174)+(VLOOKUP($V$2,[4]Prices!$J$3:$K$17,2,FALSE)*V174)+(VLOOKUP($W$2,[4]Prices!$J$3:$K$17,2,FALSE)*W174)+(VLOOKUP($X$2,[4]Prices!$J$3:$K$17,2,FALSE)*X174)+(VLOOKUP($Y$2,[4]Prices!$J$3:$K$17,2,FALSE)*Y174)+(VLOOKUP($Z$2,[4]Prices!$J$3:$K$17,2,FALSE)*Z174)+(VLOOKUP($AA$2,[4]Prices!$J$3:$K$17,2,FALSE)*AA174)+(VLOOKUP($AB$2,[4]Prices!$J$3:$K$17,2,FALSE)*AB174)+M174</f>
        <v>15217620</v>
      </c>
      <c r="AD174" s="69">
        <v>2803100</v>
      </c>
      <c r="AE174" s="18"/>
      <c r="AF174" s="4">
        <f t="shared" si="8"/>
        <v>2803100</v>
      </c>
      <c r="AG174" s="4"/>
      <c r="AH174" s="16">
        <f t="shared" si="9"/>
        <v>2803100</v>
      </c>
      <c r="AI174" s="21">
        <f t="shared" si="10"/>
        <v>0.18420094600863998</v>
      </c>
      <c r="AJ174" s="20">
        <f t="shared" si="11"/>
        <v>0.18420094600863998</v>
      </c>
      <c r="AK174" s="9"/>
    </row>
    <row r="175" spans="1:37" hidden="1">
      <c r="A175" s="77">
        <v>173</v>
      </c>
      <c r="B175" s="78"/>
      <c r="C175" s="79"/>
      <c r="D175" s="79"/>
      <c r="E175" s="79"/>
      <c r="F175" s="79"/>
      <c r="G175" s="79"/>
      <c r="H175" s="80"/>
      <c r="I175" s="45" t="s">
        <v>924</v>
      </c>
      <c r="J175" s="45" t="s">
        <v>1387</v>
      </c>
      <c r="K175" s="46" t="s">
        <v>656</v>
      </c>
      <c r="L175" s="46" t="s">
        <v>1275</v>
      </c>
      <c r="M175" s="81">
        <f>IFERROR(VLOOKUP($L175,[3]Consolidated!$C$9:$AC$452,27,0),0)</f>
        <v>6944980</v>
      </c>
      <c r="N175" s="81">
        <f>IFERROR(VLOOKUP($L175,[3]Consolidated!$C$9:$AC$452,5,0),0)</f>
        <v>36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4">
        <f>(VLOOKUP($O$2,[4]Prices!$E$3:$K$17,2,FALSE)*O175)+(VLOOKUP($P$2,[4]Prices!$J$3:$K$17,2,FALSE)*P175)+(VLOOKUP($Q$2,[4]Prices!$J$3:$K$17,2,FALSE)*Q175)+(VLOOKUP($R$2,[4]Prices!$J$3:$K$17,2,FALSE)*R175)+(VLOOKUP($S$2,[4]Prices!$J$3:$K$17,2,FALSE)*S175)+(VLOOKUP($T$2,[4]Prices!$J$3:$K$17,2,FALSE)*T175)+(VLOOKUP($U$2,[4]Prices!$J$3:$K$17,2,FALSE)*U175)+(VLOOKUP($V$2,[4]Prices!$J$3:$K$17,2,FALSE)*V175)+(VLOOKUP($W$2,[4]Prices!$J$3:$K$17,2,FALSE)*W175)+(VLOOKUP($X$2,[4]Prices!$J$3:$K$17,2,FALSE)*X175)+(VLOOKUP($Y$2,[4]Prices!$J$3:$K$17,2,FALSE)*Y175)+(VLOOKUP($Z$2,[4]Prices!$J$3:$K$17,2,FALSE)*Z175)+(VLOOKUP($AA$2,[4]Prices!$J$3:$K$17,2,FALSE)*AA175)+(VLOOKUP($AB$2,[4]Prices!$J$3:$K$17,2,FALSE)*AB175)+M175</f>
        <v>6944980</v>
      </c>
      <c r="AD175" s="69">
        <v>2209900</v>
      </c>
      <c r="AE175" s="18"/>
      <c r="AF175" s="4">
        <f t="shared" si="8"/>
        <v>2209900</v>
      </c>
      <c r="AG175" s="4"/>
      <c r="AH175" s="16">
        <f t="shared" si="9"/>
        <v>2209900</v>
      </c>
      <c r="AI175" s="21">
        <f t="shared" si="10"/>
        <v>0.31820106033422701</v>
      </c>
      <c r="AJ175" s="20">
        <f t="shared" si="11"/>
        <v>0.31820106033422701</v>
      </c>
      <c r="AK175" s="9"/>
    </row>
    <row r="176" spans="1:37" hidden="1">
      <c r="A176" s="77">
        <v>174</v>
      </c>
      <c r="B176" s="78"/>
      <c r="C176" s="79"/>
      <c r="D176" s="79"/>
      <c r="E176" s="79"/>
      <c r="F176" s="79"/>
      <c r="G176" s="79"/>
      <c r="H176" s="80"/>
      <c r="I176" s="45" t="s">
        <v>925</v>
      </c>
      <c r="J176" s="45" t="s">
        <v>1387</v>
      </c>
      <c r="K176" s="46" t="s">
        <v>656</v>
      </c>
      <c r="L176" s="46" t="s">
        <v>1276</v>
      </c>
      <c r="M176" s="81">
        <f>IFERROR(VLOOKUP($L176,[3]Consolidated!$C$9:$AC$452,27,0),0)</f>
        <v>0</v>
      </c>
      <c r="N176" s="81">
        <f>IFERROR(VLOOKUP($L176,[3]Consolidated!$C$9:$AC$452,5,0),0)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4">
        <f>(VLOOKUP($O$2,[4]Prices!$E$3:$K$17,2,FALSE)*O176)+(VLOOKUP($P$2,[4]Prices!$J$3:$K$17,2,FALSE)*P176)+(VLOOKUP($Q$2,[4]Prices!$J$3:$K$17,2,FALSE)*Q176)+(VLOOKUP($R$2,[4]Prices!$J$3:$K$17,2,FALSE)*R176)+(VLOOKUP($S$2,[4]Prices!$J$3:$K$17,2,FALSE)*S176)+(VLOOKUP($T$2,[4]Prices!$J$3:$K$17,2,FALSE)*T176)+(VLOOKUP($U$2,[4]Prices!$J$3:$K$17,2,FALSE)*U176)+(VLOOKUP($V$2,[4]Prices!$J$3:$K$17,2,FALSE)*V176)+(VLOOKUP($W$2,[4]Prices!$J$3:$K$17,2,FALSE)*W176)+(VLOOKUP($X$2,[4]Prices!$J$3:$K$17,2,FALSE)*X176)+(VLOOKUP($Y$2,[4]Prices!$J$3:$K$17,2,FALSE)*Y176)+(VLOOKUP($Z$2,[4]Prices!$J$3:$K$17,2,FALSE)*Z176)+(VLOOKUP($AA$2,[4]Prices!$J$3:$K$17,2,FALSE)*AA176)+(VLOOKUP($AB$2,[4]Prices!$J$3:$K$17,2,FALSE)*AB176)+M176</f>
        <v>0</v>
      </c>
      <c r="AD176" s="79">
        <v>0</v>
      </c>
      <c r="AE176" s="18"/>
      <c r="AF176" s="4">
        <f t="shared" si="8"/>
        <v>0</v>
      </c>
      <c r="AG176" s="4"/>
      <c r="AH176" s="16">
        <f t="shared" si="9"/>
        <v>0</v>
      </c>
      <c r="AI176" s="21" t="e">
        <f t="shared" si="10"/>
        <v>#DIV/0!</v>
      </c>
      <c r="AJ176" s="20" t="e">
        <f t="shared" si="11"/>
        <v>#DIV/0!</v>
      </c>
      <c r="AK176" s="9"/>
    </row>
    <row r="177" spans="1:37" hidden="1">
      <c r="A177" s="77">
        <v>175</v>
      </c>
      <c r="B177" s="78"/>
      <c r="C177" s="79"/>
      <c r="D177" s="79"/>
      <c r="E177" s="79"/>
      <c r="F177" s="79"/>
      <c r="G177" s="79"/>
      <c r="H177" s="80"/>
      <c r="I177" s="45" t="s">
        <v>926</v>
      </c>
      <c r="J177" s="45" t="s">
        <v>1387</v>
      </c>
      <c r="K177" s="46" t="s">
        <v>656</v>
      </c>
      <c r="L177" s="46" t="s">
        <v>1277</v>
      </c>
      <c r="M177" s="81">
        <f>IFERROR(VLOOKUP($L177,[3]Consolidated!$C$9:$AC$452,27,0),0)</f>
        <v>10446020</v>
      </c>
      <c r="N177" s="81">
        <f>IFERROR(VLOOKUP($L177,[3]Consolidated!$C$9:$AC$452,5,0),0)</f>
        <v>45.000000000000007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4">
        <f>(VLOOKUP($O$2,[4]Prices!$E$3:$K$17,2,FALSE)*O177)+(VLOOKUP($P$2,[4]Prices!$J$3:$K$17,2,FALSE)*P177)+(VLOOKUP($Q$2,[4]Prices!$J$3:$K$17,2,FALSE)*Q177)+(VLOOKUP($R$2,[4]Prices!$J$3:$K$17,2,FALSE)*R177)+(VLOOKUP($S$2,[4]Prices!$J$3:$K$17,2,FALSE)*S177)+(VLOOKUP($T$2,[4]Prices!$J$3:$K$17,2,FALSE)*T177)+(VLOOKUP($U$2,[4]Prices!$J$3:$K$17,2,FALSE)*U177)+(VLOOKUP($V$2,[4]Prices!$J$3:$K$17,2,FALSE)*V177)+(VLOOKUP($W$2,[4]Prices!$J$3:$K$17,2,FALSE)*W177)+(VLOOKUP($X$2,[4]Prices!$J$3:$K$17,2,FALSE)*X177)+(VLOOKUP($Y$2,[4]Prices!$J$3:$K$17,2,FALSE)*Y177)+(VLOOKUP($Z$2,[4]Prices!$J$3:$K$17,2,FALSE)*Z177)+(VLOOKUP($AA$2,[4]Prices!$J$3:$K$17,2,FALSE)*AA177)+(VLOOKUP($AB$2,[4]Prices!$J$3:$K$17,2,FALSE)*AB177)+M177</f>
        <v>10446020</v>
      </c>
      <c r="AD177" s="69">
        <v>1439400</v>
      </c>
      <c r="AE177" s="18"/>
      <c r="AF177" s="4">
        <f t="shared" si="8"/>
        <v>1439400</v>
      </c>
      <c r="AG177" s="4"/>
      <c r="AH177" s="16">
        <f t="shared" si="9"/>
        <v>1439400</v>
      </c>
      <c r="AI177" s="21">
        <f t="shared" si="10"/>
        <v>0.13779410722935626</v>
      </c>
      <c r="AJ177" s="20">
        <f t="shared" si="11"/>
        <v>0.13779410722935626</v>
      </c>
      <c r="AK177" s="19"/>
    </row>
    <row r="178" spans="1:37">
      <c r="A178" s="77">
        <v>176</v>
      </c>
      <c r="B178" s="78"/>
      <c r="C178" s="79"/>
      <c r="D178" s="79"/>
      <c r="E178" s="79"/>
      <c r="F178" s="79"/>
      <c r="G178" s="79"/>
      <c r="H178" s="80"/>
      <c r="I178" s="45" t="s">
        <v>927</v>
      </c>
      <c r="J178" s="45" t="s">
        <v>1387</v>
      </c>
      <c r="K178" s="46" t="s">
        <v>656</v>
      </c>
      <c r="L178" s="47" t="s">
        <v>1278</v>
      </c>
      <c r="M178" s="81">
        <f>IFERROR(VLOOKUP($L178,[3]Consolidated!$C$9:$AC$452,27,0),0)</f>
        <v>3492140</v>
      </c>
      <c r="N178" s="81">
        <f>IFERROR(VLOOKUP($L178,[3]Consolidated!$C$9:$AC$452,5,0),0)</f>
        <v>14.999999999999998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4">
        <f>(VLOOKUP($O$2,[4]Prices!$E$3:$K$17,2,FALSE)*O178)+(VLOOKUP($P$2,[4]Prices!$J$3:$K$17,2,FALSE)*P178)+(VLOOKUP($Q$2,[4]Prices!$J$3:$K$17,2,FALSE)*Q178)+(VLOOKUP($R$2,[4]Prices!$J$3:$K$17,2,FALSE)*R178)+(VLOOKUP($S$2,[4]Prices!$J$3:$K$17,2,FALSE)*S178)+(VLOOKUP($T$2,[4]Prices!$J$3:$K$17,2,FALSE)*T178)+(VLOOKUP($U$2,[4]Prices!$J$3:$K$17,2,FALSE)*U178)+(VLOOKUP($V$2,[4]Prices!$J$3:$K$17,2,FALSE)*V178)+(VLOOKUP($W$2,[4]Prices!$J$3:$K$17,2,FALSE)*W178)+(VLOOKUP($X$2,[4]Prices!$J$3:$K$17,2,FALSE)*X178)+(VLOOKUP($Y$2,[4]Prices!$J$3:$K$17,2,FALSE)*Y178)+(VLOOKUP($Z$2,[4]Prices!$J$3:$K$17,2,FALSE)*Z178)+(VLOOKUP($AA$2,[4]Prices!$J$3:$K$17,2,FALSE)*AA178)+(VLOOKUP($AB$2,[4]Prices!$J$3:$K$17,2,FALSE)*AB178)+M178</f>
        <v>3492140</v>
      </c>
      <c r="AD178" s="69">
        <v>701950</v>
      </c>
      <c r="AE178" s="18"/>
      <c r="AF178" s="4">
        <f t="shared" si="8"/>
        <v>701950</v>
      </c>
      <c r="AG178" s="4">
        <v>1700000</v>
      </c>
      <c r="AH178" s="16">
        <f t="shared" si="9"/>
        <v>2401950</v>
      </c>
      <c r="AI178" s="21">
        <f t="shared" si="10"/>
        <v>0.68781606693889707</v>
      </c>
      <c r="AJ178" s="20">
        <f t="shared" si="11"/>
        <v>0.68781606693889707</v>
      </c>
      <c r="AK178" s="9"/>
    </row>
    <row r="179" spans="1:37" hidden="1">
      <c r="A179" s="77">
        <v>177</v>
      </c>
      <c r="B179" s="78"/>
      <c r="C179" s="79"/>
      <c r="D179" s="79"/>
      <c r="E179" s="79"/>
      <c r="F179" s="79"/>
      <c r="G179" s="79"/>
      <c r="H179" s="80"/>
      <c r="I179" s="45" t="s">
        <v>928</v>
      </c>
      <c r="J179" s="45" t="s">
        <v>1387</v>
      </c>
      <c r="K179" s="46" t="s">
        <v>656</v>
      </c>
      <c r="L179" s="47" t="s">
        <v>1279</v>
      </c>
      <c r="M179" s="81">
        <f>IFERROR(VLOOKUP($L179,[3]Consolidated!$C$9:$AC$452,27,0),0)</f>
        <v>5483420</v>
      </c>
      <c r="N179" s="81">
        <f>IFERROR(VLOOKUP($L179,[3]Consolidated!$C$9:$AC$452,5,0),0)</f>
        <v>25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4">
        <f>(VLOOKUP($O$2,[4]Prices!$E$3:$K$17,2,FALSE)*O179)+(VLOOKUP($P$2,[4]Prices!$J$3:$K$17,2,FALSE)*P179)+(VLOOKUP($Q$2,[4]Prices!$J$3:$K$17,2,FALSE)*Q179)+(VLOOKUP($R$2,[4]Prices!$J$3:$K$17,2,FALSE)*R179)+(VLOOKUP($S$2,[4]Prices!$J$3:$K$17,2,FALSE)*S179)+(VLOOKUP($T$2,[4]Prices!$J$3:$K$17,2,FALSE)*T179)+(VLOOKUP($U$2,[4]Prices!$J$3:$K$17,2,FALSE)*U179)+(VLOOKUP($V$2,[4]Prices!$J$3:$K$17,2,FALSE)*V179)+(VLOOKUP($W$2,[4]Prices!$J$3:$K$17,2,FALSE)*W179)+(VLOOKUP($X$2,[4]Prices!$J$3:$K$17,2,FALSE)*X179)+(VLOOKUP($Y$2,[4]Prices!$J$3:$K$17,2,FALSE)*Y179)+(VLOOKUP($Z$2,[4]Prices!$J$3:$K$17,2,FALSE)*Z179)+(VLOOKUP($AA$2,[4]Prices!$J$3:$K$17,2,FALSE)*AA179)+(VLOOKUP($AB$2,[4]Prices!$J$3:$K$17,2,FALSE)*AB179)+M179</f>
        <v>5483420</v>
      </c>
      <c r="AD179" s="69">
        <v>1659950</v>
      </c>
      <c r="AE179" s="18"/>
      <c r="AF179" s="4">
        <f t="shared" si="8"/>
        <v>1659950</v>
      </c>
      <c r="AG179" s="4"/>
      <c r="AH179" s="16">
        <f t="shared" si="9"/>
        <v>1659950</v>
      </c>
      <c r="AI179" s="21">
        <f t="shared" si="10"/>
        <v>0.3027216591105551</v>
      </c>
      <c r="AJ179" s="20">
        <f t="shared" si="11"/>
        <v>0.3027216591105551</v>
      </c>
      <c r="AK179" s="9"/>
    </row>
    <row r="180" spans="1:37" hidden="1">
      <c r="A180" s="77">
        <v>178</v>
      </c>
      <c r="B180" s="78"/>
      <c r="C180" s="79"/>
      <c r="D180" s="79"/>
      <c r="E180" s="79"/>
      <c r="F180" s="79"/>
      <c r="G180" s="79"/>
      <c r="H180" s="80"/>
      <c r="I180" s="45" t="s">
        <v>929</v>
      </c>
      <c r="J180" s="45" t="s">
        <v>1387</v>
      </c>
      <c r="K180" s="46" t="s">
        <v>656</v>
      </c>
      <c r="L180" s="47" t="s">
        <v>1280</v>
      </c>
      <c r="M180" s="81">
        <f>IFERROR(VLOOKUP($L180,[3]Consolidated!$C$9:$AC$452,27,0),0)</f>
        <v>3983620</v>
      </c>
      <c r="N180" s="81">
        <f>IFERROR(VLOOKUP($L180,[3]Consolidated!$C$9:$AC$452,5,0),0)</f>
        <v>20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4">
        <f>(VLOOKUP($O$2,[4]Prices!$E$3:$K$17,2,FALSE)*O180)+(VLOOKUP($P$2,[4]Prices!$J$3:$K$17,2,FALSE)*P180)+(VLOOKUP($Q$2,[4]Prices!$J$3:$K$17,2,FALSE)*Q180)+(VLOOKUP($R$2,[4]Prices!$J$3:$K$17,2,FALSE)*R180)+(VLOOKUP($S$2,[4]Prices!$J$3:$K$17,2,FALSE)*S180)+(VLOOKUP($T$2,[4]Prices!$J$3:$K$17,2,FALSE)*T180)+(VLOOKUP($U$2,[4]Prices!$J$3:$K$17,2,FALSE)*U180)+(VLOOKUP($V$2,[4]Prices!$J$3:$K$17,2,FALSE)*V180)+(VLOOKUP($W$2,[4]Prices!$J$3:$K$17,2,FALSE)*W180)+(VLOOKUP($X$2,[4]Prices!$J$3:$K$17,2,FALSE)*X180)+(VLOOKUP($Y$2,[4]Prices!$J$3:$K$17,2,FALSE)*Y180)+(VLOOKUP($Z$2,[4]Prices!$J$3:$K$17,2,FALSE)*Z180)+(VLOOKUP($AA$2,[4]Prices!$J$3:$K$17,2,FALSE)*AA180)+(VLOOKUP($AB$2,[4]Prices!$J$3:$K$17,2,FALSE)*AB180)+M180</f>
        <v>3983620</v>
      </c>
      <c r="AD180" s="69">
        <v>1235550</v>
      </c>
      <c r="AE180" s="18"/>
      <c r="AF180" s="4">
        <f t="shared" si="8"/>
        <v>1235550</v>
      </c>
      <c r="AG180" s="4"/>
      <c r="AH180" s="16">
        <f t="shared" si="9"/>
        <v>1235550</v>
      </c>
      <c r="AI180" s="21">
        <f t="shared" si="10"/>
        <v>0.31015759535297044</v>
      </c>
      <c r="AJ180" s="20">
        <f t="shared" si="11"/>
        <v>0.31015759535297044</v>
      </c>
      <c r="AK180" s="9"/>
    </row>
    <row r="181" spans="1:37" hidden="1">
      <c r="A181" s="77">
        <v>179</v>
      </c>
      <c r="B181" s="78"/>
      <c r="C181" s="79"/>
      <c r="D181" s="79"/>
      <c r="E181" s="79"/>
      <c r="F181" s="79"/>
      <c r="G181" s="79"/>
      <c r="H181" s="80"/>
      <c r="I181" s="45" t="s">
        <v>930</v>
      </c>
      <c r="J181" s="45" t="s">
        <v>1387</v>
      </c>
      <c r="K181" s="46" t="s">
        <v>656</v>
      </c>
      <c r="L181" s="47" t="s">
        <v>1281</v>
      </c>
      <c r="M181" s="81">
        <f>IFERROR(VLOOKUP($L181,[3]Consolidated!$C$9:$AC$452,27,0),0)</f>
        <v>10870960</v>
      </c>
      <c r="N181" s="81">
        <f>IFERROR(VLOOKUP($L181,[3]Consolidated!$C$9:$AC$452,5,0),0)</f>
        <v>50.000000000000007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4">
        <f>(VLOOKUP($O$2,[4]Prices!$E$3:$K$17,2,FALSE)*O181)+(VLOOKUP($P$2,[4]Prices!$J$3:$K$17,2,FALSE)*P181)+(VLOOKUP($Q$2,[4]Prices!$J$3:$K$17,2,FALSE)*Q181)+(VLOOKUP($R$2,[4]Prices!$J$3:$K$17,2,FALSE)*R181)+(VLOOKUP($S$2,[4]Prices!$J$3:$K$17,2,FALSE)*S181)+(VLOOKUP($T$2,[4]Prices!$J$3:$K$17,2,FALSE)*T181)+(VLOOKUP($U$2,[4]Prices!$J$3:$K$17,2,FALSE)*U181)+(VLOOKUP($V$2,[4]Prices!$J$3:$K$17,2,FALSE)*V181)+(VLOOKUP($W$2,[4]Prices!$J$3:$K$17,2,FALSE)*W181)+(VLOOKUP($X$2,[4]Prices!$J$3:$K$17,2,FALSE)*X181)+(VLOOKUP($Y$2,[4]Prices!$J$3:$K$17,2,FALSE)*Y181)+(VLOOKUP($Z$2,[4]Prices!$J$3:$K$17,2,FALSE)*Z181)+(VLOOKUP($AA$2,[4]Prices!$J$3:$K$17,2,FALSE)*AA181)+(VLOOKUP($AB$2,[4]Prices!$J$3:$K$17,2,FALSE)*AB181)+M181</f>
        <v>10870960</v>
      </c>
      <c r="AD181" s="69">
        <v>1651400</v>
      </c>
      <c r="AE181" s="18"/>
      <c r="AF181" s="4">
        <f t="shared" si="8"/>
        <v>1651400</v>
      </c>
      <c r="AG181" s="4"/>
      <c r="AH181" s="16">
        <f t="shared" si="9"/>
        <v>1651400</v>
      </c>
      <c r="AI181" s="21">
        <f t="shared" si="10"/>
        <v>0.15190930699772606</v>
      </c>
      <c r="AJ181" s="20">
        <f t="shared" si="11"/>
        <v>0.15190930699772606</v>
      </c>
      <c r="AK181" s="9"/>
    </row>
    <row r="182" spans="1:37" hidden="1">
      <c r="A182" s="77">
        <v>180</v>
      </c>
      <c r="B182" s="78"/>
      <c r="C182" s="79"/>
      <c r="D182" s="79"/>
      <c r="E182" s="79"/>
      <c r="F182" s="79"/>
      <c r="G182" s="79"/>
      <c r="H182" s="80"/>
      <c r="I182" s="45" t="s">
        <v>931</v>
      </c>
      <c r="J182" s="45" t="s">
        <v>1387</v>
      </c>
      <c r="K182" s="46" t="s">
        <v>656</v>
      </c>
      <c r="L182" s="47" t="s">
        <v>1282</v>
      </c>
      <c r="M182" s="81">
        <f>IFERROR(VLOOKUP($L182,[3]Consolidated!$C$9:$AC$452,27,0),0)</f>
        <v>1715140</v>
      </c>
      <c r="N182" s="81">
        <f>IFERROR(VLOOKUP($L182,[3]Consolidated!$C$9:$AC$452,5,0),0)</f>
        <v>9.9999999999999982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4">
        <f>(VLOOKUP($O$2,[4]Prices!$E$3:$K$17,2,FALSE)*O182)+(VLOOKUP($P$2,[4]Prices!$J$3:$K$17,2,FALSE)*P182)+(VLOOKUP($Q$2,[4]Prices!$J$3:$K$17,2,FALSE)*Q182)+(VLOOKUP($R$2,[4]Prices!$J$3:$K$17,2,FALSE)*R182)+(VLOOKUP($S$2,[4]Prices!$J$3:$K$17,2,FALSE)*S182)+(VLOOKUP($T$2,[4]Prices!$J$3:$K$17,2,FALSE)*T182)+(VLOOKUP($U$2,[4]Prices!$J$3:$K$17,2,FALSE)*U182)+(VLOOKUP($V$2,[4]Prices!$J$3:$K$17,2,FALSE)*V182)+(VLOOKUP($W$2,[4]Prices!$J$3:$K$17,2,FALSE)*W182)+(VLOOKUP($X$2,[4]Prices!$J$3:$K$17,2,FALSE)*X182)+(VLOOKUP($Y$2,[4]Prices!$J$3:$K$17,2,FALSE)*Y182)+(VLOOKUP($Z$2,[4]Prices!$J$3:$K$17,2,FALSE)*Z182)+(VLOOKUP($AA$2,[4]Prices!$J$3:$K$17,2,FALSE)*AA182)+(VLOOKUP($AB$2,[4]Prices!$J$3:$K$17,2,FALSE)*AB182)+M182</f>
        <v>1715140</v>
      </c>
      <c r="AD182" s="79">
        <v>0</v>
      </c>
      <c r="AE182" s="18"/>
      <c r="AF182" s="4">
        <f t="shared" si="8"/>
        <v>0</v>
      </c>
      <c r="AG182" s="4"/>
      <c r="AH182" s="16">
        <f t="shared" si="9"/>
        <v>0</v>
      </c>
      <c r="AI182" s="21">
        <f t="shared" si="10"/>
        <v>0</v>
      </c>
      <c r="AJ182" s="20">
        <f t="shared" si="11"/>
        <v>0</v>
      </c>
      <c r="AK182" s="9"/>
    </row>
    <row r="183" spans="1:37" hidden="1">
      <c r="A183" s="77">
        <v>181</v>
      </c>
      <c r="B183" s="78"/>
      <c r="C183" s="79"/>
      <c r="D183" s="79"/>
      <c r="E183" s="79"/>
      <c r="F183" s="79"/>
      <c r="G183" s="79"/>
      <c r="H183" s="80"/>
      <c r="I183" s="45" t="s">
        <v>932</v>
      </c>
      <c r="J183" s="45" t="s">
        <v>1387</v>
      </c>
      <c r="K183" s="46" t="s">
        <v>656</v>
      </c>
      <c r="L183" s="47" t="s">
        <v>1283</v>
      </c>
      <c r="M183" s="81">
        <f>IFERROR(VLOOKUP($L183,[3]Consolidated!$C$9:$AC$452,27,0),0)</f>
        <v>0</v>
      </c>
      <c r="N183" s="81">
        <f>IFERROR(VLOOKUP($L183,[3]Consolidated!$C$9:$AC$452,5,0),0)</f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4">
        <f>(VLOOKUP($O$2,[4]Prices!$E$3:$K$17,2,FALSE)*O183)+(VLOOKUP($P$2,[4]Prices!$J$3:$K$17,2,FALSE)*P183)+(VLOOKUP($Q$2,[4]Prices!$J$3:$K$17,2,FALSE)*Q183)+(VLOOKUP($R$2,[4]Prices!$J$3:$K$17,2,FALSE)*R183)+(VLOOKUP($S$2,[4]Prices!$J$3:$K$17,2,FALSE)*S183)+(VLOOKUP($T$2,[4]Prices!$J$3:$K$17,2,FALSE)*T183)+(VLOOKUP($U$2,[4]Prices!$J$3:$K$17,2,FALSE)*U183)+(VLOOKUP($V$2,[4]Prices!$J$3:$K$17,2,FALSE)*V183)+(VLOOKUP($W$2,[4]Prices!$J$3:$K$17,2,FALSE)*W183)+(VLOOKUP($X$2,[4]Prices!$J$3:$K$17,2,FALSE)*X183)+(VLOOKUP($Y$2,[4]Prices!$J$3:$K$17,2,FALSE)*Y183)+(VLOOKUP($Z$2,[4]Prices!$J$3:$K$17,2,FALSE)*Z183)+(VLOOKUP($AA$2,[4]Prices!$J$3:$K$17,2,FALSE)*AA183)+(VLOOKUP($AB$2,[4]Prices!$J$3:$K$17,2,FALSE)*AB183)+M183</f>
        <v>0</v>
      </c>
      <c r="AD183" s="79">
        <v>0</v>
      </c>
      <c r="AE183" s="18"/>
      <c r="AF183" s="4">
        <f t="shared" si="8"/>
        <v>0</v>
      </c>
      <c r="AG183" s="4"/>
      <c r="AH183" s="16">
        <f t="shared" si="9"/>
        <v>0</v>
      </c>
      <c r="AI183" s="21" t="e">
        <f t="shared" si="10"/>
        <v>#DIV/0!</v>
      </c>
      <c r="AJ183" s="20" t="e">
        <f t="shared" si="11"/>
        <v>#DIV/0!</v>
      </c>
      <c r="AK183" s="9"/>
    </row>
    <row r="184" spans="1:37" hidden="1">
      <c r="A184" s="77">
        <v>182</v>
      </c>
      <c r="B184" s="78"/>
      <c r="C184" s="79"/>
      <c r="D184" s="79"/>
      <c r="E184" s="79"/>
      <c r="F184" s="79"/>
      <c r="G184" s="79"/>
      <c r="H184" s="80"/>
      <c r="I184" s="45" t="s">
        <v>933</v>
      </c>
      <c r="J184" s="45" t="s">
        <v>1387</v>
      </c>
      <c r="K184" s="46" t="s">
        <v>656</v>
      </c>
      <c r="L184" s="47" t="s">
        <v>1284</v>
      </c>
      <c r="M184" s="81">
        <f>IFERROR(VLOOKUP($L184,[3]Consolidated!$C$9:$AC$452,27,0),0)</f>
        <v>0</v>
      </c>
      <c r="N184" s="81">
        <f>IFERROR(VLOOKUP($L184,[3]Consolidated!$C$9:$AC$452,5,0),0)</f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4">
        <f>(VLOOKUP($O$2,[4]Prices!$E$3:$K$17,2,FALSE)*O184)+(VLOOKUP($P$2,[4]Prices!$J$3:$K$17,2,FALSE)*P184)+(VLOOKUP($Q$2,[4]Prices!$J$3:$K$17,2,FALSE)*Q184)+(VLOOKUP($R$2,[4]Prices!$J$3:$K$17,2,FALSE)*R184)+(VLOOKUP($S$2,[4]Prices!$J$3:$K$17,2,FALSE)*S184)+(VLOOKUP($T$2,[4]Prices!$J$3:$K$17,2,FALSE)*T184)+(VLOOKUP($U$2,[4]Prices!$J$3:$K$17,2,FALSE)*U184)+(VLOOKUP($V$2,[4]Prices!$J$3:$K$17,2,FALSE)*V184)+(VLOOKUP($W$2,[4]Prices!$J$3:$K$17,2,FALSE)*W184)+(VLOOKUP($X$2,[4]Prices!$J$3:$K$17,2,FALSE)*X184)+(VLOOKUP($Y$2,[4]Prices!$J$3:$K$17,2,FALSE)*Y184)+(VLOOKUP($Z$2,[4]Prices!$J$3:$K$17,2,FALSE)*Z184)+(VLOOKUP($AA$2,[4]Prices!$J$3:$K$17,2,FALSE)*AA184)+(VLOOKUP($AB$2,[4]Prices!$J$3:$K$17,2,FALSE)*AB184)+M184</f>
        <v>0</v>
      </c>
      <c r="AD184" s="79">
        <v>0</v>
      </c>
      <c r="AE184" s="18"/>
      <c r="AF184" s="4">
        <f t="shared" si="8"/>
        <v>0</v>
      </c>
      <c r="AG184" s="4"/>
      <c r="AH184" s="16">
        <f t="shared" si="9"/>
        <v>0</v>
      </c>
      <c r="AI184" s="21" t="e">
        <f t="shared" si="10"/>
        <v>#DIV/0!</v>
      </c>
      <c r="AJ184" s="20" t="e">
        <f t="shared" si="11"/>
        <v>#DIV/0!</v>
      </c>
      <c r="AK184" s="9"/>
    </row>
    <row r="185" spans="1:37" hidden="1">
      <c r="A185" s="77">
        <v>183</v>
      </c>
      <c r="B185" s="78"/>
      <c r="C185" s="79"/>
      <c r="D185" s="79"/>
      <c r="E185" s="79"/>
      <c r="F185" s="79"/>
      <c r="G185" s="79"/>
      <c r="H185" s="80"/>
      <c r="I185" s="45" t="s">
        <v>934</v>
      </c>
      <c r="J185" s="45" t="s">
        <v>1387</v>
      </c>
      <c r="K185" s="46" t="s">
        <v>656</v>
      </c>
      <c r="L185" s="47" t="s">
        <v>1285</v>
      </c>
      <c r="M185" s="81">
        <f>IFERROR(VLOOKUP($L185,[3]Consolidated!$C$9:$AC$452,27,0),0)</f>
        <v>3957000</v>
      </c>
      <c r="N185" s="81">
        <f>IFERROR(VLOOKUP($L185,[3]Consolidated!$C$9:$AC$452,5,0),0)</f>
        <v>20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4">
        <f>(VLOOKUP($O$2,[4]Prices!$E$3:$K$17,2,FALSE)*O185)+(VLOOKUP($P$2,[4]Prices!$J$3:$K$17,2,FALSE)*P185)+(VLOOKUP($Q$2,[4]Prices!$J$3:$K$17,2,FALSE)*Q185)+(VLOOKUP($R$2,[4]Prices!$J$3:$K$17,2,FALSE)*R185)+(VLOOKUP($S$2,[4]Prices!$J$3:$K$17,2,FALSE)*S185)+(VLOOKUP($T$2,[4]Prices!$J$3:$K$17,2,FALSE)*T185)+(VLOOKUP($U$2,[4]Prices!$J$3:$K$17,2,FALSE)*U185)+(VLOOKUP($V$2,[4]Prices!$J$3:$K$17,2,FALSE)*V185)+(VLOOKUP($W$2,[4]Prices!$J$3:$K$17,2,FALSE)*W185)+(VLOOKUP($X$2,[4]Prices!$J$3:$K$17,2,FALSE)*X185)+(VLOOKUP($Y$2,[4]Prices!$J$3:$K$17,2,FALSE)*Y185)+(VLOOKUP($Z$2,[4]Prices!$J$3:$K$17,2,FALSE)*Z185)+(VLOOKUP($AA$2,[4]Prices!$J$3:$K$17,2,FALSE)*AA185)+(VLOOKUP($AB$2,[4]Prices!$J$3:$K$17,2,FALSE)*AB185)+M185</f>
        <v>3957000</v>
      </c>
      <c r="AD185" s="79">
        <v>0</v>
      </c>
      <c r="AE185" s="18"/>
      <c r="AF185" s="4">
        <f t="shared" si="8"/>
        <v>0</v>
      </c>
      <c r="AG185" s="4"/>
      <c r="AH185" s="16">
        <f t="shared" si="9"/>
        <v>0</v>
      </c>
      <c r="AI185" s="21">
        <f t="shared" si="10"/>
        <v>0</v>
      </c>
      <c r="AJ185" s="20">
        <f t="shared" si="11"/>
        <v>0</v>
      </c>
      <c r="AK185" s="9"/>
    </row>
    <row r="186" spans="1:37" hidden="1">
      <c r="A186" s="77">
        <v>184</v>
      </c>
      <c r="B186" s="78"/>
      <c r="C186" s="79"/>
      <c r="D186" s="79"/>
      <c r="E186" s="79"/>
      <c r="F186" s="79"/>
      <c r="G186" s="79"/>
      <c r="H186" s="80"/>
      <c r="I186" s="45" t="s">
        <v>935</v>
      </c>
      <c r="J186" s="45" t="s">
        <v>1387</v>
      </c>
      <c r="K186" s="46" t="s">
        <v>656</v>
      </c>
      <c r="L186" s="47" t="s">
        <v>1286</v>
      </c>
      <c r="M186" s="81">
        <f>IFERROR(VLOOKUP($L186,[3]Consolidated!$C$9:$AC$452,27,0),0)</f>
        <v>2751940</v>
      </c>
      <c r="N186" s="81">
        <f>IFERROR(VLOOKUP($L186,[3]Consolidated!$C$9:$AC$452,5,0),0)</f>
        <v>11.999999999999998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4">
        <f>(VLOOKUP($O$2,[4]Prices!$E$3:$K$17,2,FALSE)*O186)+(VLOOKUP($P$2,[4]Prices!$J$3:$K$17,2,FALSE)*P186)+(VLOOKUP($Q$2,[4]Prices!$J$3:$K$17,2,FALSE)*Q186)+(VLOOKUP($R$2,[4]Prices!$J$3:$K$17,2,FALSE)*R186)+(VLOOKUP($S$2,[4]Prices!$J$3:$K$17,2,FALSE)*S186)+(VLOOKUP($T$2,[4]Prices!$J$3:$K$17,2,FALSE)*T186)+(VLOOKUP($U$2,[4]Prices!$J$3:$K$17,2,FALSE)*U186)+(VLOOKUP($V$2,[4]Prices!$J$3:$K$17,2,FALSE)*V186)+(VLOOKUP($W$2,[4]Prices!$J$3:$K$17,2,FALSE)*W186)+(VLOOKUP($X$2,[4]Prices!$J$3:$K$17,2,FALSE)*X186)+(VLOOKUP($Y$2,[4]Prices!$J$3:$K$17,2,FALSE)*Y186)+(VLOOKUP($Z$2,[4]Prices!$J$3:$K$17,2,FALSE)*Z186)+(VLOOKUP($AA$2,[4]Prices!$J$3:$K$17,2,FALSE)*AA186)+(VLOOKUP($AB$2,[4]Prices!$J$3:$K$17,2,FALSE)*AB186)+M186</f>
        <v>2751940</v>
      </c>
      <c r="AD186" s="69">
        <v>645400</v>
      </c>
      <c r="AE186" s="18"/>
      <c r="AF186" s="4">
        <f t="shared" si="8"/>
        <v>645400</v>
      </c>
      <c r="AG186" s="4"/>
      <c r="AH186" s="16">
        <f t="shared" si="9"/>
        <v>645400</v>
      </c>
      <c r="AI186" s="21">
        <f t="shared" si="10"/>
        <v>0.23452546203768979</v>
      </c>
      <c r="AJ186" s="20">
        <f t="shared" si="11"/>
        <v>0.23452546203768979</v>
      </c>
      <c r="AK186" s="19"/>
    </row>
    <row r="187" spans="1:37" hidden="1">
      <c r="A187" s="77">
        <v>185</v>
      </c>
      <c r="B187" s="78"/>
      <c r="C187" s="79"/>
      <c r="D187" s="79"/>
      <c r="E187" s="79"/>
      <c r="F187" s="79"/>
      <c r="G187" s="79"/>
      <c r="H187" s="80"/>
      <c r="I187" s="45" t="s">
        <v>936</v>
      </c>
      <c r="J187" s="45" t="s">
        <v>1387</v>
      </c>
      <c r="K187" s="46" t="s">
        <v>656</v>
      </c>
      <c r="L187" s="47" t="s">
        <v>1287</v>
      </c>
      <c r="M187" s="81">
        <f>IFERROR(VLOOKUP($L187,[3]Consolidated!$C$9:$AC$452,27,0),0)</f>
        <v>0</v>
      </c>
      <c r="N187" s="81">
        <f>IFERROR(VLOOKUP($L187,[3]Consolidated!$C$9:$AC$452,5,0),0)</f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4">
        <f>(VLOOKUP($O$2,[4]Prices!$E$3:$K$17,2,FALSE)*O187)+(VLOOKUP($P$2,[4]Prices!$J$3:$K$17,2,FALSE)*P187)+(VLOOKUP($Q$2,[4]Prices!$J$3:$K$17,2,FALSE)*Q187)+(VLOOKUP($R$2,[4]Prices!$J$3:$K$17,2,FALSE)*R187)+(VLOOKUP($S$2,[4]Prices!$J$3:$K$17,2,FALSE)*S187)+(VLOOKUP($T$2,[4]Prices!$J$3:$K$17,2,FALSE)*T187)+(VLOOKUP($U$2,[4]Prices!$J$3:$K$17,2,FALSE)*U187)+(VLOOKUP($V$2,[4]Prices!$J$3:$K$17,2,FALSE)*V187)+(VLOOKUP($W$2,[4]Prices!$J$3:$K$17,2,FALSE)*W187)+(VLOOKUP($X$2,[4]Prices!$J$3:$K$17,2,FALSE)*X187)+(VLOOKUP($Y$2,[4]Prices!$J$3:$K$17,2,FALSE)*Y187)+(VLOOKUP($Z$2,[4]Prices!$J$3:$K$17,2,FALSE)*Z187)+(VLOOKUP($AA$2,[4]Prices!$J$3:$K$17,2,FALSE)*AA187)+(VLOOKUP($AB$2,[4]Prices!$J$3:$K$17,2,FALSE)*AB187)+M187</f>
        <v>0</v>
      </c>
      <c r="AD187" s="79">
        <v>0</v>
      </c>
      <c r="AE187" s="18"/>
      <c r="AF187" s="4">
        <f t="shared" si="8"/>
        <v>0</v>
      </c>
      <c r="AG187" s="4"/>
      <c r="AH187" s="16">
        <f t="shared" si="9"/>
        <v>0</v>
      </c>
      <c r="AI187" s="21" t="e">
        <f t="shared" si="10"/>
        <v>#DIV/0!</v>
      </c>
      <c r="AJ187" s="20" t="e">
        <f t="shared" si="11"/>
        <v>#DIV/0!</v>
      </c>
      <c r="AK187" s="9"/>
    </row>
    <row r="188" spans="1:37" hidden="1">
      <c r="A188" s="77">
        <v>186</v>
      </c>
      <c r="B188" s="78"/>
      <c r="C188" s="79"/>
      <c r="D188" s="79"/>
      <c r="E188" s="79"/>
      <c r="F188" s="79"/>
      <c r="G188" s="79"/>
      <c r="H188" s="80"/>
      <c r="I188" s="45" t="s">
        <v>937</v>
      </c>
      <c r="J188" s="45" t="s">
        <v>1387</v>
      </c>
      <c r="K188" s="46" t="s">
        <v>656</v>
      </c>
      <c r="L188" s="47" t="s">
        <v>1288</v>
      </c>
      <c r="M188" s="81">
        <f>IFERROR(VLOOKUP($L188,[3]Consolidated!$C$9:$AC$452,27,0),0)</f>
        <v>9138520</v>
      </c>
      <c r="N188" s="81">
        <f>IFERROR(VLOOKUP($L188,[3]Consolidated!$C$9:$AC$452,5,0),0)</f>
        <v>40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4">
        <f>(VLOOKUP($O$2,[4]Prices!$E$3:$K$17,2,FALSE)*O188)+(VLOOKUP($P$2,[4]Prices!$J$3:$K$17,2,FALSE)*P188)+(VLOOKUP($Q$2,[4]Prices!$J$3:$K$17,2,FALSE)*Q188)+(VLOOKUP($R$2,[4]Prices!$J$3:$K$17,2,FALSE)*R188)+(VLOOKUP($S$2,[4]Prices!$J$3:$K$17,2,FALSE)*S188)+(VLOOKUP($T$2,[4]Prices!$J$3:$K$17,2,FALSE)*T188)+(VLOOKUP($U$2,[4]Prices!$J$3:$K$17,2,FALSE)*U188)+(VLOOKUP($V$2,[4]Prices!$J$3:$K$17,2,FALSE)*V188)+(VLOOKUP($W$2,[4]Prices!$J$3:$K$17,2,FALSE)*W188)+(VLOOKUP($X$2,[4]Prices!$J$3:$K$17,2,FALSE)*X188)+(VLOOKUP($Y$2,[4]Prices!$J$3:$K$17,2,FALSE)*Y188)+(VLOOKUP($Z$2,[4]Prices!$J$3:$K$17,2,FALSE)*Z188)+(VLOOKUP($AA$2,[4]Prices!$J$3:$K$17,2,FALSE)*AA188)+(VLOOKUP($AB$2,[4]Prices!$J$3:$K$17,2,FALSE)*AB188)+M188</f>
        <v>9138520</v>
      </c>
      <c r="AD188" s="69">
        <v>2801500</v>
      </c>
      <c r="AE188" s="18"/>
      <c r="AF188" s="4">
        <f t="shared" si="8"/>
        <v>2801500</v>
      </c>
      <c r="AG188" s="4"/>
      <c r="AH188" s="16">
        <f t="shared" si="9"/>
        <v>2801500</v>
      </c>
      <c r="AI188" s="21">
        <f t="shared" si="10"/>
        <v>0.30655948665648269</v>
      </c>
      <c r="AJ188" s="20">
        <f t="shared" si="11"/>
        <v>0.30655948665648269</v>
      </c>
      <c r="AK188" s="9"/>
    </row>
    <row r="189" spans="1:37" hidden="1">
      <c r="A189" s="77">
        <v>187</v>
      </c>
      <c r="B189" s="78"/>
      <c r="C189" s="79"/>
      <c r="D189" s="79"/>
      <c r="E189" s="79"/>
      <c r="F189" s="79"/>
      <c r="G189" s="79"/>
      <c r="H189" s="80"/>
      <c r="I189" s="45" t="s">
        <v>938</v>
      </c>
      <c r="J189" s="45" t="s">
        <v>1387</v>
      </c>
      <c r="K189" s="46" t="s">
        <v>656</v>
      </c>
      <c r="L189" s="47" t="s">
        <v>1289</v>
      </c>
      <c r="M189" s="81">
        <f>IFERROR(VLOOKUP($L189,[3]Consolidated!$C$9:$AC$452,27,0),0)</f>
        <v>8092975</v>
      </c>
      <c r="N189" s="81">
        <f>IFERROR(VLOOKUP($L189,[3]Consolidated!$C$9:$AC$452,5,0),0)</f>
        <v>35.950000000000003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4">
        <f>(VLOOKUP($O$2,[4]Prices!$E$3:$K$17,2,FALSE)*O189)+(VLOOKUP($P$2,[4]Prices!$J$3:$K$17,2,FALSE)*P189)+(VLOOKUP($Q$2,[4]Prices!$J$3:$K$17,2,FALSE)*Q189)+(VLOOKUP($R$2,[4]Prices!$J$3:$K$17,2,FALSE)*R189)+(VLOOKUP($S$2,[4]Prices!$J$3:$K$17,2,FALSE)*S189)+(VLOOKUP($T$2,[4]Prices!$J$3:$K$17,2,FALSE)*T189)+(VLOOKUP($U$2,[4]Prices!$J$3:$K$17,2,FALSE)*U189)+(VLOOKUP($V$2,[4]Prices!$J$3:$K$17,2,FALSE)*V189)+(VLOOKUP($W$2,[4]Prices!$J$3:$K$17,2,FALSE)*W189)+(VLOOKUP($X$2,[4]Prices!$J$3:$K$17,2,FALSE)*X189)+(VLOOKUP($Y$2,[4]Prices!$J$3:$K$17,2,FALSE)*Y189)+(VLOOKUP($Z$2,[4]Prices!$J$3:$K$17,2,FALSE)*Z189)+(VLOOKUP($AA$2,[4]Prices!$J$3:$K$17,2,FALSE)*AA189)+(VLOOKUP($AB$2,[4]Prices!$J$3:$K$17,2,FALSE)*AB189)+M189</f>
        <v>8092975</v>
      </c>
      <c r="AD189" s="69">
        <v>1283250</v>
      </c>
      <c r="AE189" s="18"/>
      <c r="AF189" s="4">
        <f t="shared" si="8"/>
        <v>1283250</v>
      </c>
      <c r="AG189" s="4"/>
      <c r="AH189" s="16">
        <f t="shared" si="9"/>
        <v>1283250</v>
      </c>
      <c r="AI189" s="21">
        <f t="shared" si="10"/>
        <v>0.15856344545732565</v>
      </c>
      <c r="AJ189" s="20">
        <f t="shared" si="11"/>
        <v>0.15856344545732565</v>
      </c>
      <c r="AK189" s="9"/>
    </row>
    <row r="190" spans="1:37" hidden="1">
      <c r="A190" s="77">
        <v>188</v>
      </c>
      <c r="B190" s="78"/>
      <c r="C190" s="79"/>
      <c r="D190" s="79"/>
      <c r="E190" s="79"/>
      <c r="F190" s="79"/>
      <c r="G190" s="79"/>
      <c r="H190" s="80"/>
      <c r="I190" s="45" t="s">
        <v>939</v>
      </c>
      <c r="J190" s="45" t="s">
        <v>1387</v>
      </c>
      <c r="K190" s="46" t="s">
        <v>656</v>
      </c>
      <c r="L190" s="47" t="s">
        <v>1290</v>
      </c>
      <c r="M190" s="81">
        <f>IFERROR(VLOOKUP($L190,[3]Consolidated!$C$9:$AC$452,27,0),0)</f>
        <v>3985100</v>
      </c>
      <c r="N190" s="81">
        <f>IFERROR(VLOOKUP($L190,[3]Consolidated!$C$9:$AC$452,5,0),0)</f>
        <v>26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4">
        <f>(VLOOKUP($O$2,[4]Prices!$E$3:$K$17,2,FALSE)*O190)+(VLOOKUP($P$2,[4]Prices!$J$3:$K$17,2,FALSE)*P190)+(VLOOKUP($Q$2,[4]Prices!$J$3:$K$17,2,FALSE)*Q190)+(VLOOKUP($R$2,[4]Prices!$J$3:$K$17,2,FALSE)*R190)+(VLOOKUP($S$2,[4]Prices!$J$3:$K$17,2,FALSE)*S190)+(VLOOKUP($T$2,[4]Prices!$J$3:$K$17,2,FALSE)*T190)+(VLOOKUP($U$2,[4]Prices!$J$3:$K$17,2,FALSE)*U190)+(VLOOKUP($V$2,[4]Prices!$J$3:$K$17,2,FALSE)*V190)+(VLOOKUP($W$2,[4]Prices!$J$3:$K$17,2,FALSE)*W190)+(VLOOKUP($X$2,[4]Prices!$J$3:$K$17,2,FALSE)*X190)+(VLOOKUP($Y$2,[4]Prices!$J$3:$K$17,2,FALSE)*Y190)+(VLOOKUP($Z$2,[4]Prices!$J$3:$K$17,2,FALSE)*Z190)+(VLOOKUP($AA$2,[4]Prices!$J$3:$K$17,2,FALSE)*AA190)+(VLOOKUP($AB$2,[4]Prices!$J$3:$K$17,2,FALSE)*AB190)+M190</f>
        <v>3985100</v>
      </c>
      <c r="AD190" s="69">
        <v>1332350</v>
      </c>
      <c r="AE190" s="18"/>
      <c r="AF190" s="4">
        <f t="shared" si="8"/>
        <v>1332350</v>
      </c>
      <c r="AG190" s="4"/>
      <c r="AH190" s="16">
        <f t="shared" si="9"/>
        <v>1332350</v>
      </c>
      <c r="AI190" s="21">
        <f t="shared" si="10"/>
        <v>0.33433289001530703</v>
      </c>
      <c r="AJ190" s="20">
        <f t="shared" si="11"/>
        <v>0.33433289001530703</v>
      </c>
      <c r="AK190" s="9"/>
    </row>
    <row r="191" spans="1:37" hidden="1">
      <c r="A191" s="77">
        <v>189</v>
      </c>
      <c r="B191" s="78"/>
      <c r="C191" s="79"/>
      <c r="D191" s="79"/>
      <c r="E191" s="79"/>
      <c r="F191" s="79"/>
      <c r="G191" s="79"/>
      <c r="H191" s="80"/>
      <c r="I191" s="45" t="s">
        <v>940</v>
      </c>
      <c r="J191" s="45" t="s">
        <v>1387</v>
      </c>
      <c r="K191" s="46" t="s">
        <v>657</v>
      </c>
      <c r="L191" s="47" t="s">
        <v>1291</v>
      </c>
      <c r="M191" s="81">
        <f>IFERROR(VLOOKUP($L191,[3]Consolidated!$C$9:$AC$452,27,0),0)</f>
        <v>19668000</v>
      </c>
      <c r="N191" s="81">
        <f>IFERROR(VLOOKUP($L191,[3]Consolidated!$C$9:$AC$452,5,0),0)</f>
        <v>80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4">
        <f>(VLOOKUP($O$2,[4]Prices!$E$3:$K$17,2,FALSE)*O191)+(VLOOKUP($P$2,[4]Prices!$J$3:$K$17,2,FALSE)*P191)+(VLOOKUP($Q$2,[4]Prices!$J$3:$K$17,2,FALSE)*Q191)+(VLOOKUP($R$2,[4]Prices!$J$3:$K$17,2,FALSE)*R191)+(VLOOKUP($S$2,[4]Prices!$J$3:$K$17,2,FALSE)*S191)+(VLOOKUP($T$2,[4]Prices!$J$3:$K$17,2,FALSE)*T191)+(VLOOKUP($U$2,[4]Prices!$J$3:$K$17,2,FALSE)*U191)+(VLOOKUP($V$2,[4]Prices!$J$3:$K$17,2,FALSE)*V191)+(VLOOKUP($W$2,[4]Prices!$J$3:$K$17,2,FALSE)*W191)+(VLOOKUP($X$2,[4]Prices!$J$3:$K$17,2,FALSE)*X191)+(VLOOKUP($Y$2,[4]Prices!$J$3:$K$17,2,FALSE)*Y191)+(VLOOKUP($Z$2,[4]Prices!$J$3:$K$17,2,FALSE)*Z191)+(VLOOKUP($AA$2,[4]Prices!$J$3:$K$17,2,FALSE)*AA191)+(VLOOKUP($AB$2,[4]Prices!$J$3:$K$17,2,FALSE)*AB191)+M191</f>
        <v>19668000</v>
      </c>
      <c r="AD191" s="69">
        <v>2412500</v>
      </c>
      <c r="AE191" s="18"/>
      <c r="AF191" s="4">
        <f t="shared" si="8"/>
        <v>2412500</v>
      </c>
      <c r="AG191" s="4"/>
      <c r="AH191" s="16">
        <f t="shared" si="9"/>
        <v>2412500</v>
      </c>
      <c r="AI191" s="21">
        <f t="shared" si="10"/>
        <v>0.12266117551352451</v>
      </c>
      <c r="AJ191" s="20">
        <f t="shared" si="11"/>
        <v>0.12266117551352451</v>
      </c>
      <c r="AK191" s="9"/>
    </row>
    <row r="192" spans="1:37" hidden="1">
      <c r="A192" s="77">
        <v>190</v>
      </c>
      <c r="B192" s="78"/>
      <c r="C192" s="79"/>
      <c r="D192" s="79"/>
      <c r="E192" s="79"/>
      <c r="F192" s="79"/>
      <c r="G192" s="79"/>
      <c r="H192" s="80"/>
      <c r="I192" s="45" t="s">
        <v>941</v>
      </c>
      <c r="J192" s="45" t="s">
        <v>1387</v>
      </c>
      <c r="K192" s="46" t="s">
        <v>657</v>
      </c>
      <c r="L192" s="47" t="s">
        <v>1292</v>
      </c>
      <c r="M192" s="81">
        <f>IFERROR(VLOOKUP($L192,[3]Consolidated!$C$9:$AC$452,27,0),0)</f>
        <v>8716500</v>
      </c>
      <c r="N192" s="81">
        <f>IFERROR(VLOOKUP($L192,[3]Consolidated!$C$9:$AC$452,5,0),0)</f>
        <v>35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4">
        <f>(VLOOKUP($O$2,[4]Prices!$E$3:$K$17,2,FALSE)*O192)+(VLOOKUP($P$2,[4]Prices!$J$3:$K$17,2,FALSE)*P192)+(VLOOKUP($Q$2,[4]Prices!$J$3:$K$17,2,FALSE)*Q192)+(VLOOKUP($R$2,[4]Prices!$J$3:$K$17,2,FALSE)*R192)+(VLOOKUP($S$2,[4]Prices!$J$3:$K$17,2,FALSE)*S192)+(VLOOKUP($T$2,[4]Prices!$J$3:$K$17,2,FALSE)*T192)+(VLOOKUP($U$2,[4]Prices!$J$3:$K$17,2,FALSE)*U192)+(VLOOKUP($V$2,[4]Prices!$J$3:$K$17,2,FALSE)*V192)+(VLOOKUP($W$2,[4]Prices!$J$3:$K$17,2,FALSE)*W192)+(VLOOKUP($X$2,[4]Prices!$J$3:$K$17,2,FALSE)*X192)+(VLOOKUP($Y$2,[4]Prices!$J$3:$K$17,2,FALSE)*Y192)+(VLOOKUP($Z$2,[4]Prices!$J$3:$K$17,2,FALSE)*Z192)+(VLOOKUP($AA$2,[4]Prices!$J$3:$K$17,2,FALSE)*AA192)+(VLOOKUP($AB$2,[4]Prices!$J$3:$K$17,2,FALSE)*AB192)+M192</f>
        <v>8716500</v>
      </c>
      <c r="AD192" s="69">
        <v>1294500</v>
      </c>
      <c r="AE192" s="18"/>
      <c r="AF192" s="4">
        <f t="shared" si="8"/>
        <v>1294500</v>
      </c>
      <c r="AG192" s="4"/>
      <c r="AH192" s="16">
        <f t="shared" si="9"/>
        <v>1294500</v>
      </c>
      <c r="AI192" s="21">
        <f t="shared" si="10"/>
        <v>0.14851144381345724</v>
      </c>
      <c r="AJ192" s="20">
        <f t="shared" si="11"/>
        <v>0.14851144381345724</v>
      </c>
      <c r="AK192" s="9"/>
    </row>
    <row r="193" spans="1:37" hidden="1">
      <c r="A193" s="77">
        <v>191</v>
      </c>
      <c r="B193" s="78"/>
      <c r="C193" s="79"/>
      <c r="D193" s="79"/>
      <c r="E193" s="79"/>
      <c r="F193" s="79"/>
      <c r="G193" s="79"/>
      <c r="H193" s="80"/>
      <c r="I193" s="45" t="s">
        <v>942</v>
      </c>
      <c r="J193" s="45" t="s">
        <v>1387</v>
      </c>
      <c r="K193" s="46" t="s">
        <v>657</v>
      </c>
      <c r="L193" s="47" t="s">
        <v>1293</v>
      </c>
      <c r="M193" s="81">
        <f>IFERROR(VLOOKUP($L193,[3]Consolidated!$C$9:$AC$452,27,0),0)</f>
        <v>3626500</v>
      </c>
      <c r="N193" s="81">
        <f>IFERROR(VLOOKUP($L193,[3]Consolidated!$C$9:$AC$452,5,0),0)</f>
        <v>15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4">
        <f>(VLOOKUP($O$2,[4]Prices!$E$3:$K$17,2,FALSE)*O193)+(VLOOKUP($P$2,[4]Prices!$J$3:$K$17,2,FALSE)*P193)+(VLOOKUP($Q$2,[4]Prices!$J$3:$K$17,2,FALSE)*Q193)+(VLOOKUP($R$2,[4]Prices!$J$3:$K$17,2,FALSE)*R193)+(VLOOKUP($S$2,[4]Prices!$J$3:$K$17,2,FALSE)*S193)+(VLOOKUP($T$2,[4]Prices!$J$3:$K$17,2,FALSE)*T193)+(VLOOKUP($U$2,[4]Prices!$J$3:$K$17,2,FALSE)*U193)+(VLOOKUP($V$2,[4]Prices!$J$3:$K$17,2,FALSE)*V193)+(VLOOKUP($W$2,[4]Prices!$J$3:$K$17,2,FALSE)*W193)+(VLOOKUP($X$2,[4]Prices!$J$3:$K$17,2,FALSE)*X193)+(VLOOKUP($Y$2,[4]Prices!$J$3:$K$17,2,FALSE)*Y193)+(VLOOKUP($Z$2,[4]Prices!$J$3:$K$17,2,FALSE)*Z193)+(VLOOKUP($AA$2,[4]Prices!$J$3:$K$17,2,FALSE)*AA193)+(VLOOKUP($AB$2,[4]Prices!$J$3:$K$17,2,FALSE)*AB193)+M193</f>
        <v>3626500</v>
      </c>
      <c r="AD193" s="69">
        <v>680500</v>
      </c>
      <c r="AE193" s="18"/>
      <c r="AF193" s="4">
        <f t="shared" si="8"/>
        <v>680500</v>
      </c>
      <c r="AG193" s="4"/>
      <c r="AH193" s="16">
        <f t="shared" si="9"/>
        <v>680500</v>
      </c>
      <c r="AI193" s="21">
        <f t="shared" si="10"/>
        <v>0.18764649110712808</v>
      </c>
      <c r="AJ193" s="20">
        <f t="shared" si="11"/>
        <v>0.18764649110712808</v>
      </c>
      <c r="AK193" s="9"/>
    </row>
    <row r="194" spans="1:37" hidden="1">
      <c r="A194" s="77">
        <v>192</v>
      </c>
      <c r="B194" s="78"/>
      <c r="C194" s="79"/>
      <c r="D194" s="79"/>
      <c r="E194" s="79"/>
      <c r="F194" s="79"/>
      <c r="G194" s="79"/>
      <c r="H194" s="80"/>
      <c r="I194" s="45" t="s">
        <v>943</v>
      </c>
      <c r="J194" s="45" t="s">
        <v>1387</v>
      </c>
      <c r="K194" s="46" t="s">
        <v>657</v>
      </c>
      <c r="L194" s="47" t="s">
        <v>1294</v>
      </c>
      <c r="M194" s="81">
        <f>IFERROR(VLOOKUP($L194,[3]Consolidated!$C$9:$AC$452,27,0),0)</f>
        <v>10024000</v>
      </c>
      <c r="N194" s="81">
        <f>IFERROR(VLOOKUP($L194,[3]Consolidated!$C$9:$AC$452,5,0),0)</f>
        <v>40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4">
        <f>(VLOOKUP($O$2,[4]Prices!$E$3:$K$17,2,FALSE)*O194)+(VLOOKUP($P$2,[4]Prices!$J$3:$K$17,2,FALSE)*P194)+(VLOOKUP($Q$2,[4]Prices!$J$3:$K$17,2,FALSE)*Q194)+(VLOOKUP($R$2,[4]Prices!$J$3:$K$17,2,FALSE)*R194)+(VLOOKUP($S$2,[4]Prices!$J$3:$K$17,2,FALSE)*S194)+(VLOOKUP($T$2,[4]Prices!$J$3:$K$17,2,FALSE)*T194)+(VLOOKUP($U$2,[4]Prices!$J$3:$K$17,2,FALSE)*U194)+(VLOOKUP($V$2,[4]Prices!$J$3:$K$17,2,FALSE)*V194)+(VLOOKUP($W$2,[4]Prices!$J$3:$K$17,2,FALSE)*W194)+(VLOOKUP($X$2,[4]Prices!$J$3:$K$17,2,FALSE)*X194)+(VLOOKUP($Y$2,[4]Prices!$J$3:$K$17,2,FALSE)*Y194)+(VLOOKUP($Z$2,[4]Prices!$J$3:$K$17,2,FALSE)*Z194)+(VLOOKUP($AA$2,[4]Prices!$J$3:$K$17,2,FALSE)*AA194)+(VLOOKUP($AB$2,[4]Prices!$J$3:$K$17,2,FALSE)*AB194)+M194</f>
        <v>10024000</v>
      </c>
      <c r="AD194" s="69">
        <v>1483000</v>
      </c>
      <c r="AE194" s="18"/>
      <c r="AF194" s="4">
        <f t="shared" si="8"/>
        <v>1483000</v>
      </c>
      <c r="AG194" s="4"/>
      <c r="AH194" s="16">
        <f t="shared" si="9"/>
        <v>1483000</v>
      </c>
      <c r="AI194" s="21">
        <f t="shared" si="10"/>
        <v>0.14794493216280927</v>
      </c>
      <c r="AJ194" s="20">
        <f t="shared" si="11"/>
        <v>0.14794493216280927</v>
      </c>
      <c r="AK194" s="9"/>
    </row>
    <row r="195" spans="1:37" hidden="1">
      <c r="A195" s="77">
        <v>193</v>
      </c>
      <c r="B195" s="78"/>
      <c r="C195" s="79"/>
      <c r="D195" s="79"/>
      <c r="E195" s="79"/>
      <c r="F195" s="79"/>
      <c r="G195" s="79"/>
      <c r="H195" s="80"/>
      <c r="I195" s="45" t="s">
        <v>944</v>
      </c>
      <c r="J195" s="45" t="s">
        <v>1387</v>
      </c>
      <c r="K195" s="46" t="s">
        <v>657</v>
      </c>
      <c r="L195" s="46" t="s">
        <v>1295</v>
      </c>
      <c r="M195" s="81">
        <f>IFERROR(VLOOKUP($L195,[3]Consolidated!$C$9:$AC$452,27,0),0)</f>
        <v>2376000</v>
      </c>
      <c r="N195" s="81">
        <f>IFERROR(VLOOKUP($L195,[3]Consolidated!$C$9:$AC$452,5,0),0)</f>
        <v>10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4">
        <f>(VLOOKUP($O$2,[4]Prices!$E$3:$K$17,2,FALSE)*O195)+(VLOOKUP($P$2,[4]Prices!$J$3:$K$17,2,FALSE)*P195)+(VLOOKUP($Q$2,[4]Prices!$J$3:$K$17,2,FALSE)*Q195)+(VLOOKUP($R$2,[4]Prices!$J$3:$K$17,2,FALSE)*R195)+(VLOOKUP($S$2,[4]Prices!$J$3:$K$17,2,FALSE)*S195)+(VLOOKUP($T$2,[4]Prices!$J$3:$K$17,2,FALSE)*T195)+(VLOOKUP($U$2,[4]Prices!$J$3:$K$17,2,FALSE)*U195)+(VLOOKUP($V$2,[4]Prices!$J$3:$K$17,2,FALSE)*V195)+(VLOOKUP($W$2,[4]Prices!$J$3:$K$17,2,FALSE)*W195)+(VLOOKUP($X$2,[4]Prices!$J$3:$K$17,2,FALSE)*X195)+(VLOOKUP($Y$2,[4]Prices!$J$3:$K$17,2,FALSE)*Y195)+(VLOOKUP($Z$2,[4]Prices!$J$3:$K$17,2,FALSE)*Z195)+(VLOOKUP($AA$2,[4]Prices!$J$3:$K$17,2,FALSE)*AA195)+(VLOOKUP($AB$2,[4]Prices!$J$3:$K$17,2,FALSE)*AB195)+M195</f>
        <v>2376000</v>
      </c>
      <c r="AD195" s="69">
        <v>831555.5</v>
      </c>
      <c r="AE195" s="18"/>
      <c r="AF195" s="4">
        <f t="shared" ref="AF195:AF258" si="12">AD195-AE195</f>
        <v>831555.5</v>
      </c>
      <c r="AG195" s="4"/>
      <c r="AH195" s="16">
        <f t="shared" si="9"/>
        <v>831555.5</v>
      </c>
      <c r="AI195" s="21">
        <f t="shared" si="10"/>
        <v>0.34998127104377103</v>
      </c>
      <c r="AJ195" s="20">
        <f t="shared" si="11"/>
        <v>0.34998127104377103</v>
      </c>
      <c r="AK195" s="9"/>
    </row>
    <row r="196" spans="1:37" hidden="1">
      <c r="A196" s="77">
        <v>194</v>
      </c>
      <c r="B196" s="78"/>
      <c r="C196" s="79"/>
      <c r="D196" s="79"/>
      <c r="E196" s="79"/>
      <c r="F196" s="79"/>
      <c r="G196" s="79"/>
      <c r="H196" s="80"/>
      <c r="I196" s="45" t="s">
        <v>945</v>
      </c>
      <c r="J196" s="45" t="s">
        <v>1387</v>
      </c>
      <c r="K196" s="46" t="s">
        <v>658</v>
      </c>
      <c r="L196" s="46" t="s">
        <v>1296</v>
      </c>
      <c r="M196" s="81">
        <f>IFERROR(VLOOKUP($L196,[3]Consolidated!$C$9:$AC$452,27,0),0)</f>
        <v>0</v>
      </c>
      <c r="N196" s="81">
        <f>IFERROR(VLOOKUP($L196,[3]Consolidated!$C$9:$AC$452,5,0),0)</f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4">
        <f>(VLOOKUP($O$2,[4]Prices!$E$3:$K$17,2,FALSE)*O196)+(VLOOKUP($P$2,[4]Prices!$J$3:$K$17,2,FALSE)*P196)+(VLOOKUP($Q$2,[4]Prices!$J$3:$K$17,2,FALSE)*Q196)+(VLOOKUP($R$2,[4]Prices!$J$3:$K$17,2,FALSE)*R196)+(VLOOKUP($S$2,[4]Prices!$J$3:$K$17,2,FALSE)*S196)+(VLOOKUP($T$2,[4]Prices!$J$3:$K$17,2,FALSE)*T196)+(VLOOKUP($U$2,[4]Prices!$J$3:$K$17,2,FALSE)*U196)+(VLOOKUP($V$2,[4]Prices!$J$3:$K$17,2,FALSE)*V196)+(VLOOKUP($W$2,[4]Prices!$J$3:$K$17,2,FALSE)*W196)+(VLOOKUP($X$2,[4]Prices!$J$3:$K$17,2,FALSE)*X196)+(VLOOKUP($Y$2,[4]Prices!$J$3:$K$17,2,FALSE)*Y196)+(VLOOKUP($Z$2,[4]Prices!$J$3:$K$17,2,FALSE)*Z196)+(VLOOKUP($AA$2,[4]Prices!$J$3:$K$17,2,FALSE)*AA196)+(VLOOKUP($AB$2,[4]Prices!$J$3:$K$17,2,FALSE)*AB196)+M196</f>
        <v>0</v>
      </c>
      <c r="AD196" s="79">
        <v>0</v>
      </c>
      <c r="AE196" s="18"/>
      <c r="AF196" s="4">
        <f t="shared" si="12"/>
        <v>0</v>
      </c>
      <c r="AG196" s="4"/>
      <c r="AH196" s="16">
        <f t="shared" ref="AH196:AH259" si="13">AD196+AG196</f>
        <v>0</v>
      </c>
      <c r="AI196" s="21" t="e">
        <f t="shared" ref="AI196:AI259" si="14">AH196/M196</f>
        <v>#DIV/0!</v>
      </c>
      <c r="AJ196" s="20" t="e">
        <f t="shared" si="11"/>
        <v>#DIV/0!</v>
      </c>
      <c r="AK196" s="9"/>
    </row>
    <row r="197" spans="1:37" hidden="1">
      <c r="A197" s="77">
        <v>195</v>
      </c>
      <c r="B197" s="78"/>
      <c r="C197" s="79"/>
      <c r="D197" s="79"/>
      <c r="E197" s="79"/>
      <c r="F197" s="79"/>
      <c r="G197" s="79"/>
      <c r="H197" s="80"/>
      <c r="I197" s="45" t="s">
        <v>946</v>
      </c>
      <c r="J197" s="45" t="s">
        <v>1387</v>
      </c>
      <c r="K197" s="46" t="s">
        <v>658</v>
      </c>
      <c r="L197" s="46" t="s">
        <v>1297</v>
      </c>
      <c r="M197" s="81">
        <f>IFERROR(VLOOKUP($L197,[3]Consolidated!$C$9:$AC$452,27,0),0)</f>
        <v>10004000</v>
      </c>
      <c r="N197" s="81">
        <f>IFERROR(VLOOKUP($L197,[3]Consolidated!$C$9:$AC$452,5,0),0)</f>
        <v>40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4">
        <f>(VLOOKUP($O$2,[4]Prices!$E$3:$K$17,2,FALSE)*O197)+(VLOOKUP($P$2,[4]Prices!$J$3:$K$17,2,FALSE)*P197)+(VLOOKUP($Q$2,[4]Prices!$J$3:$K$17,2,FALSE)*Q197)+(VLOOKUP($R$2,[4]Prices!$J$3:$K$17,2,FALSE)*R197)+(VLOOKUP($S$2,[4]Prices!$J$3:$K$17,2,FALSE)*S197)+(VLOOKUP($T$2,[4]Prices!$J$3:$K$17,2,FALSE)*T197)+(VLOOKUP($U$2,[4]Prices!$J$3:$K$17,2,FALSE)*U197)+(VLOOKUP($V$2,[4]Prices!$J$3:$K$17,2,FALSE)*V197)+(VLOOKUP($W$2,[4]Prices!$J$3:$K$17,2,FALSE)*W197)+(VLOOKUP($X$2,[4]Prices!$J$3:$K$17,2,FALSE)*X197)+(VLOOKUP($Y$2,[4]Prices!$J$3:$K$17,2,FALSE)*Y197)+(VLOOKUP($Z$2,[4]Prices!$J$3:$K$17,2,FALSE)*Z197)+(VLOOKUP($AA$2,[4]Prices!$J$3:$K$17,2,FALSE)*AA197)+(VLOOKUP($AB$2,[4]Prices!$J$3:$K$17,2,FALSE)*AB197)+M197</f>
        <v>10004000</v>
      </c>
      <c r="AD197" s="69">
        <v>2114500</v>
      </c>
      <c r="AE197" s="18"/>
      <c r="AF197" s="4">
        <f t="shared" si="12"/>
        <v>2114500</v>
      </c>
      <c r="AG197" s="4"/>
      <c r="AH197" s="16">
        <f t="shared" si="13"/>
        <v>2114500</v>
      </c>
      <c r="AI197" s="21">
        <f t="shared" si="14"/>
        <v>0.2113654538184726</v>
      </c>
      <c r="AJ197" s="20">
        <f t="shared" ref="AJ197:AJ260" si="15">AH197/AC197</f>
        <v>0.2113654538184726</v>
      </c>
      <c r="AK197" s="9"/>
    </row>
    <row r="198" spans="1:37" hidden="1">
      <c r="A198" s="77">
        <v>196</v>
      </c>
      <c r="B198" s="78"/>
      <c r="C198" s="79"/>
      <c r="D198" s="79"/>
      <c r="E198" s="79"/>
      <c r="F198" s="79"/>
      <c r="G198" s="79"/>
      <c r="H198" s="80"/>
      <c r="I198" s="45" t="s">
        <v>948</v>
      </c>
      <c r="J198" s="45" t="s">
        <v>1387</v>
      </c>
      <c r="K198" s="46" t="s">
        <v>653</v>
      </c>
      <c r="L198" s="46" t="s">
        <v>1301</v>
      </c>
      <c r="M198" s="81">
        <f>IFERROR(VLOOKUP($L198,[3]Consolidated!$C$9:$AC$452,27,0),0)</f>
        <v>2876500</v>
      </c>
      <c r="N198" s="81">
        <f>IFERROR(VLOOKUP($L198,[3]Consolidated!$C$9:$AC$452,5,0),0)</f>
        <v>11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4">
        <f>(VLOOKUP($O$2,[4]Prices!$E$3:$K$17,2,FALSE)*O198)+(VLOOKUP($P$2,[4]Prices!$J$3:$K$17,2,FALSE)*P198)+(VLOOKUP($Q$2,[4]Prices!$J$3:$K$17,2,FALSE)*Q198)+(VLOOKUP($R$2,[4]Prices!$J$3:$K$17,2,FALSE)*R198)+(VLOOKUP($S$2,[4]Prices!$J$3:$K$17,2,FALSE)*S198)+(VLOOKUP($T$2,[4]Prices!$J$3:$K$17,2,FALSE)*T198)+(VLOOKUP($U$2,[4]Prices!$J$3:$K$17,2,FALSE)*U198)+(VLOOKUP($V$2,[4]Prices!$J$3:$K$17,2,FALSE)*V198)+(VLOOKUP($W$2,[4]Prices!$J$3:$K$17,2,FALSE)*W198)+(VLOOKUP($X$2,[4]Prices!$J$3:$K$17,2,FALSE)*X198)+(VLOOKUP($Y$2,[4]Prices!$J$3:$K$17,2,FALSE)*Y198)+(VLOOKUP($Z$2,[4]Prices!$J$3:$K$17,2,FALSE)*Z198)+(VLOOKUP($AA$2,[4]Prices!$J$3:$K$17,2,FALSE)*AA198)+(VLOOKUP($AB$2,[4]Prices!$J$3:$K$17,2,FALSE)*AB198)+M198</f>
        <v>2876500</v>
      </c>
      <c r="AD198" s="79">
        <v>0</v>
      </c>
      <c r="AE198" s="18"/>
      <c r="AF198" s="4">
        <f t="shared" si="12"/>
        <v>0</v>
      </c>
      <c r="AG198" s="4"/>
      <c r="AH198" s="16">
        <f t="shared" si="13"/>
        <v>0</v>
      </c>
      <c r="AI198" s="21">
        <f t="shared" si="14"/>
        <v>0</v>
      </c>
      <c r="AJ198" s="20">
        <f t="shared" si="15"/>
        <v>0</v>
      </c>
      <c r="AK198" s="19"/>
    </row>
    <row r="199" spans="1:37" hidden="1">
      <c r="A199" s="77">
        <v>197</v>
      </c>
      <c r="B199" s="78"/>
      <c r="C199" s="79"/>
      <c r="D199" s="79"/>
      <c r="E199" s="79"/>
      <c r="F199" s="79"/>
      <c r="G199" s="79"/>
      <c r="H199" s="80"/>
      <c r="I199" s="45" t="s">
        <v>950</v>
      </c>
      <c r="J199" s="45" t="s">
        <v>1387</v>
      </c>
      <c r="K199" s="46" t="s">
        <v>653</v>
      </c>
      <c r="L199" s="47" t="s">
        <v>1302</v>
      </c>
      <c r="M199" s="81">
        <f>IFERROR(VLOOKUP($L199,[3]Consolidated!$C$9:$AC$452,27,0),0)</f>
        <v>5230000</v>
      </c>
      <c r="N199" s="81">
        <f>IFERROR(VLOOKUP($L199,[3]Consolidated!$C$9:$AC$452,5,0),0)</f>
        <v>20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4">
        <f>(VLOOKUP($O$2,[4]Prices!$E$3:$K$17,2,FALSE)*O199)+(VLOOKUP($P$2,[4]Prices!$J$3:$K$17,2,FALSE)*P199)+(VLOOKUP($Q$2,[4]Prices!$J$3:$K$17,2,FALSE)*Q199)+(VLOOKUP($R$2,[4]Prices!$J$3:$K$17,2,FALSE)*R199)+(VLOOKUP($S$2,[4]Prices!$J$3:$K$17,2,FALSE)*S199)+(VLOOKUP($T$2,[4]Prices!$J$3:$K$17,2,FALSE)*T199)+(VLOOKUP($U$2,[4]Prices!$J$3:$K$17,2,FALSE)*U199)+(VLOOKUP($V$2,[4]Prices!$J$3:$K$17,2,FALSE)*V199)+(VLOOKUP($W$2,[4]Prices!$J$3:$K$17,2,FALSE)*W199)+(VLOOKUP($X$2,[4]Prices!$J$3:$K$17,2,FALSE)*X199)+(VLOOKUP($Y$2,[4]Prices!$J$3:$K$17,2,FALSE)*Y199)+(VLOOKUP($Z$2,[4]Prices!$J$3:$K$17,2,FALSE)*Z199)+(VLOOKUP($AA$2,[4]Prices!$J$3:$K$17,2,FALSE)*AA199)+(VLOOKUP($AB$2,[4]Prices!$J$3:$K$17,2,FALSE)*AB199)+M199</f>
        <v>5230000</v>
      </c>
      <c r="AD199" s="69">
        <v>649500</v>
      </c>
      <c r="AE199" s="18"/>
      <c r="AF199" s="4">
        <f t="shared" si="12"/>
        <v>649500</v>
      </c>
      <c r="AG199" s="4"/>
      <c r="AH199" s="16">
        <f t="shared" si="13"/>
        <v>649500</v>
      </c>
      <c r="AI199" s="21">
        <f t="shared" si="14"/>
        <v>0.12418738049713193</v>
      </c>
      <c r="AJ199" s="20">
        <f t="shared" si="15"/>
        <v>0.12418738049713193</v>
      </c>
      <c r="AK199" s="9"/>
    </row>
    <row r="200" spans="1:37" hidden="1">
      <c r="A200" s="77">
        <v>198</v>
      </c>
      <c r="B200" s="78"/>
      <c r="C200" s="79"/>
      <c r="D200" s="79"/>
      <c r="E200" s="79"/>
      <c r="F200" s="79"/>
      <c r="G200" s="79"/>
      <c r="H200" s="80"/>
      <c r="I200" s="45" t="s">
        <v>951</v>
      </c>
      <c r="J200" s="45" t="s">
        <v>1387</v>
      </c>
      <c r="K200" s="46" t="s">
        <v>653</v>
      </c>
      <c r="L200" s="47" t="s">
        <v>1303</v>
      </c>
      <c r="M200" s="81">
        <f>IFERROR(VLOOKUP($L200,[3]Consolidated!$C$9:$AC$452,27,0),0)</f>
        <v>9152500</v>
      </c>
      <c r="N200" s="81">
        <f>IFERROR(VLOOKUP($L200,[3]Consolidated!$C$9:$AC$452,5,0),0)</f>
        <v>35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4">
        <f>(VLOOKUP($O$2,[4]Prices!$E$3:$K$17,2,FALSE)*O200)+(VLOOKUP($P$2,[4]Prices!$J$3:$K$17,2,FALSE)*P200)+(VLOOKUP($Q$2,[4]Prices!$J$3:$K$17,2,FALSE)*Q200)+(VLOOKUP($R$2,[4]Prices!$J$3:$K$17,2,FALSE)*R200)+(VLOOKUP($S$2,[4]Prices!$J$3:$K$17,2,FALSE)*S200)+(VLOOKUP($T$2,[4]Prices!$J$3:$K$17,2,FALSE)*T200)+(VLOOKUP($U$2,[4]Prices!$J$3:$K$17,2,FALSE)*U200)+(VLOOKUP($V$2,[4]Prices!$J$3:$K$17,2,FALSE)*V200)+(VLOOKUP($W$2,[4]Prices!$J$3:$K$17,2,FALSE)*W200)+(VLOOKUP($X$2,[4]Prices!$J$3:$K$17,2,FALSE)*X200)+(VLOOKUP($Y$2,[4]Prices!$J$3:$K$17,2,FALSE)*Y200)+(VLOOKUP($Z$2,[4]Prices!$J$3:$K$17,2,FALSE)*Z200)+(VLOOKUP($AA$2,[4]Prices!$J$3:$K$17,2,FALSE)*AA200)+(VLOOKUP($AB$2,[4]Prices!$J$3:$K$17,2,FALSE)*AB200)+M200</f>
        <v>9152500</v>
      </c>
      <c r="AD200" s="69">
        <v>1403300</v>
      </c>
      <c r="AE200" s="18"/>
      <c r="AF200" s="4">
        <f t="shared" si="12"/>
        <v>1403300</v>
      </c>
      <c r="AG200" s="4"/>
      <c r="AH200" s="16">
        <f t="shared" si="13"/>
        <v>1403300</v>
      </c>
      <c r="AI200" s="21">
        <f t="shared" si="14"/>
        <v>0.15332422835290904</v>
      </c>
      <c r="AJ200" s="20">
        <f t="shared" si="15"/>
        <v>0.15332422835290904</v>
      </c>
      <c r="AK200" s="9"/>
    </row>
    <row r="201" spans="1:37" hidden="1">
      <c r="A201" s="77">
        <v>199</v>
      </c>
      <c r="B201" s="78"/>
      <c r="C201" s="79"/>
      <c r="D201" s="79"/>
      <c r="E201" s="79"/>
      <c r="F201" s="79"/>
      <c r="G201" s="79"/>
      <c r="H201" s="80"/>
      <c r="I201" s="45" t="s">
        <v>961</v>
      </c>
      <c r="J201" s="67" t="s">
        <v>1387</v>
      </c>
      <c r="K201" s="46" t="s">
        <v>658</v>
      </c>
      <c r="L201" s="47" t="s">
        <v>1313</v>
      </c>
      <c r="M201" s="81">
        <f>IFERROR(VLOOKUP($L201,[3]Consolidated!$C$9:$AC$452,27,0),0)</f>
        <v>2376000</v>
      </c>
      <c r="N201" s="81">
        <f>IFERROR(VLOOKUP($L201,[3]Consolidated!$C$9:$AC$452,5,0),0)</f>
        <v>10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4">
        <f>(VLOOKUP($O$2,[4]Prices!$E$3:$K$17,2,FALSE)*O201)+(VLOOKUP($P$2,[4]Prices!$J$3:$K$17,2,FALSE)*P201)+(VLOOKUP($Q$2,[4]Prices!$J$3:$K$17,2,FALSE)*Q201)+(VLOOKUP($R$2,[4]Prices!$J$3:$K$17,2,FALSE)*R201)+(VLOOKUP($S$2,[4]Prices!$J$3:$K$17,2,FALSE)*S201)+(VLOOKUP($T$2,[4]Prices!$J$3:$K$17,2,FALSE)*T201)+(VLOOKUP($U$2,[4]Prices!$J$3:$K$17,2,FALSE)*U201)+(VLOOKUP($V$2,[4]Prices!$J$3:$K$17,2,FALSE)*V201)+(VLOOKUP($W$2,[4]Prices!$J$3:$K$17,2,FALSE)*W201)+(VLOOKUP($X$2,[4]Prices!$J$3:$K$17,2,FALSE)*X201)+(VLOOKUP($Y$2,[4]Prices!$J$3:$K$17,2,FALSE)*Y201)+(VLOOKUP($Z$2,[4]Prices!$J$3:$K$17,2,FALSE)*Z201)+(VLOOKUP($AA$2,[4]Prices!$J$3:$K$17,2,FALSE)*AA201)+(VLOOKUP($AB$2,[4]Prices!$J$3:$K$17,2,FALSE)*AB201)+M201</f>
        <v>2376000</v>
      </c>
      <c r="AD201" s="78">
        <v>1031000</v>
      </c>
      <c r="AE201" s="18"/>
      <c r="AF201" s="4">
        <f t="shared" si="12"/>
        <v>1031000</v>
      </c>
      <c r="AG201" s="4"/>
      <c r="AH201" s="16">
        <f t="shared" si="13"/>
        <v>1031000</v>
      </c>
      <c r="AI201" s="21">
        <f t="shared" si="14"/>
        <v>0.43392255892255893</v>
      </c>
      <c r="AJ201" s="20">
        <f t="shared" si="15"/>
        <v>0.43392255892255893</v>
      </c>
      <c r="AK201" s="9"/>
    </row>
    <row r="202" spans="1:37" hidden="1">
      <c r="A202" s="77">
        <v>200</v>
      </c>
      <c r="B202" s="78"/>
      <c r="C202" s="79"/>
      <c r="D202" s="79"/>
      <c r="E202" s="79"/>
      <c r="F202" s="79"/>
      <c r="G202" s="79"/>
      <c r="H202" s="80"/>
      <c r="I202" s="45" t="s">
        <v>962</v>
      </c>
      <c r="J202" s="45" t="s">
        <v>1387</v>
      </c>
      <c r="K202" s="46" t="s">
        <v>657</v>
      </c>
      <c r="L202" s="47" t="s">
        <v>1314</v>
      </c>
      <c r="M202" s="81">
        <f>IFERROR(VLOOKUP($L202,[3]Consolidated!$C$9:$AC$452,27,0),0)</f>
        <v>0</v>
      </c>
      <c r="N202" s="81">
        <f>IFERROR(VLOOKUP($L202,[3]Consolidated!$C$9:$AC$452,5,0),0)</f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4">
        <f>(VLOOKUP($O$2,[4]Prices!$E$3:$K$17,2,FALSE)*O202)+(VLOOKUP($P$2,[4]Prices!$J$3:$K$17,2,FALSE)*P202)+(VLOOKUP($Q$2,[4]Prices!$J$3:$K$17,2,FALSE)*Q202)+(VLOOKUP($R$2,[4]Prices!$J$3:$K$17,2,FALSE)*R202)+(VLOOKUP($S$2,[4]Prices!$J$3:$K$17,2,FALSE)*S202)+(VLOOKUP($T$2,[4]Prices!$J$3:$K$17,2,FALSE)*T202)+(VLOOKUP($U$2,[4]Prices!$J$3:$K$17,2,FALSE)*U202)+(VLOOKUP($V$2,[4]Prices!$J$3:$K$17,2,FALSE)*V202)+(VLOOKUP($W$2,[4]Prices!$J$3:$K$17,2,FALSE)*W202)+(VLOOKUP($X$2,[4]Prices!$J$3:$K$17,2,FALSE)*X202)+(VLOOKUP($Y$2,[4]Prices!$J$3:$K$17,2,FALSE)*Y202)+(VLOOKUP($Z$2,[4]Prices!$J$3:$K$17,2,FALSE)*Z202)+(VLOOKUP($AA$2,[4]Prices!$J$3:$K$17,2,FALSE)*AA202)+(VLOOKUP($AB$2,[4]Prices!$J$3:$K$17,2,FALSE)*AB202)+M202</f>
        <v>0</v>
      </c>
      <c r="AD202" s="79">
        <v>0</v>
      </c>
      <c r="AE202" s="18"/>
      <c r="AF202" s="4">
        <f t="shared" si="12"/>
        <v>0</v>
      </c>
      <c r="AG202" s="4"/>
      <c r="AH202" s="16">
        <f t="shared" si="13"/>
        <v>0</v>
      </c>
      <c r="AI202" s="21" t="e">
        <f t="shared" si="14"/>
        <v>#DIV/0!</v>
      </c>
      <c r="AJ202" s="20" t="e">
        <f t="shared" si="15"/>
        <v>#DIV/0!</v>
      </c>
      <c r="AK202" s="9"/>
    </row>
    <row r="203" spans="1:37">
      <c r="A203" s="77">
        <v>201</v>
      </c>
      <c r="B203" s="78"/>
      <c r="C203" s="79"/>
      <c r="D203" s="79"/>
      <c r="E203" s="79"/>
      <c r="F203" s="79"/>
      <c r="G203" s="79"/>
      <c r="H203" s="80"/>
      <c r="I203" s="45" t="s">
        <v>963</v>
      </c>
      <c r="J203" s="45" t="s">
        <v>1387</v>
      </c>
      <c r="K203" s="46" t="s">
        <v>658</v>
      </c>
      <c r="L203" s="47" t="s">
        <v>1315</v>
      </c>
      <c r="M203" s="81">
        <f>IFERROR(VLOOKUP($L203,[3]Consolidated!$C$9:$AC$452,27,0),0)</f>
        <v>3745500</v>
      </c>
      <c r="N203" s="81">
        <f>IFERROR(VLOOKUP($L203,[3]Consolidated!$C$9:$AC$452,5,0),0)</f>
        <v>15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4">
        <f>(VLOOKUP($O$2,[4]Prices!$E$3:$K$17,2,FALSE)*O203)+(VLOOKUP($P$2,[4]Prices!$J$3:$K$17,2,FALSE)*P203)+(VLOOKUP($Q$2,[4]Prices!$J$3:$K$17,2,FALSE)*Q203)+(VLOOKUP($R$2,[4]Prices!$J$3:$K$17,2,FALSE)*R203)+(VLOOKUP($S$2,[4]Prices!$J$3:$K$17,2,FALSE)*S203)+(VLOOKUP($T$2,[4]Prices!$J$3:$K$17,2,FALSE)*T203)+(VLOOKUP($U$2,[4]Prices!$J$3:$K$17,2,FALSE)*U203)+(VLOOKUP($V$2,[4]Prices!$J$3:$K$17,2,FALSE)*V203)+(VLOOKUP($W$2,[4]Prices!$J$3:$K$17,2,FALSE)*W203)+(VLOOKUP($X$2,[4]Prices!$J$3:$K$17,2,FALSE)*X203)+(VLOOKUP($Y$2,[4]Prices!$J$3:$K$17,2,FALSE)*Y203)+(VLOOKUP($Z$2,[4]Prices!$J$3:$K$17,2,FALSE)*Z203)+(VLOOKUP($AA$2,[4]Prices!$J$3:$K$17,2,FALSE)*AA203)+(VLOOKUP($AB$2,[4]Prices!$J$3:$K$17,2,FALSE)*AB203)+M203</f>
        <v>3745500</v>
      </c>
      <c r="AD203" s="69">
        <v>1665250</v>
      </c>
      <c r="AE203" s="18"/>
      <c r="AF203" s="4">
        <f t="shared" si="12"/>
        <v>1665250</v>
      </c>
      <c r="AG203" s="4">
        <v>945000</v>
      </c>
      <c r="AH203" s="16">
        <f t="shared" si="13"/>
        <v>2610250</v>
      </c>
      <c r="AI203" s="21">
        <f t="shared" si="14"/>
        <v>0.69690295020691495</v>
      </c>
      <c r="AJ203" s="20">
        <f t="shared" si="15"/>
        <v>0.69690295020691495</v>
      </c>
      <c r="AK203" s="9"/>
    </row>
    <row r="204" spans="1:37" hidden="1">
      <c r="A204" s="77">
        <v>202</v>
      </c>
      <c r="B204" s="78"/>
      <c r="C204" s="79"/>
      <c r="D204" s="79"/>
      <c r="E204" s="79"/>
      <c r="F204" s="79"/>
      <c r="G204" s="79"/>
      <c r="H204" s="80"/>
      <c r="I204" s="45" t="s">
        <v>1326</v>
      </c>
      <c r="J204" s="45" t="s">
        <v>1387</v>
      </c>
      <c r="K204" s="46" t="s">
        <v>657</v>
      </c>
      <c r="L204" s="47" t="s">
        <v>1336</v>
      </c>
      <c r="M204" s="81">
        <f>IFERROR(VLOOKUP($L204,[3]Consolidated!$C$9:$AC$452,27,0),0)</f>
        <v>10024000</v>
      </c>
      <c r="N204" s="81">
        <f>IFERROR(VLOOKUP($L204,[3]Consolidated!$C$9:$AC$452,5,0),0)</f>
        <v>40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4">
        <f>(VLOOKUP($O$2,[4]Prices!$E$3:$K$17,2,FALSE)*O204)+(VLOOKUP($P$2,[4]Prices!$J$3:$K$17,2,FALSE)*P204)+(VLOOKUP($Q$2,[4]Prices!$J$3:$K$17,2,FALSE)*Q204)+(VLOOKUP($R$2,[4]Prices!$J$3:$K$17,2,FALSE)*R204)+(VLOOKUP($S$2,[4]Prices!$J$3:$K$17,2,FALSE)*S204)+(VLOOKUP($T$2,[4]Prices!$J$3:$K$17,2,FALSE)*T204)+(VLOOKUP($U$2,[4]Prices!$J$3:$K$17,2,FALSE)*U204)+(VLOOKUP($V$2,[4]Prices!$J$3:$K$17,2,FALSE)*V204)+(VLOOKUP($W$2,[4]Prices!$J$3:$K$17,2,FALSE)*W204)+(VLOOKUP($X$2,[4]Prices!$J$3:$K$17,2,FALSE)*X204)+(VLOOKUP($Y$2,[4]Prices!$J$3:$K$17,2,FALSE)*Y204)+(VLOOKUP($Z$2,[4]Prices!$J$3:$K$17,2,FALSE)*Z204)+(VLOOKUP($AA$2,[4]Prices!$J$3:$K$17,2,FALSE)*AA204)+(VLOOKUP($AB$2,[4]Prices!$J$3:$K$17,2,FALSE)*AB204)+M204</f>
        <v>10024000</v>
      </c>
      <c r="AD204" s="69">
        <v>1483000</v>
      </c>
      <c r="AE204" s="18"/>
      <c r="AF204" s="4">
        <f t="shared" si="12"/>
        <v>1483000</v>
      </c>
      <c r="AG204" s="4"/>
      <c r="AH204" s="16">
        <f t="shared" si="13"/>
        <v>1483000</v>
      </c>
      <c r="AI204" s="21">
        <f t="shared" si="14"/>
        <v>0.14794493216280927</v>
      </c>
      <c r="AJ204" s="20">
        <f t="shared" si="15"/>
        <v>0.14794493216280927</v>
      </c>
      <c r="AK204" s="9"/>
    </row>
    <row r="205" spans="1:37">
      <c r="A205" s="77">
        <v>203</v>
      </c>
      <c r="B205" s="78"/>
      <c r="C205" s="79"/>
      <c r="D205" s="79"/>
      <c r="E205" s="79"/>
      <c r="F205" s="79"/>
      <c r="G205" s="79"/>
      <c r="H205" s="80"/>
      <c r="I205" s="45" t="s">
        <v>1327</v>
      </c>
      <c r="J205" s="45" t="s">
        <v>1387</v>
      </c>
      <c r="K205" s="46" t="s">
        <v>658</v>
      </c>
      <c r="L205" s="47" t="s">
        <v>1337</v>
      </c>
      <c r="M205" s="81">
        <f>IFERROR(VLOOKUP($L205,[3]Consolidated!$C$9:$AC$452,27,0),0)</f>
        <v>4091500</v>
      </c>
      <c r="N205" s="81">
        <f>IFERROR(VLOOKUP($L205,[3]Consolidated!$C$9:$AC$452,5,0),0)</f>
        <v>17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4">
        <f>(VLOOKUP($O$2,[4]Prices!$E$3:$K$17,2,FALSE)*O205)+(VLOOKUP($P$2,[4]Prices!$J$3:$K$17,2,FALSE)*P205)+(VLOOKUP($Q$2,[4]Prices!$J$3:$K$17,2,FALSE)*Q205)+(VLOOKUP($R$2,[4]Prices!$J$3:$K$17,2,FALSE)*R205)+(VLOOKUP($S$2,[4]Prices!$J$3:$K$17,2,FALSE)*S205)+(VLOOKUP($T$2,[4]Prices!$J$3:$K$17,2,FALSE)*T205)+(VLOOKUP($U$2,[4]Prices!$J$3:$K$17,2,FALSE)*U205)+(VLOOKUP($V$2,[4]Prices!$J$3:$K$17,2,FALSE)*V205)+(VLOOKUP($W$2,[4]Prices!$J$3:$K$17,2,FALSE)*W205)+(VLOOKUP($X$2,[4]Prices!$J$3:$K$17,2,FALSE)*X205)+(VLOOKUP($Y$2,[4]Prices!$J$3:$K$17,2,FALSE)*Y205)+(VLOOKUP($Z$2,[4]Prices!$J$3:$K$17,2,FALSE)*Z205)+(VLOOKUP($AA$2,[4]Prices!$J$3:$K$17,2,FALSE)*AA205)+(VLOOKUP($AB$2,[4]Prices!$J$3:$K$17,2,FALSE)*AB205)+M205</f>
        <v>4091500</v>
      </c>
      <c r="AD205" s="69">
        <v>1815250</v>
      </c>
      <c r="AE205" s="18"/>
      <c r="AF205" s="4">
        <f t="shared" si="12"/>
        <v>1815250</v>
      </c>
      <c r="AG205" s="4">
        <v>1323000</v>
      </c>
      <c r="AH205" s="16">
        <f t="shared" si="13"/>
        <v>3138250</v>
      </c>
      <c r="AI205" s="21">
        <f t="shared" si="14"/>
        <v>0.7670169864352927</v>
      </c>
      <c r="AJ205" s="20">
        <f t="shared" si="15"/>
        <v>0.7670169864352927</v>
      </c>
      <c r="AK205" s="9"/>
    </row>
    <row r="206" spans="1:37" hidden="1">
      <c r="A206" s="77">
        <v>204</v>
      </c>
      <c r="B206" s="78"/>
      <c r="C206" s="79"/>
      <c r="D206" s="79"/>
      <c r="E206" s="79"/>
      <c r="F206" s="79"/>
      <c r="G206" s="79"/>
      <c r="H206" s="80"/>
      <c r="I206" s="45" t="s">
        <v>1328</v>
      </c>
      <c r="J206" s="45" t="s">
        <v>1387</v>
      </c>
      <c r="K206" s="46" t="s">
        <v>657</v>
      </c>
      <c r="L206" s="47" t="s">
        <v>1338</v>
      </c>
      <c r="M206" s="81">
        <f>IFERROR(VLOOKUP($L206,[3]Consolidated!$C$9:$AC$452,27,0),0)</f>
        <v>7471000</v>
      </c>
      <c r="N206" s="81">
        <f>IFERROR(VLOOKUP($L206,[3]Consolidated!$C$9:$AC$452,5,0),0)</f>
        <v>30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4">
        <f>(VLOOKUP($O$2,[4]Prices!$E$3:$K$17,2,FALSE)*O206)+(VLOOKUP($P$2,[4]Prices!$J$3:$K$17,2,FALSE)*P206)+(VLOOKUP($Q$2,[4]Prices!$J$3:$K$17,2,FALSE)*Q206)+(VLOOKUP($R$2,[4]Prices!$J$3:$K$17,2,FALSE)*R206)+(VLOOKUP($S$2,[4]Prices!$J$3:$K$17,2,FALSE)*S206)+(VLOOKUP($T$2,[4]Prices!$J$3:$K$17,2,FALSE)*T206)+(VLOOKUP($U$2,[4]Prices!$J$3:$K$17,2,FALSE)*U206)+(VLOOKUP($V$2,[4]Prices!$J$3:$K$17,2,FALSE)*V206)+(VLOOKUP($W$2,[4]Prices!$J$3:$K$17,2,FALSE)*W206)+(VLOOKUP($X$2,[4]Prices!$J$3:$K$17,2,FALSE)*X206)+(VLOOKUP($Y$2,[4]Prices!$J$3:$K$17,2,FALSE)*Y206)+(VLOOKUP($Z$2,[4]Prices!$J$3:$K$17,2,FALSE)*Z206)+(VLOOKUP($AA$2,[4]Prices!$J$3:$K$17,2,FALSE)*AA206)+(VLOOKUP($AB$2,[4]Prices!$J$3:$K$17,2,FALSE)*AB206)+M206</f>
        <v>7471000</v>
      </c>
      <c r="AD206" s="69">
        <v>1088500</v>
      </c>
      <c r="AE206" s="18"/>
      <c r="AF206" s="4">
        <f t="shared" si="12"/>
        <v>1088500</v>
      </c>
      <c r="AG206" s="4"/>
      <c r="AH206" s="16">
        <f t="shared" si="13"/>
        <v>1088500</v>
      </c>
      <c r="AI206" s="21">
        <f t="shared" si="14"/>
        <v>0.14569669388301432</v>
      </c>
      <c r="AJ206" s="20">
        <f t="shared" si="15"/>
        <v>0.14569669388301432</v>
      </c>
      <c r="AK206" s="9"/>
    </row>
    <row r="207" spans="1:37" hidden="1">
      <c r="A207" s="77">
        <v>205</v>
      </c>
      <c r="B207" s="78"/>
      <c r="C207" s="79"/>
      <c r="D207" s="79"/>
      <c r="E207" s="79"/>
      <c r="F207" s="79"/>
      <c r="G207" s="79"/>
      <c r="H207" s="80"/>
      <c r="I207" s="45" t="s">
        <v>952</v>
      </c>
      <c r="J207" s="45" t="s">
        <v>1387</v>
      </c>
      <c r="K207" s="46" t="s">
        <v>656</v>
      </c>
      <c r="L207" s="47" t="s">
        <v>1304</v>
      </c>
      <c r="M207" s="81">
        <f>IFERROR(VLOOKUP($L207,[3]Consolidated!$C$9:$AC$452,27,0),0)</f>
        <v>7786750</v>
      </c>
      <c r="N207" s="81">
        <f>IFERROR(VLOOKUP($L207,[3]Consolidated!$C$9:$AC$452,5,0),0)</f>
        <v>36.000000000000007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4">
        <f>(VLOOKUP($O$2,[4]Prices!$E$3:$K$17,2,FALSE)*O207)+(VLOOKUP($P$2,[4]Prices!$J$3:$K$17,2,FALSE)*P207)+(VLOOKUP($Q$2,[4]Prices!$J$3:$K$17,2,FALSE)*Q207)+(VLOOKUP($R$2,[4]Prices!$J$3:$K$17,2,FALSE)*R207)+(VLOOKUP($S$2,[4]Prices!$J$3:$K$17,2,FALSE)*S207)+(VLOOKUP($T$2,[4]Prices!$J$3:$K$17,2,FALSE)*T207)+(VLOOKUP($U$2,[4]Prices!$J$3:$K$17,2,FALSE)*U207)+(VLOOKUP($V$2,[4]Prices!$J$3:$K$17,2,FALSE)*V207)+(VLOOKUP($W$2,[4]Prices!$J$3:$K$17,2,FALSE)*W207)+(VLOOKUP($X$2,[4]Prices!$J$3:$K$17,2,FALSE)*X207)+(VLOOKUP($Y$2,[4]Prices!$J$3:$K$17,2,FALSE)*Y207)+(VLOOKUP($Z$2,[4]Prices!$J$3:$K$17,2,FALSE)*Z207)+(VLOOKUP($AA$2,[4]Prices!$J$3:$K$17,2,FALSE)*AA207)+(VLOOKUP($AB$2,[4]Prices!$J$3:$K$17,2,FALSE)*AB207)+M207</f>
        <v>7786750</v>
      </c>
      <c r="AD207" s="69">
        <v>1123650</v>
      </c>
      <c r="AE207" s="18"/>
      <c r="AF207" s="4">
        <f t="shared" si="12"/>
        <v>1123650</v>
      </c>
      <c r="AG207" s="4"/>
      <c r="AH207" s="16">
        <f t="shared" si="13"/>
        <v>1123650</v>
      </c>
      <c r="AI207" s="21">
        <f t="shared" si="14"/>
        <v>0.14430282210164702</v>
      </c>
      <c r="AJ207" s="20">
        <f t="shared" si="15"/>
        <v>0.14430282210164702</v>
      </c>
      <c r="AK207" s="19"/>
    </row>
    <row r="208" spans="1:37" hidden="1">
      <c r="A208" s="77">
        <v>206</v>
      </c>
      <c r="B208" s="78"/>
      <c r="C208" s="79"/>
      <c r="D208" s="79"/>
      <c r="E208" s="79"/>
      <c r="F208" s="79"/>
      <c r="G208" s="79"/>
      <c r="H208" s="80"/>
      <c r="I208" s="45" t="s">
        <v>953</v>
      </c>
      <c r="J208" s="67" t="s">
        <v>1387</v>
      </c>
      <c r="K208" s="46" t="s">
        <v>656</v>
      </c>
      <c r="L208" s="47" t="s">
        <v>1305</v>
      </c>
      <c r="M208" s="81">
        <f>IFERROR(VLOOKUP($L208,[3]Consolidated!$C$9:$AC$452,27,0),0)</f>
        <v>6910240</v>
      </c>
      <c r="N208" s="81">
        <f>IFERROR(VLOOKUP($L208,[3]Consolidated!$C$9:$AC$452,5,0),0)</f>
        <v>34.999999999999993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4">
        <f>(VLOOKUP($O$2,[4]Prices!$E$3:$K$17,2,FALSE)*O208)+(VLOOKUP($P$2,[4]Prices!$J$3:$K$17,2,FALSE)*P208)+(VLOOKUP($Q$2,[4]Prices!$J$3:$K$17,2,FALSE)*Q208)+(VLOOKUP($R$2,[4]Prices!$J$3:$K$17,2,FALSE)*R208)+(VLOOKUP($S$2,[4]Prices!$J$3:$K$17,2,FALSE)*S208)+(VLOOKUP($T$2,[4]Prices!$J$3:$K$17,2,FALSE)*T208)+(VLOOKUP($U$2,[4]Prices!$J$3:$K$17,2,FALSE)*U208)+(VLOOKUP($V$2,[4]Prices!$J$3:$K$17,2,FALSE)*V208)+(VLOOKUP($W$2,[4]Prices!$J$3:$K$17,2,FALSE)*W208)+(VLOOKUP($X$2,[4]Prices!$J$3:$K$17,2,FALSE)*X208)+(VLOOKUP($Y$2,[4]Prices!$J$3:$K$17,2,FALSE)*Y208)+(VLOOKUP($Z$2,[4]Prices!$J$3:$K$17,2,FALSE)*Z208)+(VLOOKUP($AA$2,[4]Prices!$J$3:$K$17,2,FALSE)*AA208)+(VLOOKUP($AB$2,[4]Prices!$J$3:$K$17,2,FALSE)*AB208)+M208</f>
        <v>6910240</v>
      </c>
      <c r="AD208" s="79">
        <v>0</v>
      </c>
      <c r="AE208" s="18"/>
      <c r="AF208" s="4">
        <f t="shared" si="12"/>
        <v>0</v>
      </c>
      <c r="AG208" s="4"/>
      <c r="AH208" s="16">
        <f t="shared" si="13"/>
        <v>0</v>
      </c>
      <c r="AI208" s="21">
        <f t="shared" si="14"/>
        <v>0</v>
      </c>
      <c r="AJ208" s="20">
        <f t="shared" si="15"/>
        <v>0</v>
      </c>
      <c r="AK208" s="9"/>
    </row>
    <row r="209" spans="1:37" hidden="1">
      <c r="A209" s="77">
        <v>207</v>
      </c>
      <c r="B209" s="78"/>
      <c r="C209" s="79"/>
      <c r="D209" s="79"/>
      <c r="E209" s="79"/>
      <c r="F209" s="79"/>
      <c r="G209" s="79"/>
      <c r="H209" s="80"/>
      <c r="I209" s="45" t="s">
        <v>866</v>
      </c>
      <c r="J209" s="45" t="s">
        <v>1387</v>
      </c>
      <c r="K209" s="46" t="s">
        <v>652</v>
      </c>
      <c r="L209" s="47" t="s">
        <v>1216</v>
      </c>
      <c r="M209" s="81">
        <f>IFERROR(VLOOKUP($L209,[3]Consolidated!$C$9:$AC$452,27,0),0)</f>
        <v>0</v>
      </c>
      <c r="N209" s="81">
        <f>IFERROR(VLOOKUP($L209,[3]Consolidated!$C$9:$AC$452,5,0),0)</f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4">
        <f>(VLOOKUP($O$2,[4]Prices!$E$3:$K$17,2,FALSE)*O209)+(VLOOKUP($P$2,[4]Prices!$J$3:$K$17,2,FALSE)*P209)+(VLOOKUP($Q$2,[4]Prices!$J$3:$K$17,2,FALSE)*Q209)+(VLOOKUP($R$2,[4]Prices!$J$3:$K$17,2,FALSE)*R209)+(VLOOKUP($S$2,[4]Prices!$J$3:$K$17,2,FALSE)*S209)+(VLOOKUP($T$2,[4]Prices!$J$3:$K$17,2,FALSE)*T209)+(VLOOKUP($U$2,[4]Prices!$J$3:$K$17,2,FALSE)*U209)+(VLOOKUP($V$2,[4]Prices!$J$3:$K$17,2,FALSE)*V209)+(VLOOKUP($W$2,[4]Prices!$J$3:$K$17,2,FALSE)*W209)+(VLOOKUP($X$2,[4]Prices!$J$3:$K$17,2,FALSE)*X209)+(VLOOKUP($Y$2,[4]Prices!$J$3:$K$17,2,FALSE)*Y209)+(VLOOKUP($Z$2,[4]Prices!$J$3:$K$17,2,FALSE)*Z209)+(VLOOKUP($AA$2,[4]Prices!$J$3:$K$17,2,FALSE)*AA209)+(VLOOKUP($AB$2,[4]Prices!$J$3:$K$17,2,FALSE)*AB209)+M209</f>
        <v>0</v>
      </c>
      <c r="AD209" s="79">
        <v>0</v>
      </c>
      <c r="AE209" s="18"/>
      <c r="AF209" s="4">
        <f t="shared" si="12"/>
        <v>0</v>
      </c>
      <c r="AG209" s="4"/>
      <c r="AH209" s="16">
        <f t="shared" si="13"/>
        <v>0</v>
      </c>
      <c r="AI209" s="21" t="e">
        <f t="shared" si="14"/>
        <v>#DIV/0!</v>
      </c>
      <c r="AJ209" s="20" t="e">
        <f t="shared" si="15"/>
        <v>#DIV/0!</v>
      </c>
      <c r="AK209" s="9"/>
    </row>
    <row r="210" spans="1:37" hidden="1">
      <c r="A210" s="77">
        <v>208</v>
      </c>
      <c r="B210" s="78"/>
      <c r="C210" s="79"/>
      <c r="D210" s="79"/>
      <c r="E210" s="79"/>
      <c r="F210" s="79"/>
      <c r="G210" s="79"/>
      <c r="H210" s="80"/>
      <c r="I210" s="45" t="s">
        <v>870</v>
      </c>
      <c r="J210" s="45" t="s">
        <v>1387</v>
      </c>
      <c r="K210" s="46" t="s">
        <v>652</v>
      </c>
      <c r="L210" s="47" t="s">
        <v>1220</v>
      </c>
      <c r="M210" s="81">
        <f>IFERROR(VLOOKUP($L210,[3]Consolidated!$C$9:$AC$452,27,0),0)</f>
        <v>8767500</v>
      </c>
      <c r="N210" s="81">
        <f>IFERROR(VLOOKUP($L210,[3]Consolidated!$C$9:$AC$452,5,0),0)</f>
        <v>50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4">
        <f>(VLOOKUP($O$2,[4]Prices!$E$3:$K$17,2,FALSE)*O210)+(VLOOKUP($P$2,[4]Prices!$J$3:$K$17,2,FALSE)*P210)+(VLOOKUP($Q$2,[4]Prices!$J$3:$K$17,2,FALSE)*Q210)+(VLOOKUP($R$2,[4]Prices!$J$3:$K$17,2,FALSE)*R210)+(VLOOKUP($S$2,[4]Prices!$J$3:$K$17,2,FALSE)*S210)+(VLOOKUP($T$2,[4]Prices!$J$3:$K$17,2,FALSE)*T210)+(VLOOKUP($U$2,[4]Prices!$J$3:$K$17,2,FALSE)*U210)+(VLOOKUP($V$2,[4]Prices!$J$3:$K$17,2,FALSE)*V210)+(VLOOKUP($W$2,[4]Prices!$J$3:$K$17,2,FALSE)*W210)+(VLOOKUP($X$2,[4]Prices!$J$3:$K$17,2,FALSE)*X210)+(VLOOKUP($Y$2,[4]Prices!$J$3:$K$17,2,FALSE)*Y210)+(VLOOKUP($Z$2,[4]Prices!$J$3:$K$17,2,FALSE)*Z210)+(VLOOKUP($AA$2,[4]Prices!$J$3:$K$17,2,FALSE)*AA210)+(VLOOKUP($AB$2,[4]Prices!$J$3:$K$17,2,FALSE)*AB210)+M210</f>
        <v>8767500</v>
      </c>
      <c r="AD210" s="69">
        <v>1838500</v>
      </c>
      <c r="AE210" s="18"/>
      <c r="AF210" s="4">
        <f t="shared" si="12"/>
        <v>1838500</v>
      </c>
      <c r="AG210" s="4"/>
      <c r="AH210" s="16">
        <f t="shared" si="13"/>
        <v>1838500</v>
      </c>
      <c r="AI210" s="21">
        <f t="shared" si="14"/>
        <v>0.20969489592244084</v>
      </c>
      <c r="AJ210" s="20">
        <f t="shared" si="15"/>
        <v>0.20969489592244084</v>
      </c>
      <c r="AK210" s="9"/>
    </row>
    <row r="211" spans="1:37" hidden="1">
      <c r="A211" s="77">
        <v>209</v>
      </c>
      <c r="B211" s="78"/>
      <c r="C211" s="79"/>
      <c r="D211" s="79"/>
      <c r="E211" s="79"/>
      <c r="F211" s="79"/>
      <c r="G211" s="79"/>
      <c r="H211" s="80"/>
      <c r="I211" s="45" t="s">
        <v>871</v>
      </c>
      <c r="J211" s="45" t="s">
        <v>1387</v>
      </c>
      <c r="K211" s="46" t="s">
        <v>652</v>
      </c>
      <c r="L211" s="47" t="s">
        <v>1221</v>
      </c>
      <c r="M211" s="81">
        <f>IFERROR(VLOOKUP($L211,[3]Consolidated!$C$9:$AC$452,27,0),0)</f>
        <v>0</v>
      </c>
      <c r="N211" s="81">
        <f>IFERROR(VLOOKUP($L211,[3]Consolidated!$C$9:$AC$452,5,0),0)</f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4">
        <f>(VLOOKUP($O$2,[4]Prices!$E$3:$K$17,2,FALSE)*O211)+(VLOOKUP($P$2,[4]Prices!$J$3:$K$17,2,FALSE)*P211)+(VLOOKUP($Q$2,[4]Prices!$J$3:$K$17,2,FALSE)*Q211)+(VLOOKUP($R$2,[4]Prices!$J$3:$K$17,2,FALSE)*R211)+(VLOOKUP($S$2,[4]Prices!$J$3:$K$17,2,FALSE)*S211)+(VLOOKUP($T$2,[4]Prices!$J$3:$K$17,2,FALSE)*T211)+(VLOOKUP($U$2,[4]Prices!$J$3:$K$17,2,FALSE)*U211)+(VLOOKUP($V$2,[4]Prices!$J$3:$K$17,2,FALSE)*V211)+(VLOOKUP($W$2,[4]Prices!$J$3:$K$17,2,FALSE)*W211)+(VLOOKUP($X$2,[4]Prices!$J$3:$K$17,2,FALSE)*X211)+(VLOOKUP($Y$2,[4]Prices!$J$3:$K$17,2,FALSE)*Y211)+(VLOOKUP($Z$2,[4]Prices!$J$3:$K$17,2,FALSE)*Z211)+(VLOOKUP($AA$2,[4]Prices!$J$3:$K$17,2,FALSE)*AA211)+(VLOOKUP($AB$2,[4]Prices!$J$3:$K$17,2,FALSE)*AB211)+M211</f>
        <v>0</v>
      </c>
      <c r="AD211" s="79">
        <v>0</v>
      </c>
      <c r="AE211" s="18"/>
      <c r="AF211" s="4">
        <f t="shared" si="12"/>
        <v>0</v>
      </c>
      <c r="AG211" s="4"/>
      <c r="AH211" s="16">
        <f t="shared" si="13"/>
        <v>0</v>
      </c>
      <c r="AI211" s="21" t="e">
        <f t="shared" si="14"/>
        <v>#DIV/0!</v>
      </c>
      <c r="AJ211" s="20" t="e">
        <f t="shared" si="15"/>
        <v>#DIV/0!</v>
      </c>
      <c r="AK211" s="9"/>
    </row>
    <row r="212" spans="1:37" hidden="1">
      <c r="A212" s="77">
        <v>210</v>
      </c>
      <c r="B212" s="78"/>
      <c r="C212" s="79"/>
      <c r="D212" s="79"/>
      <c r="E212" s="79"/>
      <c r="F212" s="79"/>
      <c r="G212" s="79"/>
      <c r="H212" s="80"/>
      <c r="I212" s="45" t="s">
        <v>873</v>
      </c>
      <c r="J212" s="45" t="s">
        <v>1387</v>
      </c>
      <c r="K212" s="46" t="s">
        <v>652</v>
      </c>
      <c r="L212" s="47" t="s">
        <v>1223</v>
      </c>
      <c r="M212" s="81">
        <f>IFERROR(VLOOKUP($L212,[3]Consolidated!$C$9:$AC$452,27,0),0)</f>
        <v>3315000</v>
      </c>
      <c r="N212" s="81">
        <f>IFERROR(VLOOKUP($L212,[3]Consolidated!$C$9:$AC$452,5,0),0)</f>
        <v>16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4">
        <f>(VLOOKUP($O$2,[4]Prices!$E$3:$K$17,2,FALSE)*O212)+(VLOOKUP($P$2,[4]Prices!$J$3:$K$17,2,FALSE)*P212)+(VLOOKUP($Q$2,[4]Prices!$J$3:$K$17,2,FALSE)*Q212)+(VLOOKUP($R$2,[4]Prices!$J$3:$K$17,2,FALSE)*R212)+(VLOOKUP($S$2,[4]Prices!$J$3:$K$17,2,FALSE)*S212)+(VLOOKUP($T$2,[4]Prices!$J$3:$K$17,2,FALSE)*T212)+(VLOOKUP($U$2,[4]Prices!$J$3:$K$17,2,FALSE)*U212)+(VLOOKUP($V$2,[4]Prices!$J$3:$K$17,2,FALSE)*V212)+(VLOOKUP($W$2,[4]Prices!$J$3:$K$17,2,FALSE)*W212)+(VLOOKUP($X$2,[4]Prices!$J$3:$K$17,2,FALSE)*X212)+(VLOOKUP($Y$2,[4]Prices!$J$3:$K$17,2,FALSE)*Y212)+(VLOOKUP($Z$2,[4]Prices!$J$3:$K$17,2,FALSE)*Z212)+(VLOOKUP($AA$2,[4]Prices!$J$3:$K$17,2,FALSE)*AA212)+(VLOOKUP($AB$2,[4]Prices!$J$3:$K$17,2,FALSE)*AB212)+M212</f>
        <v>3315000</v>
      </c>
      <c r="AD212" s="69">
        <v>723850</v>
      </c>
      <c r="AE212" s="18"/>
      <c r="AF212" s="4">
        <f t="shared" si="12"/>
        <v>723850</v>
      </c>
      <c r="AG212" s="4"/>
      <c r="AH212" s="16">
        <f t="shared" si="13"/>
        <v>723850</v>
      </c>
      <c r="AI212" s="21">
        <f t="shared" si="14"/>
        <v>0.21835595776772249</v>
      </c>
      <c r="AJ212" s="20">
        <f t="shared" si="15"/>
        <v>0.21835595776772249</v>
      </c>
      <c r="AK212" s="9"/>
    </row>
    <row r="213" spans="1:37" hidden="1">
      <c r="A213" s="77">
        <v>211</v>
      </c>
      <c r="B213" s="78"/>
      <c r="C213" s="79"/>
      <c r="D213" s="79"/>
      <c r="E213" s="79"/>
      <c r="F213" s="79"/>
      <c r="G213" s="79"/>
      <c r="H213" s="80"/>
      <c r="I213" s="45" t="s">
        <v>955</v>
      </c>
      <c r="J213" s="45" t="s">
        <v>1387</v>
      </c>
      <c r="K213" s="46" t="s">
        <v>652</v>
      </c>
      <c r="L213" s="47" t="s">
        <v>1307</v>
      </c>
      <c r="M213" s="81">
        <f>IFERROR(VLOOKUP($L213,[3]Consolidated!$C$9:$AC$452,27,0),0)</f>
        <v>0</v>
      </c>
      <c r="N213" s="81">
        <f>IFERROR(VLOOKUP($L213,[3]Consolidated!$C$9:$AC$452,5,0),0)</f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4">
        <f>(VLOOKUP($O$2,[4]Prices!$E$3:$K$17,2,FALSE)*O213)+(VLOOKUP($P$2,[4]Prices!$J$3:$K$17,2,FALSE)*P213)+(VLOOKUP($Q$2,[4]Prices!$J$3:$K$17,2,FALSE)*Q213)+(VLOOKUP($R$2,[4]Prices!$J$3:$K$17,2,FALSE)*R213)+(VLOOKUP($S$2,[4]Prices!$J$3:$K$17,2,FALSE)*S213)+(VLOOKUP($T$2,[4]Prices!$J$3:$K$17,2,FALSE)*T213)+(VLOOKUP($U$2,[4]Prices!$J$3:$K$17,2,FALSE)*U213)+(VLOOKUP($V$2,[4]Prices!$J$3:$K$17,2,FALSE)*V213)+(VLOOKUP($W$2,[4]Prices!$J$3:$K$17,2,FALSE)*W213)+(VLOOKUP($X$2,[4]Prices!$J$3:$K$17,2,FALSE)*X213)+(VLOOKUP($Y$2,[4]Prices!$J$3:$K$17,2,FALSE)*Y213)+(VLOOKUP($Z$2,[4]Prices!$J$3:$K$17,2,FALSE)*Z213)+(VLOOKUP($AA$2,[4]Prices!$J$3:$K$17,2,FALSE)*AA213)+(VLOOKUP($AB$2,[4]Prices!$J$3:$K$17,2,FALSE)*AB213)+M213</f>
        <v>0</v>
      </c>
      <c r="AD213" s="79">
        <v>0</v>
      </c>
      <c r="AE213" s="18"/>
      <c r="AF213" s="4">
        <f t="shared" si="12"/>
        <v>0</v>
      </c>
      <c r="AG213" s="4"/>
      <c r="AH213" s="16">
        <f t="shared" si="13"/>
        <v>0</v>
      </c>
      <c r="AI213" s="21" t="e">
        <f t="shared" si="14"/>
        <v>#DIV/0!</v>
      </c>
      <c r="AJ213" s="20" t="e">
        <f t="shared" si="15"/>
        <v>#DIV/0!</v>
      </c>
      <c r="AK213" s="9"/>
    </row>
    <row r="214" spans="1:37">
      <c r="A214" s="77">
        <v>212</v>
      </c>
      <c r="B214" s="78"/>
      <c r="C214" s="79"/>
      <c r="D214" s="79"/>
      <c r="E214" s="79"/>
      <c r="F214" s="79"/>
      <c r="G214" s="79"/>
      <c r="H214" s="80"/>
      <c r="I214" s="45" t="s">
        <v>960</v>
      </c>
      <c r="J214" s="45" t="s">
        <v>1387</v>
      </c>
      <c r="K214" s="46" t="s">
        <v>654</v>
      </c>
      <c r="L214" s="47" t="s">
        <v>1312</v>
      </c>
      <c r="M214" s="81">
        <f>IFERROR(VLOOKUP($L214,[3]Consolidated!$C$9:$AC$452,27,0),0)</f>
        <v>3809500</v>
      </c>
      <c r="N214" s="81">
        <f>IFERROR(VLOOKUP($L214,[3]Consolidated!$C$9:$AC$452,5,0),0)</f>
        <v>20</v>
      </c>
      <c r="O214" s="5">
        <v>5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4">
        <f>(VLOOKUP($O$2,[4]Prices!$E$3:$K$17,2,FALSE)*O214)+(VLOOKUP($P$2,[4]Prices!$J$3:$K$17,2,FALSE)*P214)+(VLOOKUP($Q$2,[4]Prices!$J$3:$K$17,2,FALSE)*Q214)+(VLOOKUP($R$2,[4]Prices!$J$3:$K$17,2,FALSE)*R214)+(VLOOKUP($S$2,[4]Prices!$J$3:$K$17,2,FALSE)*S214)+(VLOOKUP($T$2,[4]Prices!$J$3:$K$17,2,FALSE)*T214)+(VLOOKUP($U$2,[4]Prices!$J$3:$K$17,2,FALSE)*U214)+(VLOOKUP($V$2,[4]Prices!$J$3:$K$17,2,FALSE)*V214)+(VLOOKUP($W$2,[4]Prices!$J$3:$K$17,2,FALSE)*W214)+(VLOOKUP($X$2,[4]Prices!$J$3:$K$17,2,FALSE)*X214)+(VLOOKUP($Y$2,[4]Prices!$J$3:$K$17,2,FALSE)*Y214)+(VLOOKUP($Z$2,[4]Prices!$J$3:$K$17,2,FALSE)*Z214)+(VLOOKUP($AA$2,[4]Prices!$J$3:$K$17,2,FALSE)*AA214)+(VLOOKUP($AB$2,[4]Prices!$J$3:$K$17,2,FALSE)*AB214)+M214</f>
        <v>5114500</v>
      </c>
      <c r="AD214" s="69">
        <v>2113500</v>
      </c>
      <c r="AE214" s="18"/>
      <c r="AF214" s="4">
        <f t="shared" si="12"/>
        <v>2113500</v>
      </c>
      <c r="AG214" s="4">
        <v>730000</v>
      </c>
      <c r="AH214" s="16">
        <f t="shared" si="13"/>
        <v>2843500</v>
      </c>
      <c r="AI214" s="21">
        <f t="shared" si="14"/>
        <v>0.74642341514634469</v>
      </c>
      <c r="AJ214" s="20">
        <f t="shared" si="15"/>
        <v>0.55596832534949658</v>
      </c>
      <c r="AK214" s="9"/>
    </row>
    <row r="215" spans="1:37" hidden="1">
      <c r="A215" s="77">
        <v>213</v>
      </c>
      <c r="B215" s="78"/>
      <c r="C215" s="79"/>
      <c r="D215" s="79"/>
      <c r="E215" s="79"/>
      <c r="F215" s="79"/>
      <c r="G215" s="79"/>
      <c r="H215" s="80"/>
      <c r="I215" s="45" t="s">
        <v>898</v>
      </c>
      <c r="J215" s="45" t="s">
        <v>1387</v>
      </c>
      <c r="K215" s="46" t="s">
        <v>655</v>
      </c>
      <c r="L215" s="47" t="s">
        <v>1298</v>
      </c>
      <c r="M215" s="81">
        <f>IFERROR(VLOOKUP($L215,[3]Consolidated!$C$9:$AC$452,27,0),0)</f>
        <v>14766875</v>
      </c>
      <c r="N215" s="81">
        <f>IFERROR(VLOOKUP($L215,[3]Consolidated!$C$9:$AC$452,5,0),0)</f>
        <v>70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4">
        <f>(VLOOKUP($O$2,[4]Prices!$E$3:$K$17,2,FALSE)*O215)+(VLOOKUP($P$2,[4]Prices!$J$3:$K$17,2,FALSE)*P215)+(VLOOKUP($Q$2,[4]Prices!$J$3:$K$17,2,FALSE)*Q215)+(VLOOKUP($R$2,[4]Prices!$J$3:$K$17,2,FALSE)*R215)+(VLOOKUP($S$2,[4]Prices!$J$3:$K$17,2,FALSE)*S215)+(VLOOKUP($T$2,[4]Prices!$J$3:$K$17,2,FALSE)*T215)+(VLOOKUP($U$2,[4]Prices!$J$3:$K$17,2,FALSE)*U215)+(VLOOKUP($V$2,[4]Prices!$J$3:$K$17,2,FALSE)*V215)+(VLOOKUP($W$2,[4]Prices!$J$3:$K$17,2,FALSE)*W215)+(VLOOKUP($X$2,[4]Prices!$J$3:$K$17,2,FALSE)*X215)+(VLOOKUP($Y$2,[4]Prices!$J$3:$K$17,2,FALSE)*Y215)+(VLOOKUP($Z$2,[4]Prices!$J$3:$K$17,2,FALSE)*Z215)+(VLOOKUP($AA$2,[4]Prices!$J$3:$K$17,2,FALSE)*AA215)+(VLOOKUP($AB$2,[4]Prices!$J$3:$K$17,2,FALSE)*AB215)+M215</f>
        <v>14766875</v>
      </c>
      <c r="AD215" s="69">
        <v>4707000</v>
      </c>
      <c r="AE215" s="18"/>
      <c r="AF215" s="4">
        <f t="shared" si="12"/>
        <v>4707000</v>
      </c>
      <c r="AG215" s="4"/>
      <c r="AH215" s="16">
        <f t="shared" si="13"/>
        <v>4707000</v>
      </c>
      <c r="AI215" s="21">
        <f t="shared" si="14"/>
        <v>0.31875396791805982</v>
      </c>
      <c r="AJ215" s="20">
        <f t="shared" si="15"/>
        <v>0.31875396791805982</v>
      </c>
      <c r="AK215" s="9"/>
    </row>
    <row r="216" spans="1:37" hidden="1">
      <c r="A216" s="77">
        <v>214</v>
      </c>
      <c r="B216" s="78"/>
      <c r="C216" s="79"/>
      <c r="D216" s="79"/>
      <c r="E216" s="79"/>
      <c r="F216" s="79"/>
      <c r="G216" s="79"/>
      <c r="H216" s="80"/>
      <c r="I216" s="45" t="s">
        <v>947</v>
      </c>
      <c r="J216" s="45" t="s">
        <v>1387</v>
      </c>
      <c r="K216" s="46" t="s">
        <v>655</v>
      </c>
      <c r="L216" s="46" t="s">
        <v>1299</v>
      </c>
      <c r="M216" s="81">
        <f>IFERROR(VLOOKUP($L216,[3]Consolidated!$C$9:$AC$452,27,0),0)</f>
        <v>0</v>
      </c>
      <c r="N216" s="81">
        <f>IFERROR(VLOOKUP($L216,[3]Consolidated!$C$9:$AC$452,5,0),0)</f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4">
        <f>(VLOOKUP($O$2,[4]Prices!$E$3:$K$17,2,FALSE)*O216)+(VLOOKUP($P$2,[4]Prices!$J$3:$K$17,2,FALSE)*P216)+(VLOOKUP($Q$2,[4]Prices!$J$3:$K$17,2,FALSE)*Q216)+(VLOOKUP($R$2,[4]Prices!$J$3:$K$17,2,FALSE)*R216)+(VLOOKUP($S$2,[4]Prices!$J$3:$K$17,2,FALSE)*S216)+(VLOOKUP($T$2,[4]Prices!$J$3:$K$17,2,FALSE)*T216)+(VLOOKUP($U$2,[4]Prices!$J$3:$K$17,2,FALSE)*U216)+(VLOOKUP($V$2,[4]Prices!$J$3:$K$17,2,FALSE)*V216)+(VLOOKUP($W$2,[4]Prices!$J$3:$K$17,2,FALSE)*W216)+(VLOOKUP($X$2,[4]Prices!$J$3:$K$17,2,FALSE)*X216)+(VLOOKUP($Y$2,[4]Prices!$J$3:$K$17,2,FALSE)*Y216)+(VLOOKUP($Z$2,[4]Prices!$J$3:$K$17,2,FALSE)*Z216)+(VLOOKUP($AA$2,[4]Prices!$J$3:$K$17,2,FALSE)*AA216)+(VLOOKUP($AB$2,[4]Prices!$J$3:$K$17,2,FALSE)*AB216)+M216</f>
        <v>0</v>
      </c>
      <c r="AD216" s="79">
        <v>0</v>
      </c>
      <c r="AE216" s="18"/>
      <c r="AF216" s="4">
        <f t="shared" si="12"/>
        <v>0</v>
      </c>
      <c r="AG216" s="4"/>
      <c r="AH216" s="16">
        <f t="shared" si="13"/>
        <v>0</v>
      </c>
      <c r="AI216" s="21" t="e">
        <f t="shared" si="14"/>
        <v>#DIV/0!</v>
      </c>
      <c r="AJ216" s="20" t="e">
        <f t="shared" si="15"/>
        <v>#DIV/0!</v>
      </c>
      <c r="AK216" s="9"/>
    </row>
    <row r="217" spans="1:37" hidden="1">
      <c r="A217" s="77">
        <v>215</v>
      </c>
      <c r="B217" s="78"/>
      <c r="C217" s="79"/>
      <c r="D217" s="79"/>
      <c r="E217" s="79"/>
      <c r="F217" s="79"/>
      <c r="G217" s="79"/>
      <c r="H217" s="80"/>
      <c r="I217" s="45" t="s">
        <v>956</v>
      </c>
      <c r="J217" s="45" t="s">
        <v>1387</v>
      </c>
      <c r="K217" s="46" t="s">
        <v>652</v>
      </c>
      <c r="L217" s="47" t="s">
        <v>1308</v>
      </c>
      <c r="M217" s="81">
        <f>IFERROR(VLOOKUP($L217,[3]Consolidated!$C$9:$AC$452,27,0),0)</f>
        <v>4138000</v>
      </c>
      <c r="N217" s="81">
        <f>IFERROR(VLOOKUP($L217,[3]Consolidated!$C$9:$AC$452,5,0),0)</f>
        <v>20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4">
        <f>(VLOOKUP($O$2,[4]Prices!$E$3:$K$17,2,FALSE)*O217)+(VLOOKUP($P$2,[4]Prices!$J$3:$K$17,2,FALSE)*P217)+(VLOOKUP($Q$2,[4]Prices!$J$3:$K$17,2,FALSE)*Q217)+(VLOOKUP($R$2,[4]Prices!$J$3:$K$17,2,FALSE)*R217)+(VLOOKUP($S$2,[4]Prices!$J$3:$K$17,2,FALSE)*S217)+(VLOOKUP($T$2,[4]Prices!$J$3:$K$17,2,FALSE)*T217)+(VLOOKUP($U$2,[4]Prices!$J$3:$K$17,2,FALSE)*U217)+(VLOOKUP($V$2,[4]Prices!$J$3:$K$17,2,FALSE)*V217)+(VLOOKUP($W$2,[4]Prices!$J$3:$K$17,2,FALSE)*W217)+(VLOOKUP($X$2,[4]Prices!$J$3:$K$17,2,FALSE)*X217)+(VLOOKUP($Y$2,[4]Prices!$J$3:$K$17,2,FALSE)*Y217)+(VLOOKUP($Z$2,[4]Prices!$J$3:$K$17,2,FALSE)*Z217)+(VLOOKUP($AA$2,[4]Prices!$J$3:$K$17,2,FALSE)*AA217)+(VLOOKUP($AB$2,[4]Prices!$J$3:$K$17,2,FALSE)*AB217)+M217</f>
        <v>4138000</v>
      </c>
      <c r="AD217" s="69">
        <v>723500</v>
      </c>
      <c r="AE217" s="18"/>
      <c r="AF217" s="4">
        <f t="shared" si="12"/>
        <v>723500</v>
      </c>
      <c r="AG217" s="4"/>
      <c r="AH217" s="16">
        <f t="shared" si="13"/>
        <v>723500</v>
      </c>
      <c r="AI217" s="21">
        <f t="shared" si="14"/>
        <v>0.1748429192846786</v>
      </c>
      <c r="AJ217" s="20">
        <f t="shared" si="15"/>
        <v>0.1748429192846786</v>
      </c>
      <c r="AK217" s="9"/>
    </row>
    <row r="218" spans="1:37" hidden="1">
      <c r="A218" s="77">
        <v>216</v>
      </c>
      <c r="B218" s="78"/>
      <c r="C218" s="79"/>
      <c r="D218" s="79"/>
      <c r="E218" s="79"/>
      <c r="F218" s="79"/>
      <c r="G218" s="79"/>
      <c r="H218" s="80"/>
      <c r="I218" s="45" t="s">
        <v>890</v>
      </c>
      <c r="J218" s="45" t="s">
        <v>1387</v>
      </c>
      <c r="K218" s="46" t="s">
        <v>654</v>
      </c>
      <c r="L218" s="46" t="s">
        <v>1242</v>
      </c>
      <c r="M218" s="81">
        <f>IFERROR(VLOOKUP($L218,[3]Consolidated!$C$9:$AC$452,27,0),0)</f>
        <v>1985000</v>
      </c>
      <c r="N218" s="81">
        <f>IFERROR(VLOOKUP($L218,[3]Consolidated!$C$9:$AC$452,5,0),0)</f>
        <v>10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4">
        <f>(VLOOKUP($O$2,[4]Prices!$E$3:$K$17,2,FALSE)*O218)+(VLOOKUP($P$2,[4]Prices!$J$3:$K$17,2,FALSE)*P218)+(VLOOKUP($Q$2,[4]Prices!$J$3:$K$17,2,FALSE)*Q218)+(VLOOKUP($R$2,[4]Prices!$J$3:$K$17,2,FALSE)*R218)+(VLOOKUP($S$2,[4]Prices!$J$3:$K$17,2,FALSE)*S218)+(VLOOKUP($T$2,[4]Prices!$J$3:$K$17,2,FALSE)*T218)+(VLOOKUP($U$2,[4]Prices!$J$3:$K$17,2,FALSE)*U218)+(VLOOKUP($V$2,[4]Prices!$J$3:$K$17,2,FALSE)*V218)+(VLOOKUP($W$2,[4]Prices!$J$3:$K$17,2,FALSE)*W218)+(VLOOKUP($X$2,[4]Prices!$J$3:$K$17,2,FALSE)*X218)+(VLOOKUP($Y$2,[4]Prices!$J$3:$K$17,2,FALSE)*Y218)+(VLOOKUP($Z$2,[4]Prices!$J$3:$K$17,2,FALSE)*Z218)+(VLOOKUP($AA$2,[4]Prices!$J$3:$K$17,2,FALSE)*AA218)+(VLOOKUP($AB$2,[4]Prices!$J$3:$K$17,2,FALSE)*AB218)+M218</f>
        <v>1985000</v>
      </c>
      <c r="AD218" s="79">
        <v>0</v>
      </c>
      <c r="AE218" s="18"/>
      <c r="AF218" s="4">
        <f t="shared" si="12"/>
        <v>0</v>
      </c>
      <c r="AG218" s="4"/>
      <c r="AH218" s="16">
        <f t="shared" si="13"/>
        <v>0</v>
      </c>
      <c r="AI218" s="21">
        <f t="shared" si="14"/>
        <v>0</v>
      </c>
      <c r="AJ218" s="20">
        <f t="shared" si="15"/>
        <v>0</v>
      </c>
      <c r="AK218" s="9"/>
    </row>
    <row r="219" spans="1:37" hidden="1">
      <c r="A219" s="77">
        <v>217</v>
      </c>
      <c r="B219" s="78"/>
      <c r="C219" s="79"/>
      <c r="D219" s="79"/>
      <c r="E219" s="79"/>
      <c r="F219" s="79"/>
      <c r="G219" s="79"/>
      <c r="H219" s="80"/>
      <c r="I219" s="45" t="s">
        <v>914</v>
      </c>
      <c r="J219" s="45" t="s">
        <v>1387</v>
      </c>
      <c r="K219" s="46" t="s">
        <v>655</v>
      </c>
      <c r="L219" s="46" t="s">
        <v>1265</v>
      </c>
      <c r="M219" s="81">
        <f>IFERROR(VLOOKUP($L219,[3]Consolidated!$C$9:$AC$452,27,0),0)</f>
        <v>0</v>
      </c>
      <c r="N219" s="81">
        <f>IFERROR(VLOOKUP($L219,[3]Consolidated!$C$9:$AC$452,5,0),0)</f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4">
        <f>(VLOOKUP($O$2,[4]Prices!$E$3:$K$17,2,FALSE)*O219)+(VLOOKUP($P$2,[4]Prices!$J$3:$K$17,2,FALSE)*P219)+(VLOOKUP($Q$2,[4]Prices!$J$3:$K$17,2,FALSE)*Q219)+(VLOOKUP($R$2,[4]Prices!$J$3:$K$17,2,FALSE)*R219)+(VLOOKUP($S$2,[4]Prices!$J$3:$K$17,2,FALSE)*S219)+(VLOOKUP($T$2,[4]Prices!$J$3:$K$17,2,FALSE)*T219)+(VLOOKUP($U$2,[4]Prices!$J$3:$K$17,2,FALSE)*U219)+(VLOOKUP($V$2,[4]Prices!$J$3:$K$17,2,FALSE)*V219)+(VLOOKUP($W$2,[4]Prices!$J$3:$K$17,2,FALSE)*W219)+(VLOOKUP($X$2,[4]Prices!$J$3:$K$17,2,FALSE)*X219)+(VLOOKUP($Y$2,[4]Prices!$J$3:$K$17,2,FALSE)*Y219)+(VLOOKUP($Z$2,[4]Prices!$J$3:$K$17,2,FALSE)*Z219)+(VLOOKUP($AA$2,[4]Prices!$J$3:$K$17,2,FALSE)*AA219)+(VLOOKUP($AB$2,[4]Prices!$J$3:$K$17,2,FALSE)*AB219)+M219</f>
        <v>0</v>
      </c>
      <c r="AD219" s="79">
        <v>0</v>
      </c>
      <c r="AE219" s="18"/>
      <c r="AF219" s="4">
        <f t="shared" si="12"/>
        <v>0</v>
      </c>
      <c r="AG219" s="4"/>
      <c r="AH219" s="16">
        <f t="shared" si="13"/>
        <v>0</v>
      </c>
      <c r="AI219" s="21" t="e">
        <f t="shared" si="14"/>
        <v>#DIV/0!</v>
      </c>
      <c r="AJ219" s="20" t="e">
        <f t="shared" si="15"/>
        <v>#DIV/0!</v>
      </c>
      <c r="AK219" s="19"/>
    </row>
    <row r="220" spans="1:37" hidden="1">
      <c r="A220" s="77">
        <v>218</v>
      </c>
      <c r="B220" s="78"/>
      <c r="C220" s="79"/>
      <c r="D220" s="79"/>
      <c r="E220" s="79"/>
      <c r="F220" s="79"/>
      <c r="G220" s="79"/>
      <c r="H220" s="80"/>
      <c r="I220" s="45" t="s">
        <v>949</v>
      </c>
      <c r="J220" s="45" t="s">
        <v>1387</v>
      </c>
      <c r="K220" s="46" t="s">
        <v>653</v>
      </c>
      <c r="L220" s="47" t="s">
        <v>1300</v>
      </c>
      <c r="M220" s="81">
        <f>IFERROR(VLOOKUP($L220,[3]Consolidated!$C$9:$AC$452,27,0),0)</f>
        <v>0</v>
      </c>
      <c r="N220" s="81">
        <f>IFERROR(VLOOKUP($L220,[3]Consolidated!$C$9:$AC$452,5,0),0)</f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4">
        <f>(VLOOKUP($O$2,[4]Prices!$E$3:$K$17,2,FALSE)*O220)+(VLOOKUP($P$2,[4]Prices!$J$3:$K$17,2,FALSE)*P220)+(VLOOKUP($Q$2,[4]Prices!$J$3:$K$17,2,FALSE)*Q220)+(VLOOKUP($R$2,[4]Prices!$J$3:$K$17,2,FALSE)*R220)+(VLOOKUP($S$2,[4]Prices!$J$3:$K$17,2,FALSE)*S220)+(VLOOKUP($T$2,[4]Prices!$J$3:$K$17,2,FALSE)*T220)+(VLOOKUP($U$2,[4]Prices!$J$3:$K$17,2,FALSE)*U220)+(VLOOKUP($V$2,[4]Prices!$J$3:$K$17,2,FALSE)*V220)+(VLOOKUP($W$2,[4]Prices!$J$3:$K$17,2,FALSE)*W220)+(VLOOKUP($X$2,[4]Prices!$J$3:$K$17,2,FALSE)*X220)+(VLOOKUP($Y$2,[4]Prices!$J$3:$K$17,2,FALSE)*Y220)+(VLOOKUP($Z$2,[4]Prices!$J$3:$K$17,2,FALSE)*Z220)+(VLOOKUP($AA$2,[4]Prices!$J$3:$K$17,2,FALSE)*AA220)+(VLOOKUP($AB$2,[4]Prices!$J$3:$K$17,2,FALSE)*AB220)+M220</f>
        <v>0</v>
      </c>
      <c r="AD220" s="79">
        <v>0</v>
      </c>
      <c r="AE220" s="18"/>
      <c r="AF220" s="4">
        <f t="shared" si="12"/>
        <v>0</v>
      </c>
      <c r="AG220" s="4"/>
      <c r="AH220" s="16">
        <f t="shared" si="13"/>
        <v>0</v>
      </c>
      <c r="AI220" s="21" t="e">
        <f t="shared" si="14"/>
        <v>#DIV/0!</v>
      </c>
      <c r="AJ220" s="20" t="e">
        <f t="shared" si="15"/>
        <v>#DIV/0!</v>
      </c>
      <c r="AK220" s="9"/>
    </row>
    <row r="221" spans="1:37" hidden="1">
      <c r="A221" s="77">
        <v>219</v>
      </c>
      <c r="B221" s="78"/>
      <c r="C221" s="79"/>
      <c r="D221" s="79"/>
      <c r="E221" s="79"/>
      <c r="F221" s="79"/>
      <c r="G221" s="79"/>
      <c r="H221" s="80"/>
      <c r="I221" s="45" t="s">
        <v>1356</v>
      </c>
      <c r="J221" s="45" t="s">
        <v>1387</v>
      </c>
      <c r="K221" s="46" t="s">
        <v>657</v>
      </c>
      <c r="L221" s="47" t="s">
        <v>1354</v>
      </c>
      <c r="M221" s="81">
        <f>IFERROR(VLOOKUP($L221,[3]Consolidated!$C$9:$AC$452,27,0),0)</f>
        <v>9962000</v>
      </c>
      <c r="N221" s="81">
        <f>IFERROR(VLOOKUP($L221,[3]Consolidated!$C$9:$AC$452,5,0),0)</f>
        <v>40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4">
        <f>(VLOOKUP($O$2,[4]Prices!$E$3:$K$17,2,FALSE)*O221)+(VLOOKUP($P$2,[4]Prices!$J$3:$K$17,2,FALSE)*P221)+(VLOOKUP($Q$2,[4]Prices!$J$3:$K$17,2,FALSE)*Q221)+(VLOOKUP($R$2,[4]Prices!$J$3:$K$17,2,FALSE)*R221)+(VLOOKUP($S$2,[4]Prices!$J$3:$K$17,2,FALSE)*S221)+(VLOOKUP($T$2,[4]Prices!$J$3:$K$17,2,FALSE)*T221)+(VLOOKUP($U$2,[4]Prices!$J$3:$K$17,2,FALSE)*U221)+(VLOOKUP($V$2,[4]Prices!$J$3:$K$17,2,FALSE)*V221)+(VLOOKUP($W$2,[4]Prices!$J$3:$K$17,2,FALSE)*W221)+(VLOOKUP($X$2,[4]Prices!$J$3:$K$17,2,FALSE)*X221)+(VLOOKUP($Y$2,[4]Prices!$J$3:$K$17,2,FALSE)*Y221)+(VLOOKUP($Z$2,[4]Prices!$J$3:$K$17,2,FALSE)*Z221)+(VLOOKUP($AA$2,[4]Prices!$J$3:$K$17,2,FALSE)*AA221)+(VLOOKUP($AB$2,[4]Prices!$J$3:$K$17,2,FALSE)*AB221)+M221</f>
        <v>9962000</v>
      </c>
      <c r="AD221" s="69">
        <v>1044500</v>
      </c>
      <c r="AE221" s="18"/>
      <c r="AF221" s="4">
        <f t="shared" si="12"/>
        <v>1044500</v>
      </c>
      <c r="AG221" s="4"/>
      <c r="AH221" s="16">
        <f t="shared" si="13"/>
        <v>1044500</v>
      </c>
      <c r="AI221" s="21">
        <f t="shared" si="14"/>
        <v>0.10484842401124272</v>
      </c>
      <c r="AJ221" s="20">
        <f t="shared" si="15"/>
        <v>0.10484842401124272</v>
      </c>
      <c r="AK221" s="9"/>
    </row>
    <row r="222" spans="1:37" hidden="1">
      <c r="A222" s="77">
        <v>220</v>
      </c>
      <c r="B222" s="78"/>
      <c r="C222" s="79"/>
      <c r="D222" s="79"/>
      <c r="E222" s="79"/>
      <c r="F222" s="79"/>
      <c r="G222" s="79"/>
      <c r="H222" s="80"/>
      <c r="I222" s="45" t="s">
        <v>1399</v>
      </c>
      <c r="J222" s="45" t="s">
        <v>1387</v>
      </c>
      <c r="K222" s="46" t="s">
        <v>656</v>
      </c>
      <c r="L222" s="47" t="s">
        <v>1397</v>
      </c>
      <c r="M222" s="81">
        <f>IFERROR(VLOOKUP($L222,[3]Consolidated!$C$9:$AC$452,27,0),0)</f>
        <v>6842700</v>
      </c>
      <c r="N222" s="81">
        <f>IFERROR(VLOOKUP($L222,[3]Consolidated!$C$9:$AC$452,5,0),0)</f>
        <v>35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4">
        <f>(VLOOKUP($O$2,[4]Prices!$E$3:$K$17,2,FALSE)*O222)+(VLOOKUP($P$2,[4]Prices!$J$3:$K$17,2,FALSE)*P222)+(VLOOKUP($Q$2,[4]Prices!$J$3:$K$17,2,FALSE)*Q222)+(VLOOKUP($R$2,[4]Prices!$J$3:$K$17,2,FALSE)*R222)+(VLOOKUP($S$2,[4]Prices!$J$3:$K$17,2,FALSE)*S222)+(VLOOKUP($T$2,[4]Prices!$J$3:$K$17,2,FALSE)*T222)+(VLOOKUP($U$2,[4]Prices!$J$3:$K$17,2,FALSE)*U222)+(VLOOKUP($V$2,[4]Prices!$J$3:$K$17,2,FALSE)*V222)+(VLOOKUP($W$2,[4]Prices!$J$3:$K$17,2,FALSE)*W222)+(VLOOKUP($X$2,[4]Prices!$J$3:$K$17,2,FALSE)*X222)+(VLOOKUP($Y$2,[4]Prices!$J$3:$K$17,2,FALSE)*Y222)+(VLOOKUP($Z$2,[4]Prices!$J$3:$K$17,2,FALSE)*Z222)+(VLOOKUP($AA$2,[4]Prices!$J$3:$K$17,2,FALSE)*AA222)+(VLOOKUP($AB$2,[4]Prices!$J$3:$K$17,2,FALSE)*AB222)+M222</f>
        <v>6842700</v>
      </c>
      <c r="AD222" s="69">
        <v>1750250</v>
      </c>
      <c r="AE222" s="18"/>
      <c r="AF222" s="4">
        <f t="shared" si="12"/>
        <v>1750250</v>
      </c>
      <c r="AG222" s="4"/>
      <c r="AH222" s="16">
        <f t="shared" si="13"/>
        <v>1750250</v>
      </c>
      <c r="AI222" s="21">
        <f t="shared" si="14"/>
        <v>0.25578353573881657</v>
      </c>
      <c r="AJ222" s="20">
        <f t="shared" si="15"/>
        <v>0.25578353573881657</v>
      </c>
      <c r="AK222" s="9"/>
    </row>
    <row r="223" spans="1:37" hidden="1">
      <c r="A223" s="77">
        <v>221</v>
      </c>
      <c r="B223" s="78"/>
      <c r="C223" s="79"/>
      <c r="D223" s="79"/>
      <c r="E223" s="79"/>
      <c r="F223" s="79"/>
      <c r="G223" s="79"/>
      <c r="H223" s="80"/>
      <c r="I223" s="45" t="s">
        <v>954</v>
      </c>
      <c r="J223" s="45" t="s">
        <v>1387</v>
      </c>
      <c r="K223" s="46" t="s">
        <v>656</v>
      </c>
      <c r="L223" s="47" t="s">
        <v>1306</v>
      </c>
      <c r="M223" s="81">
        <f>IFERROR(VLOOKUP($L223,[3]Consolidated!$C$9:$AC$452,27,0),0)</f>
        <v>10347400</v>
      </c>
      <c r="N223" s="81">
        <f>IFERROR(VLOOKUP($L223,[3]Consolidated!$C$9:$AC$452,5,0),0)</f>
        <v>45.000000000000007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4">
        <f>(VLOOKUP($O$2,[4]Prices!$E$3:$K$17,2,FALSE)*O223)+(VLOOKUP($P$2,[4]Prices!$J$3:$K$17,2,FALSE)*P223)+(VLOOKUP($Q$2,[4]Prices!$J$3:$K$17,2,FALSE)*Q223)+(VLOOKUP($R$2,[4]Prices!$J$3:$K$17,2,FALSE)*R223)+(VLOOKUP($S$2,[4]Prices!$J$3:$K$17,2,FALSE)*S223)+(VLOOKUP($T$2,[4]Prices!$J$3:$K$17,2,FALSE)*T223)+(VLOOKUP($U$2,[4]Prices!$J$3:$K$17,2,FALSE)*U223)+(VLOOKUP($V$2,[4]Prices!$J$3:$K$17,2,FALSE)*V223)+(VLOOKUP($W$2,[4]Prices!$J$3:$K$17,2,FALSE)*W223)+(VLOOKUP($X$2,[4]Prices!$J$3:$K$17,2,FALSE)*X223)+(VLOOKUP($Y$2,[4]Prices!$J$3:$K$17,2,FALSE)*Y223)+(VLOOKUP($Z$2,[4]Prices!$J$3:$K$17,2,FALSE)*Z223)+(VLOOKUP($AA$2,[4]Prices!$J$3:$K$17,2,FALSE)*AA223)+(VLOOKUP($AB$2,[4]Prices!$J$3:$K$17,2,FALSE)*AB223)+M223</f>
        <v>10347400</v>
      </c>
      <c r="AD223" s="69">
        <v>1298390</v>
      </c>
      <c r="AE223" s="18"/>
      <c r="AF223" s="4">
        <f t="shared" si="12"/>
        <v>1298390</v>
      </c>
      <c r="AG223" s="4"/>
      <c r="AH223" s="16">
        <f t="shared" si="13"/>
        <v>1298390</v>
      </c>
      <c r="AI223" s="21">
        <f t="shared" si="14"/>
        <v>0.12547983068210372</v>
      </c>
      <c r="AJ223" s="20">
        <f t="shared" si="15"/>
        <v>0.12547983068210372</v>
      </c>
      <c r="AK223" s="9"/>
    </row>
    <row r="224" spans="1:37" hidden="1">
      <c r="A224" s="77">
        <v>222</v>
      </c>
      <c r="B224" s="78"/>
      <c r="C224" s="79"/>
      <c r="D224" s="79"/>
      <c r="E224" s="79"/>
      <c r="F224" s="79"/>
      <c r="G224" s="79"/>
      <c r="H224" s="80"/>
      <c r="I224" s="45" t="s">
        <v>1329</v>
      </c>
      <c r="J224" s="45" t="s">
        <v>1387</v>
      </c>
      <c r="K224" s="46" t="s">
        <v>656</v>
      </c>
      <c r="L224" s="47" t="s">
        <v>1339</v>
      </c>
      <c r="M224" s="81">
        <f>IFERROR(VLOOKUP($L224,[3]Consolidated!$C$9:$AC$452,27,0),0)</f>
        <v>0</v>
      </c>
      <c r="N224" s="81">
        <f>IFERROR(VLOOKUP($L224,[3]Consolidated!$C$9:$AC$452,5,0),0)</f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4">
        <f>(VLOOKUP($O$2,[4]Prices!$E$3:$K$17,2,FALSE)*O224)+(VLOOKUP($P$2,[4]Prices!$J$3:$K$17,2,FALSE)*P224)+(VLOOKUP($Q$2,[4]Prices!$J$3:$K$17,2,FALSE)*Q224)+(VLOOKUP($R$2,[4]Prices!$J$3:$K$17,2,FALSE)*R224)+(VLOOKUP($S$2,[4]Prices!$J$3:$K$17,2,FALSE)*S224)+(VLOOKUP($T$2,[4]Prices!$J$3:$K$17,2,FALSE)*T224)+(VLOOKUP($U$2,[4]Prices!$J$3:$K$17,2,FALSE)*U224)+(VLOOKUP($V$2,[4]Prices!$J$3:$K$17,2,FALSE)*V224)+(VLOOKUP($W$2,[4]Prices!$J$3:$K$17,2,FALSE)*W224)+(VLOOKUP($X$2,[4]Prices!$J$3:$K$17,2,FALSE)*X224)+(VLOOKUP($Y$2,[4]Prices!$J$3:$K$17,2,FALSE)*Y224)+(VLOOKUP($Z$2,[4]Prices!$J$3:$K$17,2,FALSE)*Z224)+(VLOOKUP($AA$2,[4]Prices!$J$3:$K$17,2,FALSE)*AA224)+(VLOOKUP($AB$2,[4]Prices!$J$3:$K$17,2,FALSE)*AB224)+M224</f>
        <v>0</v>
      </c>
      <c r="AD224" s="79">
        <v>0</v>
      </c>
      <c r="AE224" s="18"/>
      <c r="AF224" s="4">
        <f t="shared" si="12"/>
        <v>0</v>
      </c>
      <c r="AG224" s="4"/>
      <c r="AH224" s="16">
        <f t="shared" si="13"/>
        <v>0</v>
      </c>
      <c r="AI224" s="21" t="e">
        <f t="shared" si="14"/>
        <v>#DIV/0!</v>
      </c>
      <c r="AJ224" s="20" t="e">
        <f t="shared" si="15"/>
        <v>#DIV/0!</v>
      </c>
      <c r="AK224" s="9"/>
    </row>
    <row r="225" spans="1:37" hidden="1">
      <c r="A225" s="77">
        <v>223</v>
      </c>
      <c r="B225" s="78"/>
      <c r="C225" s="79"/>
      <c r="D225" s="79"/>
      <c r="E225" s="79"/>
      <c r="F225" s="79"/>
      <c r="G225" s="79"/>
      <c r="H225" s="80"/>
      <c r="I225" s="45" t="s">
        <v>959</v>
      </c>
      <c r="J225" s="45" t="s">
        <v>1387</v>
      </c>
      <c r="K225" s="46" t="s">
        <v>652</v>
      </c>
      <c r="L225" s="47" t="s">
        <v>1311</v>
      </c>
      <c r="M225" s="81">
        <f>IFERROR(VLOOKUP($L225,[3]Consolidated!$C$9:$AC$452,27,0),0)</f>
        <v>0</v>
      </c>
      <c r="N225" s="81">
        <f>IFERROR(VLOOKUP($L225,[3]Consolidated!$C$9:$AC$452,5,0),0)</f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4">
        <f>(VLOOKUP($O$2,[4]Prices!$E$3:$K$17,2,FALSE)*O225)+(VLOOKUP($P$2,[4]Prices!$J$3:$K$17,2,FALSE)*P225)+(VLOOKUP($Q$2,[4]Prices!$J$3:$K$17,2,FALSE)*Q225)+(VLOOKUP($R$2,[4]Prices!$J$3:$K$17,2,FALSE)*R225)+(VLOOKUP($S$2,[4]Prices!$J$3:$K$17,2,FALSE)*S225)+(VLOOKUP($T$2,[4]Prices!$J$3:$K$17,2,FALSE)*T225)+(VLOOKUP($U$2,[4]Prices!$J$3:$K$17,2,FALSE)*U225)+(VLOOKUP($V$2,[4]Prices!$J$3:$K$17,2,FALSE)*V225)+(VLOOKUP($W$2,[4]Prices!$J$3:$K$17,2,FALSE)*W225)+(VLOOKUP($X$2,[4]Prices!$J$3:$K$17,2,FALSE)*X225)+(VLOOKUP($Y$2,[4]Prices!$J$3:$K$17,2,FALSE)*Y225)+(VLOOKUP($Z$2,[4]Prices!$J$3:$K$17,2,FALSE)*Z225)+(VLOOKUP($AA$2,[4]Prices!$J$3:$K$17,2,FALSE)*AA225)+(VLOOKUP($AB$2,[4]Prices!$J$3:$K$17,2,FALSE)*AB225)+M225</f>
        <v>0</v>
      </c>
      <c r="AD225" s="79">
        <v>0</v>
      </c>
      <c r="AE225" s="18"/>
      <c r="AF225" s="4">
        <f t="shared" si="12"/>
        <v>0</v>
      </c>
      <c r="AG225" s="4"/>
      <c r="AH225" s="16">
        <f t="shared" si="13"/>
        <v>0</v>
      </c>
      <c r="AI225" s="21" t="e">
        <f t="shared" si="14"/>
        <v>#DIV/0!</v>
      </c>
      <c r="AJ225" s="20" t="e">
        <f t="shared" si="15"/>
        <v>#DIV/0!</v>
      </c>
      <c r="AK225" s="9"/>
    </row>
    <row r="226" spans="1:37" hidden="1">
      <c r="A226" s="77">
        <v>224</v>
      </c>
      <c r="B226" s="78"/>
      <c r="C226" s="79"/>
      <c r="D226" s="79"/>
      <c r="E226" s="79"/>
      <c r="F226" s="79"/>
      <c r="G226" s="79"/>
      <c r="H226" s="80"/>
      <c r="I226" s="45" t="s">
        <v>1400</v>
      </c>
      <c r="J226" s="45" t="s">
        <v>1387</v>
      </c>
      <c r="K226" s="46" t="s">
        <v>655</v>
      </c>
      <c r="L226" s="47" t="s">
        <v>1398</v>
      </c>
      <c r="M226" s="81">
        <f>IFERROR(VLOOKUP($L226,[3]Consolidated!$C$9:$AC$452,27,0),0)</f>
        <v>0</v>
      </c>
      <c r="N226" s="81">
        <f>IFERROR(VLOOKUP($L226,[3]Consolidated!$C$9:$AC$452,5,0),0)</f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4">
        <f>(VLOOKUP($O$2,[4]Prices!$E$3:$K$17,2,FALSE)*O226)+(VLOOKUP($P$2,[4]Prices!$J$3:$K$17,2,FALSE)*P226)+(VLOOKUP($Q$2,[4]Prices!$J$3:$K$17,2,FALSE)*Q226)+(VLOOKUP($R$2,[4]Prices!$J$3:$K$17,2,FALSE)*R226)+(VLOOKUP($S$2,[4]Prices!$J$3:$K$17,2,FALSE)*S226)+(VLOOKUP($T$2,[4]Prices!$J$3:$K$17,2,FALSE)*T226)+(VLOOKUP($U$2,[4]Prices!$J$3:$K$17,2,FALSE)*U226)+(VLOOKUP($V$2,[4]Prices!$J$3:$K$17,2,FALSE)*V226)+(VLOOKUP($W$2,[4]Prices!$J$3:$K$17,2,FALSE)*W226)+(VLOOKUP($X$2,[4]Prices!$J$3:$K$17,2,FALSE)*X226)+(VLOOKUP($Y$2,[4]Prices!$J$3:$K$17,2,FALSE)*Y226)+(VLOOKUP($Z$2,[4]Prices!$J$3:$K$17,2,FALSE)*Z226)+(VLOOKUP($AA$2,[4]Prices!$J$3:$K$17,2,FALSE)*AA226)+(VLOOKUP($AB$2,[4]Prices!$J$3:$K$17,2,FALSE)*AB226)+M226</f>
        <v>0</v>
      </c>
      <c r="AD226" s="79">
        <v>0</v>
      </c>
      <c r="AE226" s="18"/>
      <c r="AF226" s="4">
        <f t="shared" si="12"/>
        <v>0</v>
      </c>
      <c r="AG226" s="4"/>
      <c r="AH226" s="16">
        <f t="shared" si="13"/>
        <v>0</v>
      </c>
      <c r="AI226" s="21" t="e">
        <f t="shared" si="14"/>
        <v>#DIV/0!</v>
      </c>
      <c r="AJ226" s="20" t="e">
        <f t="shared" si="15"/>
        <v>#DIV/0!</v>
      </c>
      <c r="AK226" s="9"/>
    </row>
    <row r="227" spans="1:37" hidden="1">
      <c r="A227" s="77">
        <v>225</v>
      </c>
      <c r="B227" s="78"/>
      <c r="C227" s="79"/>
      <c r="D227" s="79"/>
      <c r="E227" s="79"/>
      <c r="F227" s="79"/>
      <c r="G227" s="79"/>
      <c r="H227" s="80"/>
      <c r="I227" s="45" t="s">
        <v>1330</v>
      </c>
      <c r="J227" s="45" t="s">
        <v>1387</v>
      </c>
      <c r="K227" s="46" t="s">
        <v>655</v>
      </c>
      <c r="L227" s="47" t="s">
        <v>1340</v>
      </c>
      <c r="M227" s="81">
        <f>IFERROR(VLOOKUP($L227,[3]Consolidated!$C$9:$AC$452,27,0),0)</f>
        <v>0</v>
      </c>
      <c r="N227" s="81">
        <f>IFERROR(VLOOKUP($L227,[3]Consolidated!$C$9:$AC$452,5,0),0)</f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4">
        <f>(VLOOKUP($O$2,[4]Prices!$E$3:$K$17,2,FALSE)*O227)+(VLOOKUP($P$2,[4]Prices!$J$3:$K$17,2,FALSE)*P227)+(VLOOKUP($Q$2,[4]Prices!$J$3:$K$17,2,FALSE)*Q227)+(VLOOKUP($R$2,[4]Prices!$J$3:$K$17,2,FALSE)*R227)+(VLOOKUP($S$2,[4]Prices!$J$3:$K$17,2,FALSE)*S227)+(VLOOKUP($T$2,[4]Prices!$J$3:$K$17,2,FALSE)*T227)+(VLOOKUP($U$2,[4]Prices!$J$3:$K$17,2,FALSE)*U227)+(VLOOKUP($V$2,[4]Prices!$J$3:$K$17,2,FALSE)*V227)+(VLOOKUP($W$2,[4]Prices!$J$3:$K$17,2,FALSE)*W227)+(VLOOKUP($X$2,[4]Prices!$J$3:$K$17,2,FALSE)*X227)+(VLOOKUP($Y$2,[4]Prices!$J$3:$K$17,2,FALSE)*Y227)+(VLOOKUP($Z$2,[4]Prices!$J$3:$K$17,2,FALSE)*Z227)+(VLOOKUP($AA$2,[4]Prices!$J$3:$K$17,2,FALSE)*AA227)+(VLOOKUP($AB$2,[4]Prices!$J$3:$K$17,2,FALSE)*AB227)+M227</f>
        <v>0</v>
      </c>
      <c r="AD227" s="79">
        <v>0</v>
      </c>
      <c r="AE227" s="18"/>
      <c r="AF227" s="4">
        <f t="shared" si="12"/>
        <v>0</v>
      </c>
      <c r="AG227" s="4"/>
      <c r="AH227" s="16">
        <f t="shared" si="13"/>
        <v>0</v>
      </c>
      <c r="AI227" s="21" t="e">
        <f t="shared" si="14"/>
        <v>#DIV/0!</v>
      </c>
      <c r="AJ227" s="20" t="e">
        <f t="shared" si="15"/>
        <v>#DIV/0!</v>
      </c>
      <c r="AK227" s="9"/>
    </row>
    <row r="228" spans="1:37" hidden="1">
      <c r="A228" s="77">
        <v>226</v>
      </c>
      <c r="B228" s="78"/>
      <c r="C228" s="79"/>
      <c r="D228" s="79"/>
      <c r="E228" s="79"/>
      <c r="F228" s="79"/>
      <c r="G228" s="79"/>
      <c r="H228" s="80"/>
      <c r="I228" s="45" t="s">
        <v>782</v>
      </c>
      <c r="J228" s="45" t="s">
        <v>1389</v>
      </c>
      <c r="K228" s="46" t="s">
        <v>1401</v>
      </c>
      <c r="L228" s="47" t="s">
        <v>1097</v>
      </c>
      <c r="M228" s="81">
        <f>IFERROR(VLOOKUP($L228,[3]Consolidated!$C$9:$AC$452,27,0),0)</f>
        <v>5962500</v>
      </c>
      <c r="N228" s="81">
        <f>IFERROR(VLOOKUP($L228,[3]Consolidated!$C$9:$AC$452,5,0),0)</f>
        <v>35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4">
        <f>(VLOOKUP($O$2,[4]Prices!$E$3:$K$17,2,FALSE)*O228)+(VLOOKUP($P$2,[4]Prices!$J$3:$K$17,2,FALSE)*P228)+(VLOOKUP($Q$2,[4]Prices!$J$3:$K$17,2,FALSE)*Q228)+(VLOOKUP($R$2,[4]Prices!$J$3:$K$17,2,FALSE)*R228)+(VLOOKUP($S$2,[4]Prices!$J$3:$K$17,2,FALSE)*S228)+(VLOOKUP($T$2,[4]Prices!$J$3:$K$17,2,FALSE)*T228)+(VLOOKUP($U$2,[4]Prices!$J$3:$K$17,2,FALSE)*U228)+(VLOOKUP($V$2,[4]Prices!$J$3:$K$17,2,FALSE)*V228)+(VLOOKUP($W$2,[4]Prices!$J$3:$K$17,2,FALSE)*W228)+(VLOOKUP($X$2,[4]Prices!$J$3:$K$17,2,FALSE)*X228)+(VLOOKUP($Y$2,[4]Prices!$J$3:$K$17,2,FALSE)*Y228)+(VLOOKUP($Z$2,[4]Prices!$J$3:$K$17,2,FALSE)*Z228)+(VLOOKUP($AA$2,[4]Prices!$J$3:$K$17,2,FALSE)*AA228)+(VLOOKUP($AB$2,[4]Prices!$J$3:$K$17,2,FALSE)*AB228)+M228</f>
        <v>5962500</v>
      </c>
      <c r="AD228" s="18"/>
      <c r="AE228" s="18"/>
      <c r="AF228" s="4">
        <f t="shared" si="12"/>
        <v>0</v>
      </c>
      <c r="AG228" s="4"/>
      <c r="AH228" s="16">
        <f t="shared" si="13"/>
        <v>0</v>
      </c>
      <c r="AI228" s="21">
        <f t="shared" si="14"/>
        <v>0</v>
      </c>
      <c r="AJ228" s="20">
        <f t="shared" si="15"/>
        <v>0</v>
      </c>
      <c r="AK228" s="19"/>
    </row>
    <row r="229" spans="1:37" hidden="1">
      <c r="A229" s="77">
        <v>227</v>
      </c>
      <c r="B229" s="78"/>
      <c r="C229" s="79"/>
      <c r="D229" s="79"/>
      <c r="E229" s="79"/>
      <c r="F229" s="79"/>
      <c r="G229" s="79"/>
      <c r="H229" s="80"/>
      <c r="I229" s="45" t="s">
        <v>778</v>
      </c>
      <c r="J229" s="45" t="s">
        <v>1389</v>
      </c>
      <c r="K229" s="46" t="s">
        <v>1401</v>
      </c>
      <c r="L229" s="47" t="s">
        <v>1089</v>
      </c>
      <c r="M229" s="81">
        <f>IFERROR(VLOOKUP($L229,[3]Consolidated!$C$9:$AC$452,27,0),0)</f>
        <v>1464000</v>
      </c>
      <c r="N229" s="81">
        <f>IFERROR(VLOOKUP($L229,[3]Consolidated!$C$9:$AC$452,5,0),0)</f>
        <v>10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4">
        <f>(VLOOKUP($O$2,[4]Prices!$E$3:$K$17,2,FALSE)*O229)+(VLOOKUP($P$2,[4]Prices!$J$3:$K$17,2,FALSE)*P229)+(VLOOKUP($Q$2,[4]Prices!$J$3:$K$17,2,FALSE)*Q229)+(VLOOKUP($R$2,[4]Prices!$J$3:$K$17,2,FALSE)*R229)+(VLOOKUP($S$2,[4]Prices!$J$3:$K$17,2,FALSE)*S229)+(VLOOKUP($T$2,[4]Prices!$J$3:$K$17,2,FALSE)*T229)+(VLOOKUP($U$2,[4]Prices!$J$3:$K$17,2,FALSE)*U229)+(VLOOKUP($V$2,[4]Prices!$J$3:$K$17,2,FALSE)*V229)+(VLOOKUP($W$2,[4]Prices!$J$3:$K$17,2,FALSE)*W229)+(VLOOKUP($X$2,[4]Prices!$J$3:$K$17,2,FALSE)*X229)+(VLOOKUP($Y$2,[4]Prices!$J$3:$K$17,2,FALSE)*Y229)+(VLOOKUP($Z$2,[4]Prices!$J$3:$K$17,2,FALSE)*Z229)+(VLOOKUP($AA$2,[4]Prices!$J$3:$K$17,2,FALSE)*AA229)+(VLOOKUP($AB$2,[4]Prices!$J$3:$K$17,2,FALSE)*AB229)+M229</f>
        <v>1464000</v>
      </c>
      <c r="AD229" s="18"/>
      <c r="AE229" s="18"/>
      <c r="AF229" s="4">
        <f t="shared" si="12"/>
        <v>0</v>
      </c>
      <c r="AG229" s="4"/>
      <c r="AH229" s="16">
        <f t="shared" si="13"/>
        <v>0</v>
      </c>
      <c r="AI229" s="21">
        <f t="shared" si="14"/>
        <v>0</v>
      </c>
      <c r="AJ229" s="20">
        <f t="shared" si="15"/>
        <v>0</v>
      </c>
      <c r="AK229" s="9"/>
    </row>
    <row r="230" spans="1:37" hidden="1">
      <c r="A230" s="77">
        <v>228</v>
      </c>
      <c r="B230" s="78"/>
      <c r="C230" s="79"/>
      <c r="D230" s="79"/>
      <c r="E230" s="79"/>
      <c r="F230" s="79"/>
      <c r="G230" s="79"/>
      <c r="H230" s="80"/>
      <c r="I230" s="45" t="s">
        <v>781</v>
      </c>
      <c r="J230" s="45" t="s">
        <v>1389</v>
      </c>
      <c r="K230" s="46" t="s">
        <v>1401</v>
      </c>
      <c r="L230" s="47" t="s">
        <v>1096</v>
      </c>
      <c r="M230" s="81">
        <f>IFERROR(VLOOKUP($L230,[3]Consolidated!$C$9:$AC$452,27,0),0)</f>
        <v>2576500</v>
      </c>
      <c r="N230" s="81">
        <f>IFERROR(VLOOKUP($L230,[3]Consolidated!$C$9:$AC$452,5,0),0)</f>
        <v>15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4">
        <f>(VLOOKUP($O$2,[4]Prices!$E$3:$K$17,2,FALSE)*O230)+(VLOOKUP($P$2,[4]Prices!$J$3:$K$17,2,FALSE)*P230)+(VLOOKUP($Q$2,[4]Prices!$J$3:$K$17,2,FALSE)*Q230)+(VLOOKUP($R$2,[4]Prices!$J$3:$K$17,2,FALSE)*R230)+(VLOOKUP($S$2,[4]Prices!$J$3:$K$17,2,FALSE)*S230)+(VLOOKUP($T$2,[4]Prices!$J$3:$K$17,2,FALSE)*T230)+(VLOOKUP($U$2,[4]Prices!$J$3:$K$17,2,FALSE)*U230)+(VLOOKUP($V$2,[4]Prices!$J$3:$K$17,2,FALSE)*V230)+(VLOOKUP($W$2,[4]Prices!$J$3:$K$17,2,FALSE)*W230)+(VLOOKUP($X$2,[4]Prices!$J$3:$K$17,2,FALSE)*X230)+(VLOOKUP($Y$2,[4]Prices!$J$3:$K$17,2,FALSE)*Y230)+(VLOOKUP($Z$2,[4]Prices!$J$3:$K$17,2,FALSE)*Z230)+(VLOOKUP($AA$2,[4]Prices!$J$3:$K$17,2,FALSE)*AA230)+(VLOOKUP($AB$2,[4]Prices!$J$3:$K$17,2,FALSE)*AB230)+M230</f>
        <v>2576500</v>
      </c>
      <c r="AD230" s="18"/>
      <c r="AE230" s="18"/>
      <c r="AF230" s="4">
        <f t="shared" si="12"/>
        <v>0</v>
      </c>
      <c r="AG230" s="4"/>
      <c r="AH230" s="16">
        <f t="shared" si="13"/>
        <v>0</v>
      </c>
      <c r="AI230" s="21">
        <f t="shared" si="14"/>
        <v>0</v>
      </c>
      <c r="AJ230" s="20">
        <f t="shared" si="15"/>
        <v>0</v>
      </c>
      <c r="AK230" s="9"/>
    </row>
    <row r="231" spans="1:37" hidden="1">
      <c r="A231" s="77">
        <v>229</v>
      </c>
      <c r="B231" s="78"/>
      <c r="C231" s="79"/>
      <c r="D231" s="79"/>
      <c r="E231" s="79"/>
      <c r="F231" s="79"/>
      <c r="G231" s="79"/>
      <c r="H231" s="80"/>
      <c r="I231" s="45" t="s">
        <v>780</v>
      </c>
      <c r="J231" s="45" t="s">
        <v>1389</v>
      </c>
      <c r="K231" s="46" t="s">
        <v>1401</v>
      </c>
      <c r="L231" s="47" t="s">
        <v>1095</v>
      </c>
      <c r="M231" s="81">
        <f>IFERROR(VLOOKUP($L231,[3]Consolidated!$C$9:$AC$452,27,0),0)</f>
        <v>6145500</v>
      </c>
      <c r="N231" s="81">
        <f>IFERROR(VLOOKUP($L231,[3]Consolidated!$C$9:$AC$452,5,0),0)</f>
        <v>35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4">
        <f>(VLOOKUP($O$2,[4]Prices!$E$3:$K$17,2,FALSE)*O231)+(VLOOKUP($P$2,[4]Prices!$J$3:$K$17,2,FALSE)*P231)+(VLOOKUP($Q$2,[4]Prices!$J$3:$K$17,2,FALSE)*Q231)+(VLOOKUP($R$2,[4]Prices!$J$3:$K$17,2,FALSE)*R231)+(VLOOKUP($S$2,[4]Prices!$J$3:$K$17,2,FALSE)*S231)+(VLOOKUP($T$2,[4]Prices!$J$3:$K$17,2,FALSE)*T231)+(VLOOKUP($U$2,[4]Prices!$J$3:$K$17,2,FALSE)*U231)+(VLOOKUP($V$2,[4]Prices!$J$3:$K$17,2,FALSE)*V231)+(VLOOKUP($W$2,[4]Prices!$J$3:$K$17,2,FALSE)*W231)+(VLOOKUP($X$2,[4]Prices!$J$3:$K$17,2,FALSE)*X231)+(VLOOKUP($Y$2,[4]Prices!$J$3:$K$17,2,FALSE)*Y231)+(VLOOKUP($Z$2,[4]Prices!$J$3:$K$17,2,FALSE)*Z231)+(VLOOKUP($AA$2,[4]Prices!$J$3:$K$17,2,FALSE)*AA231)+(VLOOKUP($AB$2,[4]Prices!$J$3:$K$17,2,FALSE)*AB231)+M231</f>
        <v>6145500</v>
      </c>
      <c r="AD231" s="18"/>
      <c r="AE231" s="18"/>
      <c r="AF231" s="4">
        <f t="shared" si="12"/>
        <v>0</v>
      </c>
      <c r="AG231" s="4"/>
      <c r="AH231" s="16">
        <f t="shared" si="13"/>
        <v>0</v>
      </c>
      <c r="AI231" s="21">
        <f t="shared" si="14"/>
        <v>0</v>
      </c>
      <c r="AJ231" s="20">
        <f t="shared" si="15"/>
        <v>0</v>
      </c>
      <c r="AK231" s="9"/>
    </row>
    <row r="232" spans="1:37" hidden="1">
      <c r="A232" s="77">
        <v>230</v>
      </c>
      <c r="B232" s="78"/>
      <c r="C232" s="79"/>
      <c r="D232" s="79"/>
      <c r="E232" s="79"/>
      <c r="F232" s="79"/>
      <c r="G232" s="79"/>
      <c r="H232" s="80"/>
      <c r="I232" s="45" t="s">
        <v>1407</v>
      </c>
      <c r="J232" s="45" t="s">
        <v>1389</v>
      </c>
      <c r="K232" s="46" t="s">
        <v>1401</v>
      </c>
      <c r="L232" s="47" t="s">
        <v>1092</v>
      </c>
      <c r="M232" s="81">
        <f>IFERROR(VLOOKUP($L232,[3]Consolidated!$C$9:$AC$452,27,0),0)</f>
        <v>0</v>
      </c>
      <c r="N232" s="81">
        <f>IFERROR(VLOOKUP($L232,[3]Consolidated!$C$9:$AC$452,5,0),0)</f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4">
        <f>(VLOOKUP($O$2,[4]Prices!$E$3:$K$17,2,FALSE)*O232)+(VLOOKUP($P$2,[4]Prices!$J$3:$K$17,2,FALSE)*P232)+(VLOOKUP($Q$2,[4]Prices!$J$3:$K$17,2,FALSE)*Q232)+(VLOOKUP($R$2,[4]Prices!$J$3:$K$17,2,FALSE)*R232)+(VLOOKUP($S$2,[4]Prices!$J$3:$K$17,2,FALSE)*S232)+(VLOOKUP($T$2,[4]Prices!$J$3:$K$17,2,FALSE)*T232)+(VLOOKUP($U$2,[4]Prices!$J$3:$K$17,2,FALSE)*U232)+(VLOOKUP($V$2,[4]Prices!$J$3:$K$17,2,FALSE)*V232)+(VLOOKUP($W$2,[4]Prices!$J$3:$K$17,2,FALSE)*W232)+(VLOOKUP($X$2,[4]Prices!$J$3:$K$17,2,FALSE)*X232)+(VLOOKUP($Y$2,[4]Prices!$J$3:$K$17,2,FALSE)*Y232)+(VLOOKUP($Z$2,[4]Prices!$J$3:$K$17,2,FALSE)*Z232)+(VLOOKUP($AA$2,[4]Prices!$J$3:$K$17,2,FALSE)*AA232)+(VLOOKUP($AB$2,[4]Prices!$J$3:$K$17,2,FALSE)*AB232)+M232</f>
        <v>0</v>
      </c>
      <c r="AD232" s="18"/>
      <c r="AE232" s="18"/>
      <c r="AF232" s="4">
        <f t="shared" si="12"/>
        <v>0</v>
      </c>
      <c r="AG232" s="4"/>
      <c r="AH232" s="16">
        <f t="shared" si="13"/>
        <v>0</v>
      </c>
      <c r="AI232" s="21" t="e">
        <f t="shared" si="14"/>
        <v>#DIV/0!</v>
      </c>
      <c r="AJ232" s="20" t="e">
        <f t="shared" si="15"/>
        <v>#DIV/0!</v>
      </c>
      <c r="AK232" s="9"/>
    </row>
    <row r="233" spans="1:37" hidden="1">
      <c r="A233" s="77">
        <v>231</v>
      </c>
      <c r="B233" s="78"/>
      <c r="C233" s="79"/>
      <c r="D233" s="79"/>
      <c r="E233" s="79"/>
      <c r="F233" s="79"/>
      <c r="G233" s="79"/>
      <c r="H233" s="80"/>
      <c r="I233" s="45" t="s">
        <v>1408</v>
      </c>
      <c r="J233" s="45" t="s">
        <v>1389</v>
      </c>
      <c r="K233" s="46" t="s">
        <v>1401</v>
      </c>
      <c r="L233" s="47" t="s">
        <v>1093</v>
      </c>
      <c r="M233" s="81">
        <f>IFERROR(VLOOKUP($L233,[3]Consolidated!$C$9:$AC$452,27,0),0)</f>
        <v>5829000</v>
      </c>
      <c r="N233" s="81">
        <f>IFERROR(VLOOKUP($L233,[3]Consolidated!$C$9:$AC$452,5,0),0)</f>
        <v>36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4">
        <f>(VLOOKUP($O$2,[4]Prices!$E$3:$K$17,2,FALSE)*O233)+(VLOOKUP($P$2,[4]Prices!$J$3:$K$17,2,FALSE)*P233)+(VLOOKUP($Q$2,[4]Prices!$J$3:$K$17,2,FALSE)*Q233)+(VLOOKUP($R$2,[4]Prices!$J$3:$K$17,2,FALSE)*R233)+(VLOOKUP($S$2,[4]Prices!$J$3:$K$17,2,FALSE)*S233)+(VLOOKUP($T$2,[4]Prices!$J$3:$K$17,2,FALSE)*T233)+(VLOOKUP($U$2,[4]Prices!$J$3:$K$17,2,FALSE)*U233)+(VLOOKUP($V$2,[4]Prices!$J$3:$K$17,2,FALSE)*V233)+(VLOOKUP($W$2,[4]Prices!$J$3:$K$17,2,FALSE)*W233)+(VLOOKUP($X$2,[4]Prices!$J$3:$K$17,2,FALSE)*X233)+(VLOOKUP($Y$2,[4]Prices!$J$3:$K$17,2,FALSE)*Y233)+(VLOOKUP($Z$2,[4]Prices!$J$3:$K$17,2,FALSE)*Z233)+(VLOOKUP($AA$2,[4]Prices!$J$3:$K$17,2,FALSE)*AA233)+(VLOOKUP($AB$2,[4]Prices!$J$3:$K$17,2,FALSE)*AB233)+M233</f>
        <v>5829000</v>
      </c>
      <c r="AD233" s="18"/>
      <c r="AE233" s="18"/>
      <c r="AF233" s="4">
        <f t="shared" si="12"/>
        <v>0</v>
      </c>
      <c r="AG233" s="4"/>
      <c r="AH233" s="16">
        <f t="shared" si="13"/>
        <v>0</v>
      </c>
      <c r="AI233" s="21">
        <f t="shared" si="14"/>
        <v>0</v>
      </c>
      <c r="AJ233" s="20">
        <f t="shared" si="15"/>
        <v>0</v>
      </c>
      <c r="AK233" s="9"/>
    </row>
    <row r="234" spans="1:37" hidden="1">
      <c r="A234" s="77">
        <v>232</v>
      </c>
      <c r="B234" s="78"/>
      <c r="C234" s="79"/>
      <c r="D234" s="79"/>
      <c r="E234" s="79"/>
      <c r="F234" s="79"/>
      <c r="G234" s="79"/>
      <c r="H234" s="80"/>
      <c r="I234" s="45" t="s">
        <v>786</v>
      </c>
      <c r="J234" s="45" t="s">
        <v>1389</v>
      </c>
      <c r="K234" s="46" t="s">
        <v>1401</v>
      </c>
      <c r="L234" s="47" t="s">
        <v>1101</v>
      </c>
      <c r="M234" s="81">
        <f>IFERROR(VLOOKUP($L234,[3]Consolidated!$C$9:$AC$452,27,0),0)</f>
        <v>2324500</v>
      </c>
      <c r="N234" s="81">
        <f>IFERROR(VLOOKUP($L234,[3]Consolidated!$C$9:$AC$452,5,0),0)</f>
        <v>15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4">
        <f>(VLOOKUP($O$2,[4]Prices!$E$3:$K$17,2,FALSE)*O234)+(VLOOKUP($P$2,[4]Prices!$J$3:$K$17,2,FALSE)*P234)+(VLOOKUP($Q$2,[4]Prices!$J$3:$K$17,2,FALSE)*Q234)+(VLOOKUP($R$2,[4]Prices!$J$3:$K$17,2,FALSE)*R234)+(VLOOKUP($S$2,[4]Prices!$J$3:$K$17,2,FALSE)*S234)+(VLOOKUP($T$2,[4]Prices!$J$3:$K$17,2,FALSE)*T234)+(VLOOKUP($U$2,[4]Prices!$J$3:$K$17,2,FALSE)*U234)+(VLOOKUP($V$2,[4]Prices!$J$3:$K$17,2,FALSE)*V234)+(VLOOKUP($W$2,[4]Prices!$J$3:$K$17,2,FALSE)*W234)+(VLOOKUP($X$2,[4]Prices!$J$3:$K$17,2,FALSE)*X234)+(VLOOKUP($Y$2,[4]Prices!$J$3:$K$17,2,FALSE)*Y234)+(VLOOKUP($Z$2,[4]Prices!$J$3:$K$17,2,FALSE)*Z234)+(VLOOKUP($AA$2,[4]Prices!$J$3:$K$17,2,FALSE)*AA234)+(VLOOKUP($AB$2,[4]Prices!$J$3:$K$17,2,FALSE)*AB234)+M234</f>
        <v>2324500</v>
      </c>
      <c r="AD234" s="18"/>
      <c r="AE234" s="18"/>
      <c r="AF234" s="4">
        <f t="shared" si="12"/>
        <v>0</v>
      </c>
      <c r="AG234" s="4"/>
      <c r="AH234" s="16">
        <f t="shared" si="13"/>
        <v>0</v>
      </c>
      <c r="AI234" s="21">
        <f t="shared" si="14"/>
        <v>0</v>
      </c>
      <c r="AJ234" s="20">
        <f t="shared" si="15"/>
        <v>0</v>
      </c>
      <c r="AK234" s="9"/>
    </row>
    <row r="235" spans="1:37" hidden="1">
      <c r="A235" s="77">
        <v>233</v>
      </c>
      <c r="B235" s="78"/>
      <c r="C235" s="79"/>
      <c r="D235" s="79"/>
      <c r="E235" s="79"/>
      <c r="F235" s="79"/>
      <c r="G235" s="79"/>
      <c r="H235" s="80"/>
      <c r="I235" s="45" t="s">
        <v>785</v>
      </c>
      <c r="J235" s="45" t="s">
        <v>1389</v>
      </c>
      <c r="K235" s="46" t="s">
        <v>1401</v>
      </c>
      <c r="L235" s="47" t="s">
        <v>1100</v>
      </c>
      <c r="M235" s="81">
        <f>IFERROR(VLOOKUP($L235,[3]Consolidated!$C$9:$AC$452,27,0),0)</f>
        <v>1711000</v>
      </c>
      <c r="N235" s="81">
        <f>IFERROR(VLOOKUP($L235,[3]Consolidated!$C$9:$AC$452,5,0),0)</f>
        <v>10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4">
        <f>(VLOOKUP($O$2,[4]Prices!$E$3:$K$17,2,FALSE)*O235)+(VLOOKUP($P$2,[4]Prices!$J$3:$K$17,2,FALSE)*P235)+(VLOOKUP($Q$2,[4]Prices!$J$3:$K$17,2,FALSE)*Q235)+(VLOOKUP($R$2,[4]Prices!$J$3:$K$17,2,FALSE)*R235)+(VLOOKUP($S$2,[4]Prices!$J$3:$K$17,2,FALSE)*S235)+(VLOOKUP($T$2,[4]Prices!$J$3:$K$17,2,FALSE)*T235)+(VLOOKUP($U$2,[4]Prices!$J$3:$K$17,2,FALSE)*U235)+(VLOOKUP($V$2,[4]Prices!$J$3:$K$17,2,FALSE)*V235)+(VLOOKUP($W$2,[4]Prices!$J$3:$K$17,2,FALSE)*W235)+(VLOOKUP($X$2,[4]Prices!$J$3:$K$17,2,FALSE)*X235)+(VLOOKUP($Y$2,[4]Prices!$J$3:$K$17,2,FALSE)*Y235)+(VLOOKUP($Z$2,[4]Prices!$J$3:$K$17,2,FALSE)*Z235)+(VLOOKUP($AA$2,[4]Prices!$J$3:$K$17,2,FALSE)*AA235)+(VLOOKUP($AB$2,[4]Prices!$J$3:$K$17,2,FALSE)*AB235)+M235</f>
        <v>1711000</v>
      </c>
      <c r="AD235" s="18"/>
      <c r="AE235" s="18"/>
      <c r="AF235" s="4">
        <f t="shared" si="12"/>
        <v>0</v>
      </c>
      <c r="AG235" s="4"/>
      <c r="AH235" s="16">
        <f t="shared" si="13"/>
        <v>0</v>
      </c>
      <c r="AI235" s="21">
        <f t="shared" si="14"/>
        <v>0</v>
      </c>
      <c r="AJ235" s="20">
        <f t="shared" si="15"/>
        <v>0</v>
      </c>
      <c r="AK235" s="9"/>
    </row>
    <row r="236" spans="1:37" hidden="1">
      <c r="A236" s="77">
        <v>234</v>
      </c>
      <c r="B236" s="78"/>
      <c r="C236" s="79"/>
      <c r="D236" s="79"/>
      <c r="E236" s="79"/>
      <c r="F236" s="79"/>
      <c r="G236" s="79"/>
      <c r="H236" s="80"/>
      <c r="I236" s="45" t="s">
        <v>784</v>
      </c>
      <c r="J236" s="45" t="s">
        <v>1389</v>
      </c>
      <c r="K236" s="46" t="s">
        <v>1401</v>
      </c>
      <c r="L236" s="47" t="s">
        <v>1099</v>
      </c>
      <c r="M236" s="81">
        <f>IFERROR(VLOOKUP($L236,[3]Consolidated!$C$9:$AC$452,27,0),0)</f>
        <v>5285500</v>
      </c>
      <c r="N236" s="81">
        <f>IFERROR(VLOOKUP($L236,[3]Consolidated!$C$9:$AC$452,5,0),0)</f>
        <v>35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4">
        <f>(VLOOKUP($O$2,[4]Prices!$E$3:$K$17,2,FALSE)*O236)+(VLOOKUP($P$2,[4]Prices!$J$3:$K$17,2,FALSE)*P236)+(VLOOKUP($Q$2,[4]Prices!$J$3:$K$17,2,FALSE)*Q236)+(VLOOKUP($R$2,[4]Prices!$J$3:$K$17,2,FALSE)*R236)+(VLOOKUP($S$2,[4]Prices!$J$3:$K$17,2,FALSE)*S236)+(VLOOKUP($T$2,[4]Prices!$J$3:$K$17,2,FALSE)*T236)+(VLOOKUP($U$2,[4]Prices!$J$3:$K$17,2,FALSE)*U236)+(VLOOKUP($V$2,[4]Prices!$J$3:$K$17,2,FALSE)*V236)+(VLOOKUP($W$2,[4]Prices!$J$3:$K$17,2,FALSE)*W236)+(VLOOKUP($X$2,[4]Prices!$J$3:$K$17,2,FALSE)*X236)+(VLOOKUP($Y$2,[4]Prices!$J$3:$K$17,2,FALSE)*Y236)+(VLOOKUP($Z$2,[4]Prices!$J$3:$K$17,2,FALSE)*Z236)+(VLOOKUP($AA$2,[4]Prices!$J$3:$K$17,2,FALSE)*AA236)+(VLOOKUP($AB$2,[4]Prices!$J$3:$K$17,2,FALSE)*AB236)+M236</f>
        <v>5285500</v>
      </c>
      <c r="AD236" s="18"/>
      <c r="AE236" s="18"/>
      <c r="AF236" s="4">
        <f t="shared" si="12"/>
        <v>0</v>
      </c>
      <c r="AG236" s="4"/>
      <c r="AH236" s="16">
        <f t="shared" si="13"/>
        <v>0</v>
      </c>
      <c r="AI236" s="21">
        <f t="shared" si="14"/>
        <v>0</v>
      </c>
      <c r="AJ236" s="20">
        <f t="shared" si="15"/>
        <v>0</v>
      </c>
      <c r="AK236" s="9"/>
    </row>
    <row r="237" spans="1:37" hidden="1">
      <c r="A237" s="77">
        <v>235</v>
      </c>
      <c r="B237" s="78"/>
      <c r="C237" s="79"/>
      <c r="D237" s="79"/>
      <c r="E237" s="79"/>
      <c r="F237" s="79"/>
      <c r="G237" s="79"/>
      <c r="H237" s="80"/>
      <c r="I237" s="45" t="s">
        <v>1409</v>
      </c>
      <c r="J237" s="45" t="s">
        <v>1389</v>
      </c>
      <c r="K237" s="46" t="s">
        <v>1401</v>
      </c>
      <c r="L237" s="46" t="s">
        <v>1091</v>
      </c>
      <c r="M237" s="81">
        <f>IFERROR(VLOOKUP($L237,[3]Consolidated!$C$9:$AC$452,27,0),0)</f>
        <v>1415000</v>
      </c>
      <c r="N237" s="81">
        <f>IFERROR(VLOOKUP($L237,[3]Consolidated!$C$9:$AC$452,5,0),0)</f>
        <v>10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4">
        <f>(VLOOKUP($O$2,[4]Prices!$E$3:$K$17,2,FALSE)*O237)+(VLOOKUP($P$2,[4]Prices!$J$3:$K$17,2,FALSE)*P237)+(VLOOKUP($Q$2,[4]Prices!$J$3:$K$17,2,FALSE)*Q237)+(VLOOKUP($R$2,[4]Prices!$J$3:$K$17,2,FALSE)*R237)+(VLOOKUP($S$2,[4]Prices!$J$3:$K$17,2,FALSE)*S237)+(VLOOKUP($T$2,[4]Prices!$J$3:$K$17,2,FALSE)*T237)+(VLOOKUP($U$2,[4]Prices!$J$3:$K$17,2,FALSE)*U237)+(VLOOKUP($V$2,[4]Prices!$J$3:$K$17,2,FALSE)*V237)+(VLOOKUP($W$2,[4]Prices!$J$3:$K$17,2,FALSE)*W237)+(VLOOKUP($X$2,[4]Prices!$J$3:$K$17,2,FALSE)*X237)+(VLOOKUP($Y$2,[4]Prices!$J$3:$K$17,2,FALSE)*Y237)+(VLOOKUP($Z$2,[4]Prices!$J$3:$K$17,2,FALSE)*Z237)+(VLOOKUP($AA$2,[4]Prices!$J$3:$K$17,2,FALSE)*AA237)+(VLOOKUP($AB$2,[4]Prices!$J$3:$K$17,2,FALSE)*AB237)+M237</f>
        <v>1415000</v>
      </c>
      <c r="AD237" s="18"/>
      <c r="AE237" s="18"/>
      <c r="AF237" s="4">
        <f t="shared" si="12"/>
        <v>0</v>
      </c>
      <c r="AG237" s="4"/>
      <c r="AH237" s="16">
        <f t="shared" si="13"/>
        <v>0</v>
      </c>
      <c r="AI237" s="21">
        <f t="shared" si="14"/>
        <v>0</v>
      </c>
      <c r="AJ237" s="20">
        <f t="shared" si="15"/>
        <v>0</v>
      </c>
      <c r="AK237" s="9"/>
    </row>
    <row r="238" spans="1:37" hidden="1">
      <c r="A238" s="77">
        <v>236</v>
      </c>
      <c r="B238" s="78"/>
      <c r="C238" s="79"/>
      <c r="D238" s="79"/>
      <c r="E238" s="79"/>
      <c r="F238" s="79"/>
      <c r="G238" s="79"/>
      <c r="H238" s="80"/>
      <c r="I238" s="45" t="s">
        <v>777</v>
      </c>
      <c r="J238" s="45" t="s">
        <v>1389</v>
      </c>
      <c r="K238" s="46" t="s">
        <v>1401</v>
      </c>
      <c r="L238" s="46" t="s">
        <v>1088</v>
      </c>
      <c r="M238" s="81">
        <f>IFERROR(VLOOKUP($L238,[3]Consolidated!$C$9:$AC$452,27,0),0)</f>
        <v>5386500</v>
      </c>
      <c r="N238" s="81">
        <f>IFERROR(VLOOKUP($L238,[3]Consolidated!$C$9:$AC$452,5,0),0)</f>
        <v>35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4">
        <f>(VLOOKUP($O$2,[4]Prices!$E$3:$K$17,2,FALSE)*O238)+(VLOOKUP($P$2,[4]Prices!$J$3:$K$17,2,FALSE)*P238)+(VLOOKUP($Q$2,[4]Prices!$J$3:$K$17,2,FALSE)*Q238)+(VLOOKUP($R$2,[4]Prices!$J$3:$K$17,2,FALSE)*R238)+(VLOOKUP($S$2,[4]Prices!$J$3:$K$17,2,FALSE)*S238)+(VLOOKUP($T$2,[4]Prices!$J$3:$K$17,2,FALSE)*T238)+(VLOOKUP($U$2,[4]Prices!$J$3:$K$17,2,FALSE)*U238)+(VLOOKUP($V$2,[4]Prices!$J$3:$K$17,2,FALSE)*V238)+(VLOOKUP($W$2,[4]Prices!$J$3:$K$17,2,FALSE)*W238)+(VLOOKUP($X$2,[4]Prices!$J$3:$K$17,2,FALSE)*X238)+(VLOOKUP($Y$2,[4]Prices!$J$3:$K$17,2,FALSE)*Y238)+(VLOOKUP($Z$2,[4]Prices!$J$3:$K$17,2,FALSE)*Z238)+(VLOOKUP($AA$2,[4]Prices!$J$3:$K$17,2,FALSE)*AA238)+(VLOOKUP($AB$2,[4]Prices!$J$3:$K$17,2,FALSE)*AB238)+M238</f>
        <v>5386500</v>
      </c>
      <c r="AD238" s="18"/>
      <c r="AE238" s="18"/>
      <c r="AF238" s="4">
        <f t="shared" si="12"/>
        <v>0</v>
      </c>
      <c r="AG238" s="4"/>
      <c r="AH238" s="16">
        <f t="shared" si="13"/>
        <v>0</v>
      </c>
      <c r="AI238" s="21">
        <f t="shared" si="14"/>
        <v>0</v>
      </c>
      <c r="AJ238" s="20">
        <f t="shared" si="15"/>
        <v>0</v>
      </c>
      <c r="AK238" s="9"/>
    </row>
    <row r="239" spans="1:37" hidden="1">
      <c r="A239" s="77">
        <v>237</v>
      </c>
      <c r="B239" s="78"/>
      <c r="C239" s="79"/>
      <c r="D239" s="79"/>
      <c r="E239" s="79"/>
      <c r="F239" s="79"/>
      <c r="G239" s="79"/>
      <c r="H239" s="80"/>
      <c r="I239" s="45" t="s">
        <v>776</v>
      </c>
      <c r="J239" s="45" t="s">
        <v>1389</v>
      </c>
      <c r="K239" s="46" t="s">
        <v>1401</v>
      </c>
      <c r="L239" s="46" t="s">
        <v>1087</v>
      </c>
      <c r="M239" s="81">
        <f>IFERROR(VLOOKUP($L239,[3]Consolidated!$C$9:$AC$452,27,0),0)</f>
        <v>1848500</v>
      </c>
      <c r="N239" s="81">
        <f>IFERROR(VLOOKUP($L239,[3]Consolidated!$C$9:$AC$452,5,0),0)</f>
        <v>13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4">
        <f>(VLOOKUP($O$2,[4]Prices!$E$3:$K$17,2,FALSE)*O239)+(VLOOKUP($P$2,[4]Prices!$J$3:$K$17,2,FALSE)*P239)+(VLOOKUP($Q$2,[4]Prices!$J$3:$K$17,2,FALSE)*Q239)+(VLOOKUP($R$2,[4]Prices!$J$3:$K$17,2,FALSE)*R239)+(VLOOKUP($S$2,[4]Prices!$J$3:$K$17,2,FALSE)*S239)+(VLOOKUP($T$2,[4]Prices!$J$3:$K$17,2,FALSE)*T239)+(VLOOKUP($U$2,[4]Prices!$J$3:$K$17,2,FALSE)*U239)+(VLOOKUP($V$2,[4]Prices!$J$3:$K$17,2,FALSE)*V239)+(VLOOKUP($W$2,[4]Prices!$J$3:$K$17,2,FALSE)*W239)+(VLOOKUP($X$2,[4]Prices!$J$3:$K$17,2,FALSE)*X239)+(VLOOKUP($Y$2,[4]Prices!$J$3:$K$17,2,FALSE)*Y239)+(VLOOKUP($Z$2,[4]Prices!$J$3:$K$17,2,FALSE)*Z239)+(VLOOKUP($AA$2,[4]Prices!$J$3:$K$17,2,FALSE)*AA239)+(VLOOKUP($AB$2,[4]Prices!$J$3:$K$17,2,FALSE)*AB239)+M239</f>
        <v>1848500</v>
      </c>
      <c r="AD239" s="18"/>
      <c r="AE239" s="18"/>
      <c r="AF239" s="4">
        <f t="shared" si="12"/>
        <v>0</v>
      </c>
      <c r="AG239" s="4"/>
      <c r="AH239" s="16">
        <f t="shared" si="13"/>
        <v>0</v>
      </c>
      <c r="AI239" s="21">
        <f t="shared" si="14"/>
        <v>0</v>
      </c>
      <c r="AJ239" s="20">
        <f t="shared" si="15"/>
        <v>0</v>
      </c>
      <c r="AK239" s="9"/>
    </row>
    <row r="240" spans="1:37" hidden="1">
      <c r="A240" s="77">
        <v>238</v>
      </c>
      <c r="B240" s="78"/>
      <c r="C240" s="79"/>
      <c r="D240" s="79"/>
      <c r="E240" s="79"/>
      <c r="F240" s="79"/>
      <c r="G240" s="79"/>
      <c r="H240" s="80"/>
      <c r="I240" s="45" t="s">
        <v>787</v>
      </c>
      <c r="J240" s="45" t="s">
        <v>1389</v>
      </c>
      <c r="K240" s="46" t="s">
        <v>1401</v>
      </c>
      <c r="L240" s="46" t="s">
        <v>1102</v>
      </c>
      <c r="M240" s="81">
        <f>IFERROR(VLOOKUP($L240,[3]Consolidated!$C$9:$AC$452,27,0),0)</f>
        <v>2064500</v>
      </c>
      <c r="N240" s="81">
        <f>IFERROR(VLOOKUP($L240,[3]Consolidated!$C$9:$AC$452,5,0),0)</f>
        <v>13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4">
        <f>(VLOOKUP($O$2,[4]Prices!$E$3:$K$17,2,FALSE)*O240)+(VLOOKUP($P$2,[4]Prices!$J$3:$K$17,2,FALSE)*P240)+(VLOOKUP($Q$2,[4]Prices!$J$3:$K$17,2,FALSE)*Q240)+(VLOOKUP($R$2,[4]Prices!$J$3:$K$17,2,FALSE)*R240)+(VLOOKUP($S$2,[4]Prices!$J$3:$K$17,2,FALSE)*S240)+(VLOOKUP($T$2,[4]Prices!$J$3:$K$17,2,FALSE)*T240)+(VLOOKUP($U$2,[4]Prices!$J$3:$K$17,2,FALSE)*U240)+(VLOOKUP($V$2,[4]Prices!$J$3:$K$17,2,FALSE)*V240)+(VLOOKUP($W$2,[4]Prices!$J$3:$K$17,2,FALSE)*W240)+(VLOOKUP($X$2,[4]Prices!$J$3:$K$17,2,FALSE)*X240)+(VLOOKUP($Y$2,[4]Prices!$J$3:$K$17,2,FALSE)*Y240)+(VLOOKUP($Z$2,[4]Prices!$J$3:$K$17,2,FALSE)*Z240)+(VLOOKUP($AA$2,[4]Prices!$J$3:$K$17,2,FALSE)*AA240)+(VLOOKUP($AB$2,[4]Prices!$J$3:$K$17,2,FALSE)*AB240)+M240</f>
        <v>2064500</v>
      </c>
      <c r="AD240" s="18"/>
      <c r="AE240" s="18"/>
      <c r="AF240" s="4">
        <f t="shared" si="12"/>
        <v>0</v>
      </c>
      <c r="AG240" s="4"/>
      <c r="AH240" s="16">
        <f t="shared" si="13"/>
        <v>0</v>
      </c>
      <c r="AI240" s="21">
        <f t="shared" si="14"/>
        <v>0</v>
      </c>
      <c r="AJ240" s="20">
        <f t="shared" si="15"/>
        <v>0</v>
      </c>
      <c r="AK240" s="19"/>
    </row>
    <row r="241" spans="1:37" hidden="1">
      <c r="A241" s="77">
        <v>239</v>
      </c>
      <c r="B241" s="78"/>
      <c r="C241" s="79"/>
      <c r="D241" s="79"/>
      <c r="E241" s="79"/>
      <c r="F241" s="79"/>
      <c r="G241" s="79"/>
      <c r="H241" s="80"/>
      <c r="I241" s="45" t="s">
        <v>1410</v>
      </c>
      <c r="J241" s="45" t="s">
        <v>1389</v>
      </c>
      <c r="K241" s="46" t="s">
        <v>1401</v>
      </c>
      <c r="L241" s="47" t="s">
        <v>1352</v>
      </c>
      <c r="M241" s="81">
        <f>IFERROR(VLOOKUP($L241,[3]Consolidated!$C$9:$AC$452,27,0),0)</f>
        <v>1457000</v>
      </c>
      <c r="N241" s="81">
        <f>IFERROR(VLOOKUP($L241,[3]Consolidated!$C$9:$AC$452,5,0),0)</f>
        <v>10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4">
        <f>(VLOOKUP($O$2,[4]Prices!$E$3:$K$17,2,FALSE)*O241)+(VLOOKUP($P$2,[4]Prices!$J$3:$K$17,2,FALSE)*P241)+(VLOOKUP($Q$2,[4]Prices!$J$3:$K$17,2,FALSE)*Q241)+(VLOOKUP($R$2,[4]Prices!$J$3:$K$17,2,FALSE)*R241)+(VLOOKUP($S$2,[4]Prices!$J$3:$K$17,2,FALSE)*S241)+(VLOOKUP($T$2,[4]Prices!$J$3:$K$17,2,FALSE)*T241)+(VLOOKUP($U$2,[4]Prices!$J$3:$K$17,2,FALSE)*U241)+(VLOOKUP($V$2,[4]Prices!$J$3:$K$17,2,FALSE)*V241)+(VLOOKUP($W$2,[4]Prices!$J$3:$K$17,2,FALSE)*W241)+(VLOOKUP($X$2,[4]Prices!$J$3:$K$17,2,FALSE)*X241)+(VLOOKUP($Y$2,[4]Prices!$J$3:$K$17,2,FALSE)*Y241)+(VLOOKUP($Z$2,[4]Prices!$J$3:$K$17,2,FALSE)*Z241)+(VLOOKUP($AA$2,[4]Prices!$J$3:$K$17,2,FALSE)*AA241)+(VLOOKUP($AB$2,[4]Prices!$J$3:$K$17,2,FALSE)*AB241)+M241</f>
        <v>1457000</v>
      </c>
      <c r="AD241" s="18"/>
      <c r="AE241" s="18"/>
      <c r="AF241" s="4">
        <f t="shared" si="12"/>
        <v>0</v>
      </c>
      <c r="AG241" s="4"/>
      <c r="AH241" s="16">
        <f t="shared" si="13"/>
        <v>0</v>
      </c>
      <c r="AI241" s="21">
        <f t="shared" si="14"/>
        <v>0</v>
      </c>
      <c r="AJ241" s="20">
        <f t="shared" si="15"/>
        <v>0</v>
      </c>
      <c r="AK241" s="9"/>
    </row>
    <row r="242" spans="1:37" hidden="1">
      <c r="A242" s="77">
        <v>240</v>
      </c>
      <c r="B242" s="78"/>
      <c r="C242" s="79"/>
      <c r="D242" s="79"/>
      <c r="E242" s="79"/>
      <c r="F242" s="79"/>
      <c r="G242" s="79"/>
      <c r="H242" s="80"/>
      <c r="I242" s="45" t="s">
        <v>1411</v>
      </c>
      <c r="J242" s="45" t="s">
        <v>1389</v>
      </c>
      <c r="K242" s="46" t="s">
        <v>1401</v>
      </c>
      <c r="L242" s="47" t="s">
        <v>1351</v>
      </c>
      <c r="M242" s="81">
        <f>IFERROR(VLOOKUP($L242,[3]Consolidated!$C$9:$AC$452,27,0),0)</f>
        <v>1402000</v>
      </c>
      <c r="N242" s="81">
        <f>IFERROR(VLOOKUP($L242,[3]Consolidated!$C$9:$AC$452,5,0),0)</f>
        <v>10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4">
        <f>(VLOOKUP($O$2,[4]Prices!$E$3:$K$17,2,FALSE)*O242)+(VLOOKUP($P$2,[4]Prices!$J$3:$K$17,2,FALSE)*P242)+(VLOOKUP($Q$2,[4]Prices!$J$3:$K$17,2,FALSE)*Q242)+(VLOOKUP($R$2,[4]Prices!$J$3:$K$17,2,FALSE)*R242)+(VLOOKUP($S$2,[4]Prices!$J$3:$K$17,2,FALSE)*S242)+(VLOOKUP($T$2,[4]Prices!$J$3:$K$17,2,FALSE)*T242)+(VLOOKUP($U$2,[4]Prices!$J$3:$K$17,2,FALSE)*U242)+(VLOOKUP($V$2,[4]Prices!$J$3:$K$17,2,FALSE)*V242)+(VLOOKUP($W$2,[4]Prices!$J$3:$K$17,2,FALSE)*W242)+(VLOOKUP($X$2,[4]Prices!$J$3:$K$17,2,FALSE)*X242)+(VLOOKUP($Y$2,[4]Prices!$J$3:$K$17,2,FALSE)*Y242)+(VLOOKUP($Z$2,[4]Prices!$J$3:$K$17,2,FALSE)*Z242)+(VLOOKUP($AA$2,[4]Prices!$J$3:$K$17,2,FALSE)*AA242)+(VLOOKUP($AB$2,[4]Prices!$J$3:$K$17,2,FALSE)*AB242)+M242</f>
        <v>1402000</v>
      </c>
      <c r="AD242" s="18"/>
      <c r="AE242" s="18"/>
      <c r="AF242" s="4">
        <f t="shared" si="12"/>
        <v>0</v>
      </c>
      <c r="AG242" s="4"/>
      <c r="AH242" s="16">
        <f t="shared" si="13"/>
        <v>0</v>
      </c>
      <c r="AI242" s="21">
        <f t="shared" si="14"/>
        <v>0</v>
      </c>
      <c r="AJ242" s="20">
        <f t="shared" si="15"/>
        <v>0</v>
      </c>
      <c r="AK242" s="9"/>
    </row>
    <row r="243" spans="1:37" hidden="1">
      <c r="A243" s="77">
        <v>241</v>
      </c>
      <c r="B243" s="78"/>
      <c r="C243" s="79"/>
      <c r="D243" s="79"/>
      <c r="E243" s="79"/>
      <c r="F243" s="79"/>
      <c r="G243" s="79"/>
      <c r="H243" s="80"/>
      <c r="I243" s="45" t="s">
        <v>812</v>
      </c>
      <c r="J243" s="45" t="s">
        <v>1389</v>
      </c>
      <c r="K243" s="46" t="s">
        <v>668</v>
      </c>
      <c r="L243" s="47" t="s">
        <v>1127</v>
      </c>
      <c r="M243" s="81">
        <f>IFERROR(VLOOKUP($L243,[3]Consolidated!$C$9:$AC$452,27,0),0)</f>
        <v>6401500</v>
      </c>
      <c r="N243" s="81">
        <f>IFERROR(VLOOKUP($L243,[3]Consolidated!$C$9:$AC$452,5,0),0)</f>
        <v>35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4">
        <f>(VLOOKUP($O$2,[4]Prices!$E$3:$K$17,2,FALSE)*O243)+(VLOOKUP($P$2,[4]Prices!$J$3:$K$17,2,FALSE)*P243)+(VLOOKUP($Q$2,[4]Prices!$J$3:$K$17,2,FALSE)*Q243)+(VLOOKUP($R$2,[4]Prices!$J$3:$K$17,2,FALSE)*R243)+(VLOOKUP($S$2,[4]Prices!$J$3:$K$17,2,FALSE)*S243)+(VLOOKUP($T$2,[4]Prices!$J$3:$K$17,2,FALSE)*T243)+(VLOOKUP($U$2,[4]Prices!$J$3:$K$17,2,FALSE)*U243)+(VLOOKUP($V$2,[4]Prices!$J$3:$K$17,2,FALSE)*V243)+(VLOOKUP($W$2,[4]Prices!$J$3:$K$17,2,FALSE)*W243)+(VLOOKUP($X$2,[4]Prices!$J$3:$K$17,2,FALSE)*X243)+(VLOOKUP($Y$2,[4]Prices!$J$3:$K$17,2,FALSE)*Y243)+(VLOOKUP($Z$2,[4]Prices!$J$3:$K$17,2,FALSE)*Z243)+(VLOOKUP($AA$2,[4]Prices!$J$3:$K$17,2,FALSE)*AA243)+(VLOOKUP($AB$2,[4]Prices!$J$3:$K$17,2,FALSE)*AB243)+M243</f>
        <v>6401500</v>
      </c>
      <c r="AD243" s="18"/>
      <c r="AE243" s="18"/>
      <c r="AF243" s="4">
        <f t="shared" si="12"/>
        <v>0</v>
      </c>
      <c r="AG243" s="4"/>
      <c r="AH243" s="16">
        <f t="shared" si="13"/>
        <v>0</v>
      </c>
      <c r="AI243" s="21">
        <f t="shared" si="14"/>
        <v>0</v>
      </c>
      <c r="AJ243" s="20">
        <f t="shared" si="15"/>
        <v>0</v>
      </c>
      <c r="AK243" s="9"/>
    </row>
    <row r="244" spans="1:37" hidden="1">
      <c r="A244" s="77">
        <v>242</v>
      </c>
      <c r="B244" s="78"/>
      <c r="C244" s="79"/>
      <c r="D244" s="79"/>
      <c r="E244" s="79"/>
      <c r="F244" s="79"/>
      <c r="G244" s="79"/>
      <c r="H244" s="80"/>
      <c r="I244" s="45" t="s">
        <v>795</v>
      </c>
      <c r="J244" s="45" t="s">
        <v>1389</v>
      </c>
      <c r="K244" s="46" t="s">
        <v>667</v>
      </c>
      <c r="L244" s="47" t="s">
        <v>1110</v>
      </c>
      <c r="M244" s="81">
        <f>IFERROR(VLOOKUP($L244,[3]Consolidated!$C$9:$AC$452,27,0),0)</f>
        <v>1613500</v>
      </c>
      <c r="N244" s="81">
        <f>IFERROR(VLOOKUP($L244,[3]Consolidated!$C$9:$AC$452,5,0),0)</f>
        <v>13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4">
        <f>(VLOOKUP($O$2,[4]Prices!$E$3:$K$17,2,FALSE)*O244)+(VLOOKUP($P$2,[4]Prices!$J$3:$K$17,2,FALSE)*P244)+(VLOOKUP($Q$2,[4]Prices!$J$3:$K$17,2,FALSE)*Q244)+(VLOOKUP($R$2,[4]Prices!$J$3:$K$17,2,FALSE)*R244)+(VLOOKUP($S$2,[4]Prices!$J$3:$K$17,2,FALSE)*S244)+(VLOOKUP($T$2,[4]Prices!$J$3:$K$17,2,FALSE)*T244)+(VLOOKUP($U$2,[4]Prices!$J$3:$K$17,2,FALSE)*U244)+(VLOOKUP($V$2,[4]Prices!$J$3:$K$17,2,FALSE)*V244)+(VLOOKUP($W$2,[4]Prices!$J$3:$K$17,2,FALSE)*W244)+(VLOOKUP($X$2,[4]Prices!$J$3:$K$17,2,FALSE)*X244)+(VLOOKUP($Y$2,[4]Prices!$J$3:$K$17,2,FALSE)*Y244)+(VLOOKUP($Z$2,[4]Prices!$J$3:$K$17,2,FALSE)*Z244)+(VLOOKUP($AA$2,[4]Prices!$J$3:$K$17,2,FALSE)*AA244)+(VLOOKUP($AB$2,[4]Prices!$J$3:$K$17,2,FALSE)*AB244)+M244</f>
        <v>1613500</v>
      </c>
      <c r="AD244" s="18"/>
      <c r="AE244" s="18"/>
      <c r="AF244" s="4">
        <f t="shared" si="12"/>
        <v>0</v>
      </c>
      <c r="AG244" s="4"/>
      <c r="AH244" s="16">
        <f t="shared" si="13"/>
        <v>0</v>
      </c>
      <c r="AI244" s="21">
        <f t="shared" si="14"/>
        <v>0</v>
      </c>
      <c r="AJ244" s="20">
        <f t="shared" si="15"/>
        <v>0</v>
      </c>
      <c r="AK244" s="9"/>
    </row>
    <row r="245" spans="1:37" hidden="1">
      <c r="A245" s="77">
        <v>243</v>
      </c>
      <c r="B245" s="78"/>
      <c r="C245" s="79"/>
      <c r="D245" s="79"/>
      <c r="E245" s="79"/>
      <c r="F245" s="79"/>
      <c r="G245" s="79"/>
      <c r="H245" s="80"/>
      <c r="I245" s="45" t="s">
        <v>791</v>
      </c>
      <c r="J245" s="45" t="s">
        <v>1389</v>
      </c>
      <c r="K245" s="46" t="s">
        <v>667</v>
      </c>
      <c r="L245" s="47" t="s">
        <v>1106</v>
      </c>
      <c r="M245" s="81">
        <f>IFERROR(VLOOKUP($L245,[3]Consolidated!$C$9:$AC$452,27,0),0)</f>
        <v>4479500</v>
      </c>
      <c r="N245" s="81">
        <f>IFERROR(VLOOKUP($L245,[3]Consolidated!$C$9:$AC$452,5,0),0)</f>
        <v>35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4">
        <f>(VLOOKUP($O$2,[4]Prices!$E$3:$K$17,2,FALSE)*O245)+(VLOOKUP($P$2,[4]Prices!$J$3:$K$17,2,FALSE)*P245)+(VLOOKUP($Q$2,[4]Prices!$J$3:$K$17,2,FALSE)*Q245)+(VLOOKUP($R$2,[4]Prices!$J$3:$K$17,2,FALSE)*R245)+(VLOOKUP($S$2,[4]Prices!$J$3:$K$17,2,FALSE)*S245)+(VLOOKUP($T$2,[4]Prices!$J$3:$K$17,2,FALSE)*T245)+(VLOOKUP($U$2,[4]Prices!$J$3:$K$17,2,FALSE)*U245)+(VLOOKUP($V$2,[4]Prices!$J$3:$K$17,2,FALSE)*V245)+(VLOOKUP($W$2,[4]Prices!$J$3:$K$17,2,FALSE)*W245)+(VLOOKUP($X$2,[4]Prices!$J$3:$K$17,2,FALSE)*X245)+(VLOOKUP($Y$2,[4]Prices!$J$3:$K$17,2,FALSE)*Y245)+(VLOOKUP($Z$2,[4]Prices!$J$3:$K$17,2,FALSE)*Z245)+(VLOOKUP($AA$2,[4]Prices!$J$3:$K$17,2,FALSE)*AA245)+(VLOOKUP($AB$2,[4]Prices!$J$3:$K$17,2,FALSE)*AB245)+M245</f>
        <v>4479500</v>
      </c>
      <c r="AD245" s="18"/>
      <c r="AE245" s="18"/>
      <c r="AF245" s="4">
        <f t="shared" si="12"/>
        <v>0</v>
      </c>
      <c r="AG245" s="4"/>
      <c r="AH245" s="16">
        <f t="shared" si="13"/>
        <v>0</v>
      </c>
      <c r="AI245" s="21">
        <f t="shared" si="14"/>
        <v>0</v>
      </c>
      <c r="AJ245" s="20">
        <f t="shared" si="15"/>
        <v>0</v>
      </c>
      <c r="AK245" s="9"/>
    </row>
    <row r="246" spans="1:37" hidden="1">
      <c r="A246" s="77">
        <v>244</v>
      </c>
      <c r="B246" s="78"/>
      <c r="C246" s="79"/>
      <c r="D246" s="79"/>
      <c r="E246" s="79"/>
      <c r="F246" s="79"/>
      <c r="G246" s="79"/>
      <c r="H246" s="80"/>
      <c r="I246" s="45" t="s">
        <v>798</v>
      </c>
      <c r="J246" s="45" t="s">
        <v>1389</v>
      </c>
      <c r="K246" s="46" t="s">
        <v>667</v>
      </c>
      <c r="L246" s="47" t="s">
        <v>1113</v>
      </c>
      <c r="M246" s="81">
        <f>IFERROR(VLOOKUP($L246,[3]Consolidated!$C$9:$AC$452,27,0),0)</f>
        <v>6504000</v>
      </c>
      <c r="N246" s="81">
        <f>IFERROR(VLOOKUP($L246,[3]Consolidated!$C$9:$AC$452,5,0),0)</f>
        <v>50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4">
        <f>(VLOOKUP($O$2,[4]Prices!$E$3:$K$17,2,FALSE)*O246)+(VLOOKUP($P$2,[4]Prices!$J$3:$K$17,2,FALSE)*P246)+(VLOOKUP($Q$2,[4]Prices!$J$3:$K$17,2,FALSE)*Q246)+(VLOOKUP($R$2,[4]Prices!$J$3:$K$17,2,FALSE)*R246)+(VLOOKUP($S$2,[4]Prices!$J$3:$K$17,2,FALSE)*S246)+(VLOOKUP($T$2,[4]Prices!$J$3:$K$17,2,FALSE)*T246)+(VLOOKUP($U$2,[4]Prices!$J$3:$K$17,2,FALSE)*U246)+(VLOOKUP($V$2,[4]Prices!$J$3:$K$17,2,FALSE)*V246)+(VLOOKUP($W$2,[4]Prices!$J$3:$K$17,2,FALSE)*W246)+(VLOOKUP($X$2,[4]Prices!$J$3:$K$17,2,FALSE)*X246)+(VLOOKUP($Y$2,[4]Prices!$J$3:$K$17,2,FALSE)*Y246)+(VLOOKUP($Z$2,[4]Prices!$J$3:$K$17,2,FALSE)*Z246)+(VLOOKUP($AA$2,[4]Prices!$J$3:$K$17,2,FALSE)*AA246)+(VLOOKUP($AB$2,[4]Prices!$J$3:$K$17,2,FALSE)*AB246)+M246</f>
        <v>6504000</v>
      </c>
      <c r="AD246" s="18"/>
      <c r="AE246" s="18"/>
      <c r="AF246" s="4">
        <f t="shared" si="12"/>
        <v>0</v>
      </c>
      <c r="AG246" s="4"/>
      <c r="AH246" s="16">
        <f t="shared" si="13"/>
        <v>0</v>
      </c>
      <c r="AI246" s="21">
        <f t="shared" si="14"/>
        <v>0</v>
      </c>
      <c r="AJ246" s="20">
        <f t="shared" si="15"/>
        <v>0</v>
      </c>
      <c r="AK246" s="9"/>
    </row>
    <row r="247" spans="1:37" hidden="1">
      <c r="A247" s="77">
        <v>245</v>
      </c>
      <c r="B247" s="78"/>
      <c r="C247" s="79"/>
      <c r="D247" s="79"/>
      <c r="E247" s="79"/>
      <c r="F247" s="79"/>
      <c r="G247" s="79"/>
      <c r="H247" s="80"/>
      <c r="I247" s="45" t="s">
        <v>794</v>
      </c>
      <c r="J247" s="45" t="s">
        <v>1389</v>
      </c>
      <c r="K247" s="46" t="s">
        <v>667</v>
      </c>
      <c r="L247" s="47" t="s">
        <v>1109</v>
      </c>
      <c r="M247" s="81">
        <f>IFERROR(VLOOKUP($L247,[3]Consolidated!$C$9:$AC$452,27,0),0)</f>
        <v>4560500</v>
      </c>
      <c r="N247" s="81">
        <f>IFERROR(VLOOKUP($L247,[3]Consolidated!$C$9:$AC$452,5,0),0)</f>
        <v>35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4">
        <f>(VLOOKUP($O$2,[4]Prices!$E$3:$K$17,2,FALSE)*O247)+(VLOOKUP($P$2,[4]Prices!$J$3:$K$17,2,FALSE)*P247)+(VLOOKUP($Q$2,[4]Prices!$J$3:$K$17,2,FALSE)*Q247)+(VLOOKUP($R$2,[4]Prices!$J$3:$K$17,2,FALSE)*R247)+(VLOOKUP($S$2,[4]Prices!$J$3:$K$17,2,FALSE)*S247)+(VLOOKUP($T$2,[4]Prices!$J$3:$K$17,2,FALSE)*T247)+(VLOOKUP($U$2,[4]Prices!$J$3:$K$17,2,FALSE)*U247)+(VLOOKUP($V$2,[4]Prices!$J$3:$K$17,2,FALSE)*V247)+(VLOOKUP($W$2,[4]Prices!$J$3:$K$17,2,FALSE)*W247)+(VLOOKUP($X$2,[4]Prices!$J$3:$K$17,2,FALSE)*X247)+(VLOOKUP($Y$2,[4]Prices!$J$3:$K$17,2,FALSE)*Y247)+(VLOOKUP($Z$2,[4]Prices!$J$3:$K$17,2,FALSE)*Z247)+(VLOOKUP($AA$2,[4]Prices!$J$3:$K$17,2,FALSE)*AA247)+(VLOOKUP($AB$2,[4]Prices!$J$3:$K$17,2,FALSE)*AB247)+M247</f>
        <v>4560500</v>
      </c>
      <c r="AD247" s="18"/>
      <c r="AE247" s="18"/>
      <c r="AF247" s="4">
        <f t="shared" si="12"/>
        <v>0</v>
      </c>
      <c r="AG247" s="4"/>
      <c r="AH247" s="16">
        <f t="shared" si="13"/>
        <v>0</v>
      </c>
      <c r="AI247" s="21">
        <f t="shared" si="14"/>
        <v>0</v>
      </c>
      <c r="AJ247" s="20">
        <f t="shared" si="15"/>
        <v>0</v>
      </c>
      <c r="AK247" s="9"/>
    </row>
    <row r="248" spans="1:37" hidden="1">
      <c r="A248" s="77">
        <v>246</v>
      </c>
      <c r="B248" s="78"/>
      <c r="C248" s="79"/>
      <c r="D248" s="79"/>
      <c r="E248" s="79"/>
      <c r="F248" s="79"/>
      <c r="G248" s="79"/>
      <c r="H248" s="80"/>
      <c r="I248" s="45" t="s">
        <v>797</v>
      </c>
      <c r="J248" s="45" t="s">
        <v>1389</v>
      </c>
      <c r="K248" s="46" t="s">
        <v>667</v>
      </c>
      <c r="L248" s="47" t="s">
        <v>1112</v>
      </c>
      <c r="M248" s="81">
        <f>IFERROR(VLOOKUP($L248,[3]Consolidated!$C$9:$AC$452,27,0),0)</f>
        <v>1629000</v>
      </c>
      <c r="N248" s="81">
        <f>IFERROR(VLOOKUP($L248,[3]Consolidated!$C$9:$AC$452,5,0),0)</f>
        <v>12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4">
        <f>(VLOOKUP($O$2,[4]Prices!$E$3:$K$17,2,FALSE)*O248)+(VLOOKUP($P$2,[4]Prices!$J$3:$K$17,2,FALSE)*P248)+(VLOOKUP($Q$2,[4]Prices!$J$3:$K$17,2,FALSE)*Q248)+(VLOOKUP($R$2,[4]Prices!$J$3:$K$17,2,FALSE)*R248)+(VLOOKUP($S$2,[4]Prices!$J$3:$K$17,2,FALSE)*S248)+(VLOOKUP($T$2,[4]Prices!$J$3:$K$17,2,FALSE)*T248)+(VLOOKUP($U$2,[4]Prices!$J$3:$K$17,2,FALSE)*U248)+(VLOOKUP($V$2,[4]Prices!$J$3:$K$17,2,FALSE)*V248)+(VLOOKUP($W$2,[4]Prices!$J$3:$K$17,2,FALSE)*W248)+(VLOOKUP($X$2,[4]Prices!$J$3:$K$17,2,FALSE)*X248)+(VLOOKUP($Y$2,[4]Prices!$J$3:$K$17,2,FALSE)*Y248)+(VLOOKUP($Z$2,[4]Prices!$J$3:$K$17,2,FALSE)*Z248)+(VLOOKUP($AA$2,[4]Prices!$J$3:$K$17,2,FALSE)*AA248)+(VLOOKUP($AB$2,[4]Prices!$J$3:$K$17,2,FALSE)*AB248)+M248</f>
        <v>1629000</v>
      </c>
      <c r="AD248" s="18"/>
      <c r="AE248" s="18"/>
      <c r="AF248" s="4">
        <f t="shared" si="12"/>
        <v>0</v>
      </c>
      <c r="AG248" s="4"/>
      <c r="AH248" s="16">
        <f t="shared" si="13"/>
        <v>0</v>
      </c>
      <c r="AI248" s="21">
        <f t="shared" si="14"/>
        <v>0</v>
      </c>
      <c r="AJ248" s="20">
        <f t="shared" si="15"/>
        <v>0</v>
      </c>
      <c r="AK248" s="9"/>
    </row>
    <row r="249" spans="1:37" hidden="1">
      <c r="A249" s="77">
        <v>247</v>
      </c>
      <c r="B249" s="78"/>
      <c r="C249" s="79"/>
      <c r="D249" s="79"/>
      <c r="E249" s="79"/>
      <c r="F249" s="79"/>
      <c r="G249" s="79"/>
      <c r="H249" s="80"/>
      <c r="I249" s="45" t="s">
        <v>811</v>
      </c>
      <c r="J249" s="45" t="s">
        <v>1389</v>
      </c>
      <c r="K249" s="46" t="s">
        <v>668</v>
      </c>
      <c r="L249" s="47" t="s">
        <v>1126</v>
      </c>
      <c r="M249" s="81">
        <f>IFERROR(VLOOKUP($L249,[3]Consolidated!$C$9:$AC$452,27,0),0)</f>
        <v>4610000</v>
      </c>
      <c r="N249" s="81">
        <f>IFERROR(VLOOKUP($L249,[3]Consolidated!$C$9:$AC$452,5,0),0)</f>
        <v>20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4">
        <f>(VLOOKUP($O$2,[4]Prices!$E$3:$K$17,2,FALSE)*O249)+(VLOOKUP($P$2,[4]Prices!$J$3:$K$17,2,FALSE)*P249)+(VLOOKUP($Q$2,[4]Prices!$J$3:$K$17,2,FALSE)*Q249)+(VLOOKUP($R$2,[4]Prices!$J$3:$K$17,2,FALSE)*R249)+(VLOOKUP($S$2,[4]Prices!$J$3:$K$17,2,FALSE)*S249)+(VLOOKUP($T$2,[4]Prices!$J$3:$K$17,2,FALSE)*T249)+(VLOOKUP($U$2,[4]Prices!$J$3:$K$17,2,FALSE)*U249)+(VLOOKUP($V$2,[4]Prices!$J$3:$K$17,2,FALSE)*V249)+(VLOOKUP($W$2,[4]Prices!$J$3:$K$17,2,FALSE)*W249)+(VLOOKUP($X$2,[4]Prices!$J$3:$K$17,2,FALSE)*X249)+(VLOOKUP($Y$2,[4]Prices!$J$3:$K$17,2,FALSE)*Y249)+(VLOOKUP($Z$2,[4]Prices!$J$3:$K$17,2,FALSE)*Z249)+(VLOOKUP($AA$2,[4]Prices!$J$3:$K$17,2,FALSE)*AA249)+(VLOOKUP($AB$2,[4]Prices!$J$3:$K$17,2,FALSE)*AB249)+M249</f>
        <v>4610000</v>
      </c>
      <c r="AD249" s="18"/>
      <c r="AE249" s="18"/>
      <c r="AF249" s="4">
        <f t="shared" si="12"/>
        <v>0</v>
      </c>
      <c r="AG249" s="4"/>
      <c r="AH249" s="16">
        <f t="shared" si="13"/>
        <v>0</v>
      </c>
      <c r="AI249" s="21">
        <f t="shared" si="14"/>
        <v>0</v>
      </c>
      <c r="AJ249" s="20">
        <f t="shared" si="15"/>
        <v>0</v>
      </c>
      <c r="AK249" s="19"/>
    </row>
    <row r="250" spans="1:37" hidden="1">
      <c r="A250" s="77">
        <v>248</v>
      </c>
      <c r="B250" s="78"/>
      <c r="C250" s="79"/>
      <c r="D250" s="79"/>
      <c r="E250" s="79"/>
      <c r="F250" s="79"/>
      <c r="G250" s="79"/>
      <c r="H250" s="80"/>
      <c r="I250" s="45" t="s">
        <v>805</v>
      </c>
      <c r="J250" s="45" t="s">
        <v>1389</v>
      </c>
      <c r="K250" s="46" t="s">
        <v>668</v>
      </c>
      <c r="L250" s="47" t="s">
        <v>1120</v>
      </c>
      <c r="M250" s="81">
        <f>IFERROR(VLOOKUP($L250,[3]Consolidated!$C$9:$AC$452,27,0),0)</f>
        <v>10840000</v>
      </c>
      <c r="N250" s="81">
        <f>IFERROR(VLOOKUP($L250,[3]Consolidated!$C$9:$AC$452,5,0),0)</f>
        <v>70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4">
        <f>(VLOOKUP($O$2,[4]Prices!$E$3:$K$17,2,FALSE)*O250)+(VLOOKUP($P$2,[4]Prices!$J$3:$K$17,2,FALSE)*P250)+(VLOOKUP($Q$2,[4]Prices!$J$3:$K$17,2,FALSE)*Q250)+(VLOOKUP($R$2,[4]Prices!$J$3:$K$17,2,FALSE)*R250)+(VLOOKUP($S$2,[4]Prices!$J$3:$K$17,2,FALSE)*S250)+(VLOOKUP($T$2,[4]Prices!$J$3:$K$17,2,FALSE)*T250)+(VLOOKUP($U$2,[4]Prices!$J$3:$K$17,2,FALSE)*U250)+(VLOOKUP($V$2,[4]Prices!$J$3:$K$17,2,FALSE)*V250)+(VLOOKUP($W$2,[4]Prices!$J$3:$K$17,2,FALSE)*W250)+(VLOOKUP($X$2,[4]Prices!$J$3:$K$17,2,FALSE)*X250)+(VLOOKUP($Y$2,[4]Prices!$J$3:$K$17,2,FALSE)*Y250)+(VLOOKUP($Z$2,[4]Prices!$J$3:$K$17,2,FALSE)*Z250)+(VLOOKUP($AA$2,[4]Prices!$J$3:$K$17,2,FALSE)*AA250)+(VLOOKUP($AB$2,[4]Prices!$J$3:$K$17,2,FALSE)*AB250)+M250</f>
        <v>10840000</v>
      </c>
      <c r="AD250" s="18"/>
      <c r="AE250" s="18"/>
      <c r="AF250" s="4">
        <f t="shared" si="12"/>
        <v>0</v>
      </c>
      <c r="AG250" s="4"/>
      <c r="AH250" s="16">
        <f t="shared" si="13"/>
        <v>0</v>
      </c>
      <c r="AI250" s="21">
        <f t="shared" si="14"/>
        <v>0</v>
      </c>
      <c r="AJ250" s="20">
        <f t="shared" si="15"/>
        <v>0</v>
      </c>
      <c r="AK250" s="9"/>
    </row>
    <row r="251" spans="1:37" hidden="1">
      <c r="A251" s="77">
        <v>249</v>
      </c>
      <c r="B251" s="78"/>
      <c r="C251" s="79"/>
      <c r="D251" s="79"/>
      <c r="E251" s="79"/>
      <c r="F251" s="79"/>
      <c r="G251" s="79"/>
      <c r="H251" s="80"/>
      <c r="I251" s="45" t="s">
        <v>800</v>
      </c>
      <c r="J251" s="45" t="s">
        <v>1389</v>
      </c>
      <c r="K251" s="46" t="s">
        <v>667</v>
      </c>
      <c r="L251" s="47" t="s">
        <v>1115</v>
      </c>
      <c r="M251" s="81">
        <f>IFERROR(VLOOKUP($L251,[3]Consolidated!$C$9:$AC$452,27,0),0)</f>
        <v>4536500</v>
      </c>
      <c r="N251" s="81">
        <f>IFERROR(VLOOKUP($L251,[3]Consolidated!$C$9:$AC$452,5,0),0)</f>
        <v>35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4">
        <f>(VLOOKUP($O$2,[4]Prices!$E$3:$K$17,2,FALSE)*O251)+(VLOOKUP($P$2,[4]Prices!$J$3:$K$17,2,FALSE)*P251)+(VLOOKUP($Q$2,[4]Prices!$J$3:$K$17,2,FALSE)*Q251)+(VLOOKUP($R$2,[4]Prices!$J$3:$K$17,2,FALSE)*R251)+(VLOOKUP($S$2,[4]Prices!$J$3:$K$17,2,FALSE)*S251)+(VLOOKUP($T$2,[4]Prices!$J$3:$K$17,2,FALSE)*T251)+(VLOOKUP($U$2,[4]Prices!$J$3:$K$17,2,FALSE)*U251)+(VLOOKUP($V$2,[4]Prices!$J$3:$K$17,2,FALSE)*V251)+(VLOOKUP($W$2,[4]Prices!$J$3:$K$17,2,FALSE)*W251)+(VLOOKUP($X$2,[4]Prices!$J$3:$K$17,2,FALSE)*X251)+(VLOOKUP($Y$2,[4]Prices!$J$3:$K$17,2,FALSE)*Y251)+(VLOOKUP($Z$2,[4]Prices!$J$3:$K$17,2,FALSE)*Z251)+(VLOOKUP($AA$2,[4]Prices!$J$3:$K$17,2,FALSE)*AA251)+(VLOOKUP($AB$2,[4]Prices!$J$3:$K$17,2,FALSE)*AB251)+M251</f>
        <v>4536500</v>
      </c>
      <c r="AD251" s="18"/>
      <c r="AE251" s="18"/>
      <c r="AF251" s="4">
        <f t="shared" si="12"/>
        <v>0</v>
      </c>
      <c r="AG251" s="4"/>
      <c r="AH251" s="16">
        <f t="shared" si="13"/>
        <v>0</v>
      </c>
      <c r="AI251" s="21">
        <f t="shared" si="14"/>
        <v>0</v>
      </c>
      <c r="AJ251" s="20">
        <f t="shared" si="15"/>
        <v>0</v>
      </c>
      <c r="AK251" s="9"/>
    </row>
    <row r="252" spans="1:37" hidden="1">
      <c r="A252" s="77">
        <v>250</v>
      </c>
      <c r="B252" s="78"/>
      <c r="C252" s="79"/>
      <c r="D252" s="79"/>
      <c r="E252" s="79"/>
      <c r="F252" s="79"/>
      <c r="G252" s="79"/>
      <c r="H252" s="80"/>
      <c r="I252" s="45" t="s">
        <v>796</v>
      </c>
      <c r="J252" s="45" t="s">
        <v>1389</v>
      </c>
      <c r="K252" s="46" t="s">
        <v>667</v>
      </c>
      <c r="L252" s="47" t="s">
        <v>1111</v>
      </c>
      <c r="M252" s="81">
        <f>IFERROR(VLOOKUP($L252,[3]Consolidated!$C$9:$AC$452,27,0),0)</f>
        <v>0</v>
      </c>
      <c r="N252" s="81">
        <f>IFERROR(VLOOKUP($L252,[3]Consolidated!$C$9:$AC$452,5,0),0)</f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4">
        <f>(VLOOKUP($O$2,[4]Prices!$E$3:$K$17,2,FALSE)*O252)+(VLOOKUP($P$2,[4]Prices!$J$3:$K$17,2,FALSE)*P252)+(VLOOKUP($Q$2,[4]Prices!$J$3:$K$17,2,FALSE)*Q252)+(VLOOKUP($R$2,[4]Prices!$J$3:$K$17,2,FALSE)*R252)+(VLOOKUP($S$2,[4]Prices!$J$3:$K$17,2,FALSE)*S252)+(VLOOKUP($T$2,[4]Prices!$J$3:$K$17,2,FALSE)*T252)+(VLOOKUP($U$2,[4]Prices!$J$3:$K$17,2,FALSE)*U252)+(VLOOKUP($V$2,[4]Prices!$J$3:$K$17,2,FALSE)*V252)+(VLOOKUP($W$2,[4]Prices!$J$3:$K$17,2,FALSE)*W252)+(VLOOKUP($X$2,[4]Prices!$J$3:$K$17,2,FALSE)*X252)+(VLOOKUP($Y$2,[4]Prices!$J$3:$K$17,2,FALSE)*Y252)+(VLOOKUP($Z$2,[4]Prices!$J$3:$K$17,2,FALSE)*Z252)+(VLOOKUP($AA$2,[4]Prices!$J$3:$K$17,2,FALSE)*AA252)+(VLOOKUP($AB$2,[4]Prices!$J$3:$K$17,2,FALSE)*AB252)+M252</f>
        <v>0</v>
      </c>
      <c r="AD252" s="18"/>
      <c r="AE252" s="18"/>
      <c r="AF252" s="4">
        <f t="shared" si="12"/>
        <v>0</v>
      </c>
      <c r="AG252" s="4"/>
      <c r="AH252" s="16">
        <f t="shared" si="13"/>
        <v>0</v>
      </c>
      <c r="AI252" s="21" t="e">
        <f t="shared" si="14"/>
        <v>#DIV/0!</v>
      </c>
      <c r="AJ252" s="20" t="e">
        <f t="shared" si="15"/>
        <v>#DIV/0!</v>
      </c>
      <c r="AK252" s="9"/>
    </row>
    <row r="253" spans="1:37" hidden="1">
      <c r="A253" s="77">
        <v>251</v>
      </c>
      <c r="B253" s="78"/>
      <c r="C253" s="79"/>
      <c r="D253" s="79"/>
      <c r="E253" s="79"/>
      <c r="F253" s="79"/>
      <c r="G253" s="79"/>
      <c r="H253" s="80"/>
      <c r="I253" s="45" t="s">
        <v>809</v>
      </c>
      <c r="J253" s="45" t="s">
        <v>1389</v>
      </c>
      <c r="K253" s="46" t="s">
        <v>668</v>
      </c>
      <c r="L253" s="47" t="s">
        <v>1124</v>
      </c>
      <c r="M253" s="81">
        <f>IFERROR(VLOOKUP($L253,[3]Consolidated!$C$9:$AC$452,27,0),0)</f>
        <v>6757500</v>
      </c>
      <c r="N253" s="81">
        <f>IFERROR(VLOOKUP($L253,[3]Consolidated!$C$9:$AC$452,5,0),0)</f>
        <v>35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4">
        <f>(VLOOKUP($O$2,[4]Prices!$E$3:$K$17,2,FALSE)*O253)+(VLOOKUP($P$2,[4]Prices!$J$3:$K$17,2,FALSE)*P253)+(VLOOKUP($Q$2,[4]Prices!$J$3:$K$17,2,FALSE)*Q253)+(VLOOKUP($R$2,[4]Prices!$J$3:$K$17,2,FALSE)*R253)+(VLOOKUP($S$2,[4]Prices!$J$3:$K$17,2,FALSE)*S253)+(VLOOKUP($T$2,[4]Prices!$J$3:$K$17,2,FALSE)*T253)+(VLOOKUP($U$2,[4]Prices!$J$3:$K$17,2,FALSE)*U253)+(VLOOKUP($V$2,[4]Prices!$J$3:$K$17,2,FALSE)*V253)+(VLOOKUP($W$2,[4]Prices!$J$3:$K$17,2,FALSE)*W253)+(VLOOKUP($X$2,[4]Prices!$J$3:$K$17,2,FALSE)*X253)+(VLOOKUP($Y$2,[4]Prices!$J$3:$K$17,2,FALSE)*Y253)+(VLOOKUP($Z$2,[4]Prices!$J$3:$K$17,2,FALSE)*Z253)+(VLOOKUP($AA$2,[4]Prices!$J$3:$K$17,2,FALSE)*AA253)+(VLOOKUP($AB$2,[4]Prices!$J$3:$K$17,2,FALSE)*AB253)+M253</f>
        <v>6757500</v>
      </c>
      <c r="AD253" s="18"/>
      <c r="AE253" s="18"/>
      <c r="AF253" s="4">
        <f t="shared" si="12"/>
        <v>0</v>
      </c>
      <c r="AG253" s="4"/>
      <c r="AH253" s="16">
        <f t="shared" si="13"/>
        <v>0</v>
      </c>
      <c r="AI253" s="21">
        <f t="shared" si="14"/>
        <v>0</v>
      </c>
      <c r="AJ253" s="20">
        <f t="shared" si="15"/>
        <v>0</v>
      </c>
      <c r="AK253" s="9"/>
    </row>
    <row r="254" spans="1:37" hidden="1">
      <c r="A254" s="77">
        <v>252</v>
      </c>
      <c r="B254" s="78"/>
      <c r="C254" s="79"/>
      <c r="D254" s="79"/>
      <c r="E254" s="79"/>
      <c r="F254" s="79"/>
      <c r="G254" s="79"/>
      <c r="H254" s="80"/>
      <c r="I254" s="45" t="s">
        <v>808</v>
      </c>
      <c r="J254" s="45" t="s">
        <v>1389</v>
      </c>
      <c r="K254" s="46" t="s">
        <v>668</v>
      </c>
      <c r="L254" s="47" t="s">
        <v>1123</v>
      </c>
      <c r="M254" s="81">
        <f>IFERROR(VLOOKUP($L254,[3]Consolidated!$C$9:$AC$452,27,0),0)</f>
        <v>1843000</v>
      </c>
      <c r="N254" s="81">
        <f>IFERROR(VLOOKUP($L254,[3]Consolidated!$C$9:$AC$452,5,0),0)</f>
        <v>10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4">
        <f>(VLOOKUP($O$2,[4]Prices!$E$3:$K$17,2,FALSE)*O254)+(VLOOKUP($P$2,[4]Prices!$J$3:$K$17,2,FALSE)*P254)+(VLOOKUP($Q$2,[4]Prices!$J$3:$K$17,2,FALSE)*Q254)+(VLOOKUP($R$2,[4]Prices!$J$3:$K$17,2,FALSE)*R254)+(VLOOKUP($S$2,[4]Prices!$J$3:$K$17,2,FALSE)*S254)+(VLOOKUP($T$2,[4]Prices!$J$3:$K$17,2,FALSE)*T254)+(VLOOKUP($U$2,[4]Prices!$J$3:$K$17,2,FALSE)*U254)+(VLOOKUP($V$2,[4]Prices!$J$3:$K$17,2,FALSE)*V254)+(VLOOKUP($W$2,[4]Prices!$J$3:$K$17,2,FALSE)*W254)+(VLOOKUP($X$2,[4]Prices!$J$3:$K$17,2,FALSE)*X254)+(VLOOKUP($Y$2,[4]Prices!$J$3:$K$17,2,FALSE)*Y254)+(VLOOKUP($Z$2,[4]Prices!$J$3:$K$17,2,FALSE)*Z254)+(VLOOKUP($AA$2,[4]Prices!$J$3:$K$17,2,FALSE)*AA254)+(VLOOKUP($AB$2,[4]Prices!$J$3:$K$17,2,FALSE)*AB254)+M254</f>
        <v>1843000</v>
      </c>
      <c r="AD254" s="18"/>
      <c r="AE254" s="18"/>
      <c r="AF254" s="4">
        <f t="shared" si="12"/>
        <v>0</v>
      </c>
      <c r="AG254" s="4"/>
      <c r="AH254" s="16">
        <f t="shared" si="13"/>
        <v>0</v>
      </c>
      <c r="AI254" s="21">
        <f t="shared" si="14"/>
        <v>0</v>
      </c>
      <c r="AJ254" s="20">
        <f t="shared" si="15"/>
        <v>0</v>
      </c>
      <c r="AK254" s="9"/>
    </row>
    <row r="255" spans="1:37" hidden="1">
      <c r="A255" s="77">
        <v>253</v>
      </c>
      <c r="B255" s="78"/>
      <c r="C255" s="79"/>
      <c r="D255" s="79"/>
      <c r="E255" s="79"/>
      <c r="F255" s="79"/>
      <c r="G255" s="79"/>
      <c r="H255" s="80"/>
      <c r="I255" s="45" t="s">
        <v>792</v>
      </c>
      <c r="J255" s="45" t="s">
        <v>1389</v>
      </c>
      <c r="K255" s="46" t="s">
        <v>667</v>
      </c>
      <c r="L255" s="47" t="s">
        <v>1107</v>
      </c>
      <c r="M255" s="81">
        <f>IFERROR(VLOOKUP($L255,[3]Consolidated!$C$9:$AC$452,27,0),0)</f>
        <v>4906500</v>
      </c>
      <c r="N255" s="81">
        <f>IFERROR(VLOOKUP($L255,[3]Consolidated!$C$9:$AC$452,5,0),0)</f>
        <v>35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4">
        <f>(VLOOKUP($O$2,[4]Prices!$E$3:$K$17,2,FALSE)*O255)+(VLOOKUP($P$2,[4]Prices!$J$3:$K$17,2,FALSE)*P255)+(VLOOKUP($Q$2,[4]Prices!$J$3:$K$17,2,FALSE)*Q255)+(VLOOKUP($R$2,[4]Prices!$J$3:$K$17,2,FALSE)*R255)+(VLOOKUP($S$2,[4]Prices!$J$3:$K$17,2,FALSE)*S255)+(VLOOKUP($T$2,[4]Prices!$J$3:$K$17,2,FALSE)*T255)+(VLOOKUP($U$2,[4]Prices!$J$3:$K$17,2,FALSE)*U255)+(VLOOKUP($V$2,[4]Prices!$J$3:$K$17,2,FALSE)*V255)+(VLOOKUP($W$2,[4]Prices!$J$3:$K$17,2,FALSE)*W255)+(VLOOKUP($X$2,[4]Prices!$J$3:$K$17,2,FALSE)*X255)+(VLOOKUP($Y$2,[4]Prices!$J$3:$K$17,2,FALSE)*Y255)+(VLOOKUP($Z$2,[4]Prices!$J$3:$K$17,2,FALSE)*Z255)+(VLOOKUP($AA$2,[4]Prices!$J$3:$K$17,2,FALSE)*AA255)+(VLOOKUP($AB$2,[4]Prices!$J$3:$K$17,2,FALSE)*AB255)+M255</f>
        <v>4906500</v>
      </c>
      <c r="AD255" s="18"/>
      <c r="AE255" s="18"/>
      <c r="AF255" s="4">
        <f t="shared" si="12"/>
        <v>0</v>
      </c>
      <c r="AG255" s="4"/>
      <c r="AH255" s="16">
        <f t="shared" si="13"/>
        <v>0</v>
      </c>
      <c r="AI255" s="21">
        <f t="shared" si="14"/>
        <v>0</v>
      </c>
      <c r="AJ255" s="20">
        <f t="shared" si="15"/>
        <v>0</v>
      </c>
      <c r="AK255" s="9"/>
    </row>
    <row r="256" spans="1:37" hidden="1">
      <c r="A256" s="77">
        <v>254</v>
      </c>
      <c r="B256" s="78"/>
      <c r="C256" s="79"/>
      <c r="D256" s="79"/>
      <c r="E256" s="79"/>
      <c r="F256" s="79"/>
      <c r="G256" s="79"/>
      <c r="H256" s="80"/>
      <c r="I256" s="45" t="s">
        <v>815</v>
      </c>
      <c r="J256" s="45" t="s">
        <v>1389</v>
      </c>
      <c r="K256" s="46" t="s">
        <v>668</v>
      </c>
      <c r="L256" s="47" t="s">
        <v>1130</v>
      </c>
      <c r="M256" s="81">
        <f>IFERROR(VLOOKUP($L256,[3]Consolidated!$C$9:$AC$452,27,0),0)</f>
        <v>6939500</v>
      </c>
      <c r="N256" s="81">
        <f>IFERROR(VLOOKUP($L256,[3]Consolidated!$C$9:$AC$452,5,0),0)</f>
        <v>37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4">
        <f>(VLOOKUP($O$2,[4]Prices!$E$3:$K$17,2,FALSE)*O256)+(VLOOKUP($P$2,[4]Prices!$J$3:$K$17,2,FALSE)*P256)+(VLOOKUP($Q$2,[4]Prices!$J$3:$K$17,2,FALSE)*Q256)+(VLOOKUP($R$2,[4]Prices!$J$3:$K$17,2,FALSE)*R256)+(VLOOKUP($S$2,[4]Prices!$J$3:$K$17,2,FALSE)*S256)+(VLOOKUP($T$2,[4]Prices!$J$3:$K$17,2,FALSE)*T256)+(VLOOKUP($U$2,[4]Prices!$J$3:$K$17,2,FALSE)*U256)+(VLOOKUP($V$2,[4]Prices!$J$3:$K$17,2,FALSE)*V256)+(VLOOKUP($W$2,[4]Prices!$J$3:$K$17,2,FALSE)*W256)+(VLOOKUP($X$2,[4]Prices!$J$3:$K$17,2,FALSE)*X256)+(VLOOKUP($Y$2,[4]Prices!$J$3:$K$17,2,FALSE)*Y256)+(VLOOKUP($Z$2,[4]Prices!$J$3:$K$17,2,FALSE)*Z256)+(VLOOKUP($AA$2,[4]Prices!$J$3:$K$17,2,FALSE)*AA256)+(VLOOKUP($AB$2,[4]Prices!$J$3:$K$17,2,FALSE)*AB256)+M256</f>
        <v>6939500</v>
      </c>
      <c r="AD256" s="18"/>
      <c r="AE256" s="18"/>
      <c r="AF256" s="4">
        <f t="shared" si="12"/>
        <v>0</v>
      </c>
      <c r="AG256" s="4"/>
      <c r="AH256" s="16">
        <f t="shared" si="13"/>
        <v>0</v>
      </c>
      <c r="AI256" s="21">
        <f t="shared" si="14"/>
        <v>0</v>
      </c>
      <c r="AJ256" s="20">
        <f t="shared" si="15"/>
        <v>0</v>
      </c>
      <c r="AK256" s="9"/>
    </row>
    <row r="257" spans="1:37" hidden="1">
      <c r="A257" s="77">
        <v>255</v>
      </c>
      <c r="B257" s="78"/>
      <c r="C257" s="79"/>
      <c r="D257" s="79"/>
      <c r="E257" s="79"/>
      <c r="F257" s="79"/>
      <c r="G257" s="79"/>
      <c r="H257" s="80"/>
      <c r="I257" s="45" t="s">
        <v>790</v>
      </c>
      <c r="J257" s="45" t="s">
        <v>1389</v>
      </c>
      <c r="K257" s="46" t="s">
        <v>667</v>
      </c>
      <c r="L257" s="47" t="s">
        <v>1105</v>
      </c>
      <c r="M257" s="81">
        <f>IFERROR(VLOOKUP($L257,[3]Consolidated!$C$9:$AC$452,27,0),0)</f>
        <v>5228000</v>
      </c>
      <c r="N257" s="81">
        <f>IFERROR(VLOOKUP($L257,[3]Consolidated!$C$9:$AC$452,5,0),0)</f>
        <v>50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4">
        <f>(VLOOKUP($O$2,[4]Prices!$E$3:$K$17,2,FALSE)*O257)+(VLOOKUP($P$2,[4]Prices!$J$3:$K$17,2,FALSE)*P257)+(VLOOKUP($Q$2,[4]Prices!$J$3:$K$17,2,FALSE)*Q257)+(VLOOKUP($R$2,[4]Prices!$J$3:$K$17,2,FALSE)*R257)+(VLOOKUP($S$2,[4]Prices!$J$3:$K$17,2,FALSE)*S257)+(VLOOKUP($T$2,[4]Prices!$J$3:$K$17,2,FALSE)*T257)+(VLOOKUP($U$2,[4]Prices!$J$3:$K$17,2,FALSE)*U257)+(VLOOKUP($V$2,[4]Prices!$J$3:$K$17,2,FALSE)*V257)+(VLOOKUP($W$2,[4]Prices!$J$3:$K$17,2,FALSE)*W257)+(VLOOKUP($X$2,[4]Prices!$J$3:$K$17,2,FALSE)*X257)+(VLOOKUP($Y$2,[4]Prices!$J$3:$K$17,2,FALSE)*Y257)+(VLOOKUP($Z$2,[4]Prices!$J$3:$K$17,2,FALSE)*Z257)+(VLOOKUP($AA$2,[4]Prices!$J$3:$K$17,2,FALSE)*AA257)+(VLOOKUP($AB$2,[4]Prices!$J$3:$K$17,2,FALSE)*AB257)+M257</f>
        <v>5228000</v>
      </c>
      <c r="AD257" s="18"/>
      <c r="AE257" s="18"/>
      <c r="AF257" s="4">
        <f t="shared" si="12"/>
        <v>0</v>
      </c>
      <c r="AG257" s="4"/>
      <c r="AH257" s="16">
        <f t="shared" si="13"/>
        <v>0</v>
      </c>
      <c r="AI257" s="21">
        <f t="shared" si="14"/>
        <v>0</v>
      </c>
      <c r="AJ257" s="20">
        <f t="shared" si="15"/>
        <v>0</v>
      </c>
      <c r="AK257" s="9"/>
    </row>
    <row r="258" spans="1:37" hidden="1">
      <c r="A258" s="77">
        <v>256</v>
      </c>
      <c r="B258" s="78"/>
      <c r="C258" s="79"/>
      <c r="D258" s="79"/>
      <c r="E258" s="79"/>
      <c r="F258" s="79"/>
      <c r="G258" s="79"/>
      <c r="H258" s="80"/>
      <c r="I258" s="45" t="s">
        <v>803</v>
      </c>
      <c r="J258" s="45" t="s">
        <v>1389</v>
      </c>
      <c r="K258" s="46" t="s">
        <v>668</v>
      </c>
      <c r="L258" s="46" t="s">
        <v>1118</v>
      </c>
      <c r="M258" s="81">
        <f>IFERROR(VLOOKUP($L258,[3]Consolidated!$C$9:$AC$452,27,0),0)</f>
        <v>6761500</v>
      </c>
      <c r="N258" s="81">
        <f>IFERROR(VLOOKUP($L258,[3]Consolidated!$C$9:$AC$452,5,0),0)</f>
        <v>35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4">
        <f>(VLOOKUP($O$2,[4]Prices!$E$3:$K$17,2,FALSE)*O258)+(VLOOKUP($P$2,[4]Prices!$J$3:$K$17,2,FALSE)*P258)+(VLOOKUP($Q$2,[4]Prices!$J$3:$K$17,2,FALSE)*Q258)+(VLOOKUP($R$2,[4]Prices!$J$3:$K$17,2,FALSE)*R258)+(VLOOKUP($S$2,[4]Prices!$J$3:$K$17,2,FALSE)*S258)+(VLOOKUP($T$2,[4]Prices!$J$3:$K$17,2,FALSE)*T258)+(VLOOKUP($U$2,[4]Prices!$J$3:$K$17,2,FALSE)*U258)+(VLOOKUP($V$2,[4]Prices!$J$3:$K$17,2,FALSE)*V258)+(VLOOKUP($W$2,[4]Prices!$J$3:$K$17,2,FALSE)*W258)+(VLOOKUP($X$2,[4]Prices!$J$3:$K$17,2,FALSE)*X258)+(VLOOKUP($Y$2,[4]Prices!$J$3:$K$17,2,FALSE)*Y258)+(VLOOKUP($Z$2,[4]Prices!$J$3:$K$17,2,FALSE)*Z258)+(VLOOKUP($AA$2,[4]Prices!$J$3:$K$17,2,FALSE)*AA258)+(VLOOKUP($AB$2,[4]Prices!$J$3:$K$17,2,FALSE)*AB258)+M258</f>
        <v>6761500</v>
      </c>
      <c r="AD258" s="18"/>
      <c r="AE258" s="18"/>
      <c r="AF258" s="4">
        <f t="shared" si="12"/>
        <v>0</v>
      </c>
      <c r="AG258" s="4"/>
      <c r="AH258" s="16">
        <f t="shared" si="13"/>
        <v>0</v>
      </c>
      <c r="AI258" s="21">
        <f t="shared" si="14"/>
        <v>0</v>
      </c>
      <c r="AJ258" s="20">
        <f t="shared" si="15"/>
        <v>0</v>
      </c>
      <c r="AK258" s="9"/>
    </row>
    <row r="259" spans="1:37" hidden="1">
      <c r="A259" s="77">
        <v>257</v>
      </c>
      <c r="B259" s="78"/>
      <c r="C259" s="79"/>
      <c r="D259" s="79"/>
      <c r="E259" s="79"/>
      <c r="F259" s="79"/>
      <c r="G259" s="79"/>
      <c r="H259" s="80"/>
      <c r="I259" s="45" t="s">
        <v>771</v>
      </c>
      <c r="J259" s="45" t="s">
        <v>1389</v>
      </c>
      <c r="K259" s="46" t="s">
        <v>667</v>
      </c>
      <c r="L259" s="46" t="s">
        <v>1074</v>
      </c>
      <c r="M259" s="81">
        <f>IFERROR(VLOOKUP($L259,[3]Consolidated!$C$9:$AC$452,27,0),0)</f>
        <v>6970000</v>
      </c>
      <c r="N259" s="81">
        <f>IFERROR(VLOOKUP($L259,[3]Consolidated!$C$9:$AC$452,5,0),0)</f>
        <v>50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4">
        <f>(VLOOKUP($O$2,[4]Prices!$E$3:$K$17,2,FALSE)*O259)+(VLOOKUP($P$2,[4]Prices!$J$3:$K$17,2,FALSE)*P259)+(VLOOKUP($Q$2,[4]Prices!$J$3:$K$17,2,FALSE)*Q259)+(VLOOKUP($R$2,[4]Prices!$J$3:$K$17,2,FALSE)*R259)+(VLOOKUP($S$2,[4]Prices!$J$3:$K$17,2,FALSE)*S259)+(VLOOKUP($T$2,[4]Prices!$J$3:$K$17,2,FALSE)*T259)+(VLOOKUP($U$2,[4]Prices!$J$3:$K$17,2,FALSE)*U259)+(VLOOKUP($V$2,[4]Prices!$J$3:$K$17,2,FALSE)*V259)+(VLOOKUP($W$2,[4]Prices!$J$3:$K$17,2,FALSE)*W259)+(VLOOKUP($X$2,[4]Prices!$J$3:$K$17,2,FALSE)*X259)+(VLOOKUP($Y$2,[4]Prices!$J$3:$K$17,2,FALSE)*Y259)+(VLOOKUP($Z$2,[4]Prices!$J$3:$K$17,2,FALSE)*Z259)+(VLOOKUP($AA$2,[4]Prices!$J$3:$K$17,2,FALSE)*AA259)+(VLOOKUP($AB$2,[4]Prices!$J$3:$K$17,2,FALSE)*AB259)+M259</f>
        <v>6970000</v>
      </c>
      <c r="AD259" s="18"/>
      <c r="AE259" s="18"/>
      <c r="AF259" s="4">
        <f t="shared" ref="AF259:AF322" si="16">AD259-AE259</f>
        <v>0</v>
      </c>
      <c r="AG259" s="4"/>
      <c r="AH259" s="16">
        <f t="shared" si="13"/>
        <v>0</v>
      </c>
      <c r="AI259" s="21">
        <f t="shared" si="14"/>
        <v>0</v>
      </c>
      <c r="AJ259" s="20">
        <f t="shared" si="15"/>
        <v>0</v>
      </c>
      <c r="AK259" s="9"/>
    </row>
    <row r="260" spans="1:37" hidden="1">
      <c r="A260" s="77">
        <v>258</v>
      </c>
      <c r="B260" s="78"/>
      <c r="C260" s="79"/>
      <c r="D260" s="79"/>
      <c r="E260" s="79"/>
      <c r="F260" s="79"/>
      <c r="G260" s="79"/>
      <c r="H260" s="80"/>
      <c r="I260" s="45" t="s">
        <v>769</v>
      </c>
      <c r="J260" s="45" t="s">
        <v>1389</v>
      </c>
      <c r="K260" s="46" t="s">
        <v>1402</v>
      </c>
      <c r="L260" s="46" t="s">
        <v>1072</v>
      </c>
      <c r="M260" s="81">
        <f>IFERROR(VLOOKUP($L260,[3]Consolidated!$C$9:$AC$452,27,0),0)</f>
        <v>1500000</v>
      </c>
      <c r="N260" s="81">
        <f>IFERROR(VLOOKUP($L260,[3]Consolidated!$C$9:$AC$452,5,0),0)</f>
        <v>10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4">
        <f>(VLOOKUP($O$2,[4]Prices!$E$3:$K$17,2,FALSE)*O260)+(VLOOKUP($P$2,[4]Prices!$J$3:$K$17,2,FALSE)*P260)+(VLOOKUP($Q$2,[4]Prices!$J$3:$K$17,2,FALSE)*Q260)+(VLOOKUP($R$2,[4]Prices!$J$3:$K$17,2,FALSE)*R260)+(VLOOKUP($S$2,[4]Prices!$J$3:$K$17,2,FALSE)*S260)+(VLOOKUP($T$2,[4]Prices!$J$3:$K$17,2,FALSE)*T260)+(VLOOKUP($U$2,[4]Prices!$J$3:$K$17,2,FALSE)*U260)+(VLOOKUP($V$2,[4]Prices!$J$3:$K$17,2,FALSE)*V260)+(VLOOKUP($W$2,[4]Prices!$J$3:$K$17,2,FALSE)*W260)+(VLOOKUP($X$2,[4]Prices!$J$3:$K$17,2,FALSE)*X260)+(VLOOKUP($Y$2,[4]Prices!$J$3:$K$17,2,FALSE)*Y260)+(VLOOKUP($Z$2,[4]Prices!$J$3:$K$17,2,FALSE)*Z260)+(VLOOKUP($AA$2,[4]Prices!$J$3:$K$17,2,FALSE)*AA260)+(VLOOKUP($AB$2,[4]Prices!$J$3:$K$17,2,FALSE)*AB260)+M260</f>
        <v>1500000</v>
      </c>
      <c r="AD260" s="18"/>
      <c r="AE260" s="18"/>
      <c r="AF260" s="4">
        <f t="shared" si="16"/>
        <v>0</v>
      </c>
      <c r="AG260" s="4"/>
      <c r="AH260" s="16">
        <f t="shared" ref="AH260:AH323" si="17">AD260+AG260</f>
        <v>0</v>
      </c>
      <c r="AI260" s="21">
        <f t="shared" ref="AI260:AI323" si="18">AH260/M260</f>
        <v>0</v>
      </c>
      <c r="AJ260" s="20">
        <f t="shared" si="15"/>
        <v>0</v>
      </c>
      <c r="AK260" s="9"/>
    </row>
    <row r="261" spans="1:37" hidden="1">
      <c r="A261" s="77">
        <v>259</v>
      </c>
      <c r="B261" s="78"/>
      <c r="C261" s="79"/>
      <c r="D261" s="79"/>
      <c r="E261" s="79"/>
      <c r="F261" s="79"/>
      <c r="G261" s="79"/>
      <c r="H261" s="80"/>
      <c r="I261" s="45" t="s">
        <v>768</v>
      </c>
      <c r="J261" s="45" t="s">
        <v>1389</v>
      </c>
      <c r="K261" s="46" t="s">
        <v>1402</v>
      </c>
      <c r="L261" s="46" t="s">
        <v>1071</v>
      </c>
      <c r="M261" s="81">
        <f>IFERROR(VLOOKUP($L261,[3]Consolidated!$C$9:$AC$452,27,0),0)</f>
        <v>9156400</v>
      </c>
      <c r="N261" s="81">
        <f>IFERROR(VLOOKUP($L261,[3]Consolidated!$C$9:$AC$452,5,0),0)</f>
        <v>50.000000000000007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4">
        <f>(VLOOKUP($O$2,[4]Prices!$E$3:$K$17,2,FALSE)*O261)+(VLOOKUP($P$2,[4]Prices!$J$3:$K$17,2,FALSE)*P261)+(VLOOKUP($Q$2,[4]Prices!$J$3:$K$17,2,FALSE)*Q261)+(VLOOKUP($R$2,[4]Prices!$J$3:$K$17,2,FALSE)*R261)+(VLOOKUP($S$2,[4]Prices!$J$3:$K$17,2,FALSE)*S261)+(VLOOKUP($T$2,[4]Prices!$J$3:$K$17,2,FALSE)*T261)+(VLOOKUP($U$2,[4]Prices!$J$3:$K$17,2,FALSE)*U261)+(VLOOKUP($V$2,[4]Prices!$J$3:$K$17,2,FALSE)*V261)+(VLOOKUP($W$2,[4]Prices!$J$3:$K$17,2,FALSE)*W261)+(VLOOKUP($X$2,[4]Prices!$J$3:$K$17,2,FALSE)*X261)+(VLOOKUP($Y$2,[4]Prices!$J$3:$K$17,2,FALSE)*Y261)+(VLOOKUP($Z$2,[4]Prices!$J$3:$K$17,2,FALSE)*Z261)+(VLOOKUP($AA$2,[4]Prices!$J$3:$K$17,2,FALSE)*AA261)+(VLOOKUP($AB$2,[4]Prices!$J$3:$K$17,2,FALSE)*AB261)+M261</f>
        <v>9156400</v>
      </c>
      <c r="AD261" s="18"/>
      <c r="AE261" s="18"/>
      <c r="AF261" s="4">
        <f t="shared" si="16"/>
        <v>0</v>
      </c>
      <c r="AG261" s="4"/>
      <c r="AH261" s="16">
        <f t="shared" si="17"/>
        <v>0</v>
      </c>
      <c r="AI261" s="21">
        <f t="shared" si="18"/>
        <v>0</v>
      </c>
      <c r="AJ261" s="20">
        <f t="shared" ref="AJ261:AJ324" si="19">AH261/AC261</f>
        <v>0</v>
      </c>
      <c r="AK261" s="19"/>
    </row>
    <row r="262" spans="1:37" hidden="1">
      <c r="A262" s="77">
        <v>260</v>
      </c>
      <c r="B262" s="78"/>
      <c r="C262" s="79"/>
      <c r="D262" s="79"/>
      <c r="E262" s="79"/>
      <c r="F262" s="79"/>
      <c r="G262" s="79"/>
      <c r="H262" s="80"/>
      <c r="I262" s="45" t="s">
        <v>802</v>
      </c>
      <c r="J262" s="45" t="s">
        <v>1389</v>
      </c>
      <c r="K262" s="46" t="s">
        <v>668</v>
      </c>
      <c r="L262" s="47" t="s">
        <v>1117</v>
      </c>
      <c r="M262" s="81">
        <f>IFERROR(VLOOKUP($L262,[3]Consolidated!$C$9:$AC$452,27,0),0)</f>
        <v>1843000</v>
      </c>
      <c r="N262" s="81">
        <f>IFERROR(VLOOKUP($L262,[3]Consolidated!$C$9:$AC$452,5,0),0)</f>
        <v>10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4">
        <f>(VLOOKUP($O$2,[4]Prices!$E$3:$K$17,2,FALSE)*O262)+(VLOOKUP($P$2,[4]Prices!$J$3:$K$17,2,FALSE)*P262)+(VLOOKUP($Q$2,[4]Prices!$J$3:$K$17,2,FALSE)*Q262)+(VLOOKUP($R$2,[4]Prices!$J$3:$K$17,2,FALSE)*R262)+(VLOOKUP($S$2,[4]Prices!$J$3:$K$17,2,FALSE)*S262)+(VLOOKUP($T$2,[4]Prices!$J$3:$K$17,2,FALSE)*T262)+(VLOOKUP($U$2,[4]Prices!$J$3:$K$17,2,FALSE)*U262)+(VLOOKUP($V$2,[4]Prices!$J$3:$K$17,2,FALSE)*V262)+(VLOOKUP($W$2,[4]Prices!$J$3:$K$17,2,FALSE)*W262)+(VLOOKUP($X$2,[4]Prices!$J$3:$K$17,2,FALSE)*X262)+(VLOOKUP($Y$2,[4]Prices!$J$3:$K$17,2,FALSE)*Y262)+(VLOOKUP($Z$2,[4]Prices!$J$3:$K$17,2,FALSE)*Z262)+(VLOOKUP($AA$2,[4]Prices!$J$3:$K$17,2,FALSE)*AA262)+(VLOOKUP($AB$2,[4]Prices!$J$3:$K$17,2,FALSE)*AB262)+M262</f>
        <v>1843000</v>
      </c>
      <c r="AD262" s="18"/>
      <c r="AE262" s="18"/>
      <c r="AF262" s="4">
        <f t="shared" si="16"/>
        <v>0</v>
      </c>
      <c r="AG262" s="4"/>
      <c r="AH262" s="16">
        <f t="shared" si="17"/>
        <v>0</v>
      </c>
      <c r="AI262" s="21">
        <f t="shared" si="18"/>
        <v>0</v>
      </c>
      <c r="AJ262" s="20">
        <f t="shared" si="19"/>
        <v>0</v>
      </c>
      <c r="AK262" s="9"/>
    </row>
    <row r="263" spans="1:37" hidden="1">
      <c r="A263" s="77">
        <v>261</v>
      </c>
      <c r="B263" s="78"/>
      <c r="C263" s="79"/>
      <c r="D263" s="79"/>
      <c r="E263" s="79"/>
      <c r="F263" s="79"/>
      <c r="G263" s="79"/>
      <c r="H263" s="80"/>
      <c r="I263" s="45" t="s">
        <v>1412</v>
      </c>
      <c r="J263" s="45" t="s">
        <v>1389</v>
      </c>
      <c r="K263" s="46" t="s">
        <v>1402</v>
      </c>
      <c r="L263" s="47" t="s">
        <v>1067</v>
      </c>
      <c r="M263" s="81">
        <f>IFERROR(VLOOKUP($L263,[3]Consolidated!$C$9:$AC$452,27,0),0)</f>
        <v>0</v>
      </c>
      <c r="N263" s="81">
        <f>IFERROR(VLOOKUP($L263,[3]Consolidated!$C$9:$AC$452,5,0),0)</f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4">
        <f>(VLOOKUP($O$2,[4]Prices!$E$3:$K$17,2,FALSE)*O263)+(VLOOKUP($P$2,[4]Prices!$J$3:$K$17,2,FALSE)*P263)+(VLOOKUP($Q$2,[4]Prices!$J$3:$K$17,2,FALSE)*Q263)+(VLOOKUP($R$2,[4]Prices!$J$3:$K$17,2,FALSE)*R263)+(VLOOKUP($S$2,[4]Prices!$J$3:$K$17,2,FALSE)*S263)+(VLOOKUP($T$2,[4]Prices!$J$3:$K$17,2,FALSE)*T263)+(VLOOKUP($U$2,[4]Prices!$J$3:$K$17,2,FALSE)*U263)+(VLOOKUP($V$2,[4]Prices!$J$3:$K$17,2,FALSE)*V263)+(VLOOKUP($W$2,[4]Prices!$J$3:$K$17,2,FALSE)*W263)+(VLOOKUP($X$2,[4]Prices!$J$3:$K$17,2,FALSE)*X263)+(VLOOKUP($Y$2,[4]Prices!$J$3:$K$17,2,FALSE)*Y263)+(VLOOKUP($Z$2,[4]Prices!$J$3:$K$17,2,FALSE)*Z263)+(VLOOKUP($AA$2,[4]Prices!$J$3:$K$17,2,FALSE)*AA263)+(VLOOKUP($AB$2,[4]Prices!$J$3:$K$17,2,FALSE)*AB263)+M263</f>
        <v>0</v>
      </c>
      <c r="AD263" s="18"/>
      <c r="AE263" s="18"/>
      <c r="AF263" s="4">
        <f t="shared" si="16"/>
        <v>0</v>
      </c>
      <c r="AG263" s="4"/>
      <c r="AH263" s="16">
        <f t="shared" si="17"/>
        <v>0</v>
      </c>
      <c r="AI263" s="21" t="e">
        <f t="shared" si="18"/>
        <v>#DIV/0!</v>
      </c>
      <c r="AJ263" s="20" t="e">
        <f t="shared" si="19"/>
        <v>#DIV/0!</v>
      </c>
      <c r="AK263" s="9"/>
    </row>
    <row r="264" spans="1:37" hidden="1">
      <c r="A264" s="77">
        <v>262</v>
      </c>
      <c r="B264" s="78"/>
      <c r="C264" s="79"/>
      <c r="D264" s="79"/>
      <c r="E264" s="79"/>
      <c r="F264" s="79"/>
      <c r="G264" s="79"/>
      <c r="H264" s="80"/>
      <c r="I264" s="45" t="s">
        <v>1413</v>
      </c>
      <c r="J264" s="45" t="s">
        <v>1389</v>
      </c>
      <c r="K264" s="46" t="s">
        <v>1402</v>
      </c>
      <c r="L264" s="47" t="s">
        <v>1066</v>
      </c>
      <c r="M264" s="81">
        <f>IFERROR(VLOOKUP($L264,[3]Consolidated!$C$9:$AC$452,27,0),0)</f>
        <v>0</v>
      </c>
      <c r="N264" s="81">
        <f>IFERROR(VLOOKUP($L264,[3]Consolidated!$C$9:$AC$452,5,0),0)</f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4">
        <f>(VLOOKUP($O$2,[4]Prices!$E$3:$K$17,2,FALSE)*O264)+(VLOOKUP($P$2,[4]Prices!$J$3:$K$17,2,FALSE)*P264)+(VLOOKUP($Q$2,[4]Prices!$J$3:$K$17,2,FALSE)*Q264)+(VLOOKUP($R$2,[4]Prices!$J$3:$K$17,2,FALSE)*R264)+(VLOOKUP($S$2,[4]Prices!$J$3:$K$17,2,FALSE)*S264)+(VLOOKUP($T$2,[4]Prices!$J$3:$K$17,2,FALSE)*T264)+(VLOOKUP($U$2,[4]Prices!$J$3:$K$17,2,FALSE)*U264)+(VLOOKUP($V$2,[4]Prices!$J$3:$K$17,2,FALSE)*V264)+(VLOOKUP($W$2,[4]Prices!$J$3:$K$17,2,FALSE)*W264)+(VLOOKUP($X$2,[4]Prices!$J$3:$K$17,2,FALSE)*X264)+(VLOOKUP($Y$2,[4]Prices!$J$3:$K$17,2,FALSE)*Y264)+(VLOOKUP($Z$2,[4]Prices!$J$3:$K$17,2,FALSE)*Z264)+(VLOOKUP($AA$2,[4]Prices!$J$3:$K$17,2,FALSE)*AA264)+(VLOOKUP($AB$2,[4]Prices!$J$3:$K$17,2,FALSE)*AB264)+M264</f>
        <v>0</v>
      </c>
      <c r="AD264" s="18"/>
      <c r="AE264" s="18"/>
      <c r="AF264" s="4">
        <f t="shared" si="16"/>
        <v>0</v>
      </c>
      <c r="AG264" s="4"/>
      <c r="AH264" s="16">
        <f t="shared" si="17"/>
        <v>0</v>
      </c>
      <c r="AI264" s="21" t="e">
        <f t="shared" si="18"/>
        <v>#DIV/0!</v>
      </c>
      <c r="AJ264" s="20" t="e">
        <f t="shared" si="19"/>
        <v>#DIV/0!</v>
      </c>
      <c r="AK264" s="9"/>
    </row>
    <row r="265" spans="1:37" hidden="1">
      <c r="A265" s="77">
        <v>263</v>
      </c>
      <c r="B265" s="78"/>
      <c r="C265" s="79"/>
      <c r="D265" s="79"/>
      <c r="E265" s="79"/>
      <c r="F265" s="79"/>
      <c r="G265" s="79"/>
      <c r="H265" s="80"/>
      <c r="I265" s="45" t="s">
        <v>789</v>
      </c>
      <c r="J265" s="45" t="s">
        <v>1389</v>
      </c>
      <c r="K265" s="46" t="s">
        <v>667</v>
      </c>
      <c r="L265" s="47" t="s">
        <v>1104</v>
      </c>
      <c r="M265" s="81">
        <f>IFERROR(VLOOKUP($L265,[3]Consolidated!$C$9:$AC$452,27,0),0)</f>
        <v>4704000</v>
      </c>
      <c r="N265" s="81">
        <f>IFERROR(VLOOKUP($L265,[3]Consolidated!$C$9:$AC$452,5,0),0)</f>
        <v>35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4">
        <f>(VLOOKUP($O$2,[4]Prices!$E$3:$K$17,2,FALSE)*O265)+(VLOOKUP($P$2,[4]Prices!$J$3:$K$17,2,FALSE)*P265)+(VLOOKUP($Q$2,[4]Prices!$J$3:$K$17,2,FALSE)*Q265)+(VLOOKUP($R$2,[4]Prices!$J$3:$K$17,2,FALSE)*R265)+(VLOOKUP($S$2,[4]Prices!$J$3:$K$17,2,FALSE)*S265)+(VLOOKUP($T$2,[4]Prices!$J$3:$K$17,2,FALSE)*T265)+(VLOOKUP($U$2,[4]Prices!$J$3:$K$17,2,FALSE)*U265)+(VLOOKUP($V$2,[4]Prices!$J$3:$K$17,2,FALSE)*V265)+(VLOOKUP($W$2,[4]Prices!$J$3:$K$17,2,FALSE)*W265)+(VLOOKUP($X$2,[4]Prices!$J$3:$K$17,2,FALSE)*X265)+(VLOOKUP($Y$2,[4]Prices!$J$3:$K$17,2,FALSE)*Y265)+(VLOOKUP($Z$2,[4]Prices!$J$3:$K$17,2,FALSE)*Z265)+(VLOOKUP($AA$2,[4]Prices!$J$3:$K$17,2,FALSE)*AA265)+(VLOOKUP($AB$2,[4]Prices!$J$3:$K$17,2,FALSE)*AB265)+M265</f>
        <v>4704000</v>
      </c>
      <c r="AD265" s="18"/>
      <c r="AE265" s="18"/>
      <c r="AF265" s="4">
        <f t="shared" si="16"/>
        <v>0</v>
      </c>
      <c r="AG265" s="4"/>
      <c r="AH265" s="16">
        <f t="shared" si="17"/>
        <v>0</v>
      </c>
      <c r="AI265" s="21">
        <f t="shared" si="18"/>
        <v>0</v>
      </c>
      <c r="AJ265" s="20">
        <f t="shared" si="19"/>
        <v>0</v>
      </c>
      <c r="AK265" s="9"/>
    </row>
    <row r="266" spans="1:37" hidden="1">
      <c r="A266" s="77">
        <v>264</v>
      </c>
      <c r="B266" s="78"/>
      <c r="C266" s="79"/>
      <c r="D266" s="79"/>
      <c r="E266" s="79"/>
      <c r="F266" s="79"/>
      <c r="G266" s="79"/>
      <c r="H266" s="80"/>
      <c r="I266" s="45" t="s">
        <v>788</v>
      </c>
      <c r="J266" s="45" t="s">
        <v>1389</v>
      </c>
      <c r="K266" s="46" t="s">
        <v>667</v>
      </c>
      <c r="L266" s="47" t="s">
        <v>1103</v>
      </c>
      <c r="M266" s="81">
        <f>IFERROR(VLOOKUP($L266,[3]Consolidated!$C$9:$AC$452,27,0),0)</f>
        <v>0</v>
      </c>
      <c r="N266" s="81">
        <f>IFERROR(VLOOKUP($L266,[3]Consolidated!$C$9:$AC$452,5,0),0)</f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4">
        <f>(VLOOKUP($O$2,[4]Prices!$E$3:$K$17,2,FALSE)*O266)+(VLOOKUP($P$2,[4]Prices!$J$3:$K$17,2,FALSE)*P266)+(VLOOKUP($Q$2,[4]Prices!$J$3:$K$17,2,FALSE)*Q266)+(VLOOKUP($R$2,[4]Prices!$J$3:$K$17,2,FALSE)*R266)+(VLOOKUP($S$2,[4]Prices!$J$3:$K$17,2,FALSE)*S266)+(VLOOKUP($T$2,[4]Prices!$J$3:$K$17,2,FALSE)*T266)+(VLOOKUP($U$2,[4]Prices!$J$3:$K$17,2,FALSE)*U266)+(VLOOKUP($V$2,[4]Prices!$J$3:$K$17,2,FALSE)*V266)+(VLOOKUP($W$2,[4]Prices!$J$3:$K$17,2,FALSE)*W266)+(VLOOKUP($X$2,[4]Prices!$J$3:$K$17,2,FALSE)*X266)+(VLOOKUP($Y$2,[4]Prices!$J$3:$K$17,2,FALSE)*Y266)+(VLOOKUP($Z$2,[4]Prices!$J$3:$K$17,2,FALSE)*Z266)+(VLOOKUP($AA$2,[4]Prices!$J$3:$K$17,2,FALSE)*AA266)+(VLOOKUP($AB$2,[4]Prices!$J$3:$K$17,2,FALSE)*AB266)+M266</f>
        <v>0</v>
      </c>
      <c r="AD266" s="18"/>
      <c r="AE266" s="18"/>
      <c r="AF266" s="4">
        <f t="shared" si="16"/>
        <v>0</v>
      </c>
      <c r="AG266" s="4"/>
      <c r="AH266" s="16">
        <f t="shared" si="17"/>
        <v>0</v>
      </c>
      <c r="AI266" s="21" t="e">
        <f t="shared" si="18"/>
        <v>#DIV/0!</v>
      </c>
      <c r="AJ266" s="20" t="e">
        <f t="shared" si="19"/>
        <v>#DIV/0!</v>
      </c>
      <c r="AK266" s="9"/>
    </row>
    <row r="267" spans="1:37" hidden="1">
      <c r="A267" s="77">
        <v>265</v>
      </c>
      <c r="B267" s="78"/>
      <c r="C267" s="79"/>
      <c r="D267" s="79"/>
      <c r="E267" s="79"/>
      <c r="F267" s="79"/>
      <c r="G267" s="79"/>
      <c r="H267" s="80"/>
      <c r="I267" s="45" t="s">
        <v>840</v>
      </c>
      <c r="J267" s="45" t="s">
        <v>1389</v>
      </c>
      <c r="K267" s="46" t="s">
        <v>671</v>
      </c>
      <c r="L267" s="47" t="s">
        <v>1178</v>
      </c>
      <c r="M267" s="81">
        <f>IFERROR(VLOOKUP($L267,[3]Consolidated!$C$9:$AC$452,27,0),0)</f>
        <v>0</v>
      </c>
      <c r="N267" s="81">
        <f>IFERROR(VLOOKUP($L267,[3]Consolidated!$C$9:$AC$452,5,0),0)</f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4">
        <f>(VLOOKUP($O$2,[4]Prices!$E$3:$K$17,2,FALSE)*O267)+(VLOOKUP($P$2,[4]Prices!$J$3:$K$17,2,FALSE)*P267)+(VLOOKUP($Q$2,[4]Prices!$J$3:$K$17,2,FALSE)*Q267)+(VLOOKUP($R$2,[4]Prices!$J$3:$K$17,2,FALSE)*R267)+(VLOOKUP($S$2,[4]Prices!$J$3:$K$17,2,FALSE)*S267)+(VLOOKUP($T$2,[4]Prices!$J$3:$K$17,2,FALSE)*T267)+(VLOOKUP($U$2,[4]Prices!$J$3:$K$17,2,FALSE)*U267)+(VLOOKUP($V$2,[4]Prices!$J$3:$K$17,2,FALSE)*V267)+(VLOOKUP($W$2,[4]Prices!$J$3:$K$17,2,FALSE)*W267)+(VLOOKUP($X$2,[4]Prices!$J$3:$K$17,2,FALSE)*X267)+(VLOOKUP($Y$2,[4]Prices!$J$3:$K$17,2,FALSE)*Y267)+(VLOOKUP($Z$2,[4]Prices!$J$3:$K$17,2,FALSE)*Z267)+(VLOOKUP($AA$2,[4]Prices!$J$3:$K$17,2,FALSE)*AA267)+(VLOOKUP($AB$2,[4]Prices!$J$3:$K$17,2,FALSE)*AB267)+M267</f>
        <v>0</v>
      </c>
      <c r="AD267" s="18"/>
      <c r="AE267" s="18"/>
      <c r="AF267" s="4">
        <f t="shared" si="16"/>
        <v>0</v>
      </c>
      <c r="AG267" s="4"/>
      <c r="AH267" s="16">
        <f t="shared" si="17"/>
        <v>0</v>
      </c>
      <c r="AI267" s="21" t="e">
        <f t="shared" si="18"/>
        <v>#DIV/0!</v>
      </c>
      <c r="AJ267" s="20" t="e">
        <f t="shared" si="19"/>
        <v>#DIV/0!</v>
      </c>
      <c r="AK267" s="9"/>
    </row>
    <row r="268" spans="1:37" hidden="1">
      <c r="A268" s="77">
        <v>266</v>
      </c>
      <c r="B268" s="78"/>
      <c r="C268" s="79"/>
      <c r="D268" s="79"/>
      <c r="E268" s="79"/>
      <c r="F268" s="79"/>
      <c r="G268" s="79"/>
      <c r="H268" s="80"/>
      <c r="I268" s="45" t="s">
        <v>1414</v>
      </c>
      <c r="J268" s="45" t="s">
        <v>1389</v>
      </c>
      <c r="K268" s="46" t="s">
        <v>1402</v>
      </c>
      <c r="L268" s="47" t="s">
        <v>1063</v>
      </c>
      <c r="M268" s="81">
        <f>IFERROR(VLOOKUP($L268,[3]Consolidated!$C$9:$AC$452,27,0),0)</f>
        <v>0</v>
      </c>
      <c r="N268" s="81">
        <f>IFERROR(VLOOKUP($L268,[3]Consolidated!$C$9:$AC$452,5,0),0)</f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4">
        <f>(VLOOKUP($O$2,[4]Prices!$E$3:$K$17,2,FALSE)*O268)+(VLOOKUP($P$2,[4]Prices!$J$3:$K$17,2,FALSE)*P268)+(VLOOKUP($Q$2,[4]Prices!$J$3:$K$17,2,FALSE)*Q268)+(VLOOKUP($R$2,[4]Prices!$J$3:$K$17,2,FALSE)*R268)+(VLOOKUP($S$2,[4]Prices!$J$3:$K$17,2,FALSE)*S268)+(VLOOKUP($T$2,[4]Prices!$J$3:$K$17,2,FALSE)*T268)+(VLOOKUP($U$2,[4]Prices!$J$3:$K$17,2,FALSE)*U268)+(VLOOKUP($V$2,[4]Prices!$J$3:$K$17,2,FALSE)*V268)+(VLOOKUP($W$2,[4]Prices!$J$3:$K$17,2,FALSE)*W268)+(VLOOKUP($X$2,[4]Prices!$J$3:$K$17,2,FALSE)*X268)+(VLOOKUP($Y$2,[4]Prices!$J$3:$K$17,2,FALSE)*Y268)+(VLOOKUP($Z$2,[4]Prices!$J$3:$K$17,2,FALSE)*Z268)+(VLOOKUP($AA$2,[4]Prices!$J$3:$K$17,2,FALSE)*AA268)+(VLOOKUP($AB$2,[4]Prices!$J$3:$K$17,2,FALSE)*AB268)+M268</f>
        <v>0</v>
      </c>
      <c r="AD268" s="18"/>
      <c r="AE268" s="18"/>
      <c r="AF268" s="4">
        <f t="shared" si="16"/>
        <v>0</v>
      </c>
      <c r="AG268" s="4"/>
      <c r="AH268" s="16">
        <f t="shared" si="17"/>
        <v>0</v>
      </c>
      <c r="AI268" s="21" t="e">
        <f t="shared" si="18"/>
        <v>#DIV/0!</v>
      </c>
      <c r="AJ268" s="20" t="e">
        <f t="shared" si="19"/>
        <v>#DIV/0!</v>
      </c>
      <c r="AK268" s="9"/>
    </row>
    <row r="269" spans="1:37" hidden="1">
      <c r="A269" s="77">
        <v>267</v>
      </c>
      <c r="B269" s="78"/>
      <c r="C269" s="79"/>
      <c r="D269" s="79"/>
      <c r="E269" s="79"/>
      <c r="F269" s="79"/>
      <c r="G269" s="79"/>
      <c r="H269" s="80"/>
      <c r="I269" s="45" t="s">
        <v>1415</v>
      </c>
      <c r="J269" s="45" t="s">
        <v>1389</v>
      </c>
      <c r="K269" s="46" t="s">
        <v>1402</v>
      </c>
      <c r="L269" s="47" t="s">
        <v>1062</v>
      </c>
      <c r="M269" s="81">
        <f>IFERROR(VLOOKUP($L269,[3]Consolidated!$C$9:$AC$452,27,0),0)</f>
        <v>7388000</v>
      </c>
      <c r="N269" s="81">
        <f>IFERROR(VLOOKUP($L269,[3]Consolidated!$C$9:$AC$452,5,0),0)</f>
        <v>45.000000000000007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4">
        <f>(VLOOKUP($O$2,[4]Prices!$E$3:$K$17,2,FALSE)*O269)+(VLOOKUP($P$2,[4]Prices!$J$3:$K$17,2,FALSE)*P269)+(VLOOKUP($Q$2,[4]Prices!$J$3:$K$17,2,FALSE)*Q269)+(VLOOKUP($R$2,[4]Prices!$J$3:$K$17,2,FALSE)*R269)+(VLOOKUP($S$2,[4]Prices!$J$3:$K$17,2,FALSE)*S269)+(VLOOKUP($T$2,[4]Prices!$J$3:$K$17,2,FALSE)*T269)+(VLOOKUP($U$2,[4]Prices!$J$3:$K$17,2,FALSE)*U269)+(VLOOKUP($V$2,[4]Prices!$J$3:$K$17,2,FALSE)*V269)+(VLOOKUP($W$2,[4]Prices!$J$3:$K$17,2,FALSE)*W269)+(VLOOKUP($X$2,[4]Prices!$J$3:$K$17,2,FALSE)*X269)+(VLOOKUP($Y$2,[4]Prices!$J$3:$K$17,2,FALSE)*Y269)+(VLOOKUP($Z$2,[4]Prices!$J$3:$K$17,2,FALSE)*Z269)+(VLOOKUP($AA$2,[4]Prices!$J$3:$K$17,2,FALSE)*AA269)+(VLOOKUP($AB$2,[4]Prices!$J$3:$K$17,2,FALSE)*AB269)+M269</f>
        <v>7388000</v>
      </c>
      <c r="AD269" s="18"/>
      <c r="AE269" s="18"/>
      <c r="AF269" s="4">
        <f t="shared" si="16"/>
        <v>0</v>
      </c>
      <c r="AG269" s="4"/>
      <c r="AH269" s="16">
        <f t="shared" si="17"/>
        <v>0</v>
      </c>
      <c r="AI269" s="21">
        <f t="shared" si="18"/>
        <v>0</v>
      </c>
      <c r="AJ269" s="20">
        <f t="shared" si="19"/>
        <v>0</v>
      </c>
      <c r="AK269" s="9"/>
    </row>
    <row r="270" spans="1:37" hidden="1">
      <c r="A270" s="77">
        <v>268</v>
      </c>
      <c r="B270" s="78"/>
      <c r="C270" s="79"/>
      <c r="D270" s="79"/>
      <c r="E270" s="79"/>
      <c r="F270" s="79"/>
      <c r="G270" s="79"/>
      <c r="H270" s="80"/>
      <c r="I270" s="45" t="s">
        <v>1416</v>
      </c>
      <c r="J270" s="45" t="s">
        <v>1389</v>
      </c>
      <c r="K270" s="46" t="s">
        <v>668</v>
      </c>
      <c r="L270" s="47" t="s">
        <v>1131</v>
      </c>
      <c r="M270" s="81">
        <f>IFERROR(VLOOKUP($L270,[3]Consolidated!$C$9:$AC$452,27,0),0)</f>
        <v>2779500</v>
      </c>
      <c r="N270" s="81">
        <f>IFERROR(VLOOKUP($L270,[3]Consolidated!$C$9:$AC$452,5,0),0)</f>
        <v>15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4">
        <f>(VLOOKUP($O$2,[4]Prices!$E$3:$K$17,2,FALSE)*O270)+(VLOOKUP($P$2,[4]Prices!$J$3:$K$17,2,FALSE)*P270)+(VLOOKUP($Q$2,[4]Prices!$J$3:$K$17,2,FALSE)*Q270)+(VLOOKUP($R$2,[4]Prices!$J$3:$K$17,2,FALSE)*R270)+(VLOOKUP($S$2,[4]Prices!$J$3:$K$17,2,FALSE)*S270)+(VLOOKUP($T$2,[4]Prices!$J$3:$K$17,2,FALSE)*T270)+(VLOOKUP($U$2,[4]Prices!$J$3:$K$17,2,FALSE)*U270)+(VLOOKUP($V$2,[4]Prices!$J$3:$K$17,2,FALSE)*V270)+(VLOOKUP($W$2,[4]Prices!$J$3:$K$17,2,FALSE)*W270)+(VLOOKUP($X$2,[4]Prices!$J$3:$K$17,2,FALSE)*X270)+(VLOOKUP($Y$2,[4]Prices!$J$3:$K$17,2,FALSE)*Y270)+(VLOOKUP($Z$2,[4]Prices!$J$3:$K$17,2,FALSE)*Z270)+(VLOOKUP($AA$2,[4]Prices!$J$3:$K$17,2,FALSE)*AA270)+(VLOOKUP($AB$2,[4]Prices!$J$3:$K$17,2,FALSE)*AB270)+M270</f>
        <v>2779500</v>
      </c>
      <c r="AD270" s="18"/>
      <c r="AE270" s="18"/>
      <c r="AF270" s="4">
        <f t="shared" si="16"/>
        <v>0</v>
      </c>
      <c r="AG270" s="4"/>
      <c r="AH270" s="16">
        <f t="shared" si="17"/>
        <v>0</v>
      </c>
      <c r="AI270" s="21">
        <f t="shared" si="18"/>
        <v>0</v>
      </c>
      <c r="AJ270" s="20">
        <f t="shared" si="19"/>
        <v>0</v>
      </c>
      <c r="AK270" s="19"/>
    </row>
    <row r="271" spans="1:37" hidden="1">
      <c r="A271" s="77">
        <v>269</v>
      </c>
      <c r="B271" s="78"/>
      <c r="C271" s="79"/>
      <c r="D271" s="79"/>
      <c r="E271" s="79"/>
      <c r="F271" s="79"/>
      <c r="G271" s="79"/>
      <c r="H271" s="80"/>
      <c r="I271" s="45" t="s">
        <v>1417</v>
      </c>
      <c r="J271" s="45" t="s">
        <v>1389</v>
      </c>
      <c r="K271" s="46" t="s">
        <v>668</v>
      </c>
      <c r="L271" s="47" t="s">
        <v>1132</v>
      </c>
      <c r="M271" s="81">
        <f>IFERROR(VLOOKUP($L271,[3]Consolidated!$C$9:$AC$452,27,0),0)</f>
        <v>1843000</v>
      </c>
      <c r="N271" s="81">
        <f>IFERROR(VLOOKUP($L271,[3]Consolidated!$C$9:$AC$452,5,0),0)</f>
        <v>10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4">
        <f>(VLOOKUP($O$2,[4]Prices!$E$3:$K$17,2,FALSE)*O271)+(VLOOKUP($P$2,[4]Prices!$J$3:$K$17,2,FALSE)*P271)+(VLOOKUP($Q$2,[4]Prices!$J$3:$K$17,2,FALSE)*Q271)+(VLOOKUP($R$2,[4]Prices!$J$3:$K$17,2,FALSE)*R271)+(VLOOKUP($S$2,[4]Prices!$J$3:$K$17,2,FALSE)*S271)+(VLOOKUP($T$2,[4]Prices!$J$3:$K$17,2,FALSE)*T271)+(VLOOKUP($U$2,[4]Prices!$J$3:$K$17,2,FALSE)*U271)+(VLOOKUP($V$2,[4]Prices!$J$3:$K$17,2,FALSE)*V271)+(VLOOKUP($W$2,[4]Prices!$J$3:$K$17,2,FALSE)*W271)+(VLOOKUP($X$2,[4]Prices!$J$3:$K$17,2,FALSE)*X271)+(VLOOKUP($Y$2,[4]Prices!$J$3:$K$17,2,FALSE)*Y271)+(VLOOKUP($Z$2,[4]Prices!$J$3:$K$17,2,FALSE)*Z271)+(VLOOKUP($AA$2,[4]Prices!$J$3:$K$17,2,FALSE)*AA271)+(VLOOKUP($AB$2,[4]Prices!$J$3:$K$17,2,FALSE)*AB271)+M271</f>
        <v>1843000</v>
      </c>
      <c r="AD271" s="18"/>
      <c r="AE271" s="18"/>
      <c r="AF271" s="4">
        <f t="shared" si="16"/>
        <v>0</v>
      </c>
      <c r="AG271" s="4"/>
      <c r="AH271" s="16">
        <f t="shared" si="17"/>
        <v>0</v>
      </c>
      <c r="AI271" s="21">
        <f t="shared" si="18"/>
        <v>0</v>
      </c>
      <c r="AJ271" s="20">
        <f t="shared" si="19"/>
        <v>0</v>
      </c>
      <c r="AK271" s="9"/>
    </row>
    <row r="272" spans="1:37" hidden="1">
      <c r="A272" s="77">
        <v>270</v>
      </c>
      <c r="B272" s="78"/>
      <c r="C272" s="79"/>
      <c r="D272" s="79"/>
      <c r="E272" s="79"/>
      <c r="F272" s="79"/>
      <c r="G272" s="79"/>
      <c r="H272" s="80"/>
      <c r="I272" s="45" t="s">
        <v>1418</v>
      </c>
      <c r="J272" s="45" t="s">
        <v>1389</v>
      </c>
      <c r="K272" s="46" t="s">
        <v>668</v>
      </c>
      <c r="L272" s="47" t="s">
        <v>1134</v>
      </c>
      <c r="M272" s="81">
        <f>IFERROR(VLOOKUP($L272,[3]Consolidated!$C$9:$AC$452,27,0),0)</f>
        <v>1843000</v>
      </c>
      <c r="N272" s="81">
        <f>IFERROR(VLOOKUP($L272,[3]Consolidated!$C$9:$AC$452,5,0),0)</f>
        <v>10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4">
        <f>(VLOOKUP($O$2,[4]Prices!$E$3:$K$17,2,FALSE)*O272)+(VLOOKUP($P$2,[4]Prices!$J$3:$K$17,2,FALSE)*P272)+(VLOOKUP($Q$2,[4]Prices!$J$3:$K$17,2,FALSE)*Q272)+(VLOOKUP($R$2,[4]Prices!$J$3:$K$17,2,FALSE)*R272)+(VLOOKUP($S$2,[4]Prices!$J$3:$K$17,2,FALSE)*S272)+(VLOOKUP($T$2,[4]Prices!$J$3:$K$17,2,FALSE)*T272)+(VLOOKUP($U$2,[4]Prices!$J$3:$K$17,2,FALSE)*U272)+(VLOOKUP($V$2,[4]Prices!$J$3:$K$17,2,FALSE)*V272)+(VLOOKUP($W$2,[4]Prices!$J$3:$K$17,2,FALSE)*W272)+(VLOOKUP($X$2,[4]Prices!$J$3:$K$17,2,FALSE)*X272)+(VLOOKUP($Y$2,[4]Prices!$J$3:$K$17,2,FALSE)*Y272)+(VLOOKUP($Z$2,[4]Prices!$J$3:$K$17,2,FALSE)*Z272)+(VLOOKUP($AA$2,[4]Prices!$J$3:$K$17,2,FALSE)*AA272)+(VLOOKUP($AB$2,[4]Prices!$J$3:$K$17,2,FALSE)*AB272)+M272</f>
        <v>1843000</v>
      </c>
      <c r="AD272" s="18"/>
      <c r="AE272" s="18"/>
      <c r="AF272" s="4">
        <f t="shared" si="16"/>
        <v>0</v>
      </c>
      <c r="AG272" s="4"/>
      <c r="AH272" s="16">
        <f t="shared" si="17"/>
        <v>0</v>
      </c>
      <c r="AI272" s="21">
        <f t="shared" si="18"/>
        <v>0</v>
      </c>
      <c r="AJ272" s="20">
        <f t="shared" si="19"/>
        <v>0</v>
      </c>
      <c r="AK272" s="9"/>
    </row>
    <row r="273" spans="1:37" hidden="1">
      <c r="A273" s="77">
        <v>271</v>
      </c>
      <c r="B273" s="78"/>
      <c r="C273" s="79"/>
      <c r="D273" s="79"/>
      <c r="E273" s="79"/>
      <c r="F273" s="79"/>
      <c r="G273" s="79"/>
      <c r="H273" s="80"/>
      <c r="I273" s="45" t="s">
        <v>1419</v>
      </c>
      <c r="J273" s="45" t="s">
        <v>1389</v>
      </c>
      <c r="K273" s="46" t="s">
        <v>668</v>
      </c>
      <c r="L273" s="47" t="s">
        <v>1133</v>
      </c>
      <c r="M273" s="81">
        <f>IFERROR(VLOOKUP($L273,[3]Consolidated!$C$9:$AC$452,27,0),0)</f>
        <v>1843000</v>
      </c>
      <c r="N273" s="81">
        <f>IFERROR(VLOOKUP($L273,[3]Consolidated!$C$9:$AC$452,5,0),0)</f>
        <v>10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4">
        <f>(VLOOKUP($O$2,[4]Prices!$E$3:$K$17,2,FALSE)*O273)+(VLOOKUP($P$2,[4]Prices!$J$3:$K$17,2,FALSE)*P273)+(VLOOKUP($Q$2,[4]Prices!$J$3:$K$17,2,FALSE)*Q273)+(VLOOKUP($R$2,[4]Prices!$J$3:$K$17,2,FALSE)*R273)+(VLOOKUP($S$2,[4]Prices!$J$3:$K$17,2,FALSE)*S273)+(VLOOKUP($T$2,[4]Prices!$J$3:$K$17,2,FALSE)*T273)+(VLOOKUP($U$2,[4]Prices!$J$3:$K$17,2,FALSE)*U273)+(VLOOKUP($V$2,[4]Prices!$J$3:$K$17,2,FALSE)*V273)+(VLOOKUP($W$2,[4]Prices!$J$3:$K$17,2,FALSE)*W273)+(VLOOKUP($X$2,[4]Prices!$J$3:$K$17,2,FALSE)*X273)+(VLOOKUP($Y$2,[4]Prices!$J$3:$K$17,2,FALSE)*Y273)+(VLOOKUP($Z$2,[4]Prices!$J$3:$K$17,2,FALSE)*Z273)+(VLOOKUP($AA$2,[4]Prices!$J$3:$K$17,2,FALSE)*AA273)+(VLOOKUP($AB$2,[4]Prices!$J$3:$K$17,2,FALSE)*AB273)+M273</f>
        <v>1843000</v>
      </c>
      <c r="AD273" s="18"/>
      <c r="AE273" s="18"/>
      <c r="AF273" s="4">
        <f t="shared" si="16"/>
        <v>0</v>
      </c>
      <c r="AG273" s="4"/>
      <c r="AH273" s="16">
        <f t="shared" si="17"/>
        <v>0</v>
      </c>
      <c r="AI273" s="21">
        <f t="shared" si="18"/>
        <v>0</v>
      </c>
      <c r="AJ273" s="20">
        <f t="shared" si="19"/>
        <v>0</v>
      </c>
      <c r="AK273" s="9"/>
    </row>
    <row r="274" spans="1:37" hidden="1">
      <c r="A274" s="77">
        <v>272</v>
      </c>
      <c r="B274" s="78"/>
      <c r="C274" s="79"/>
      <c r="D274" s="79"/>
      <c r="E274" s="79"/>
      <c r="F274" s="79"/>
      <c r="G274" s="79"/>
      <c r="H274" s="80"/>
      <c r="I274" s="45" t="s">
        <v>1420</v>
      </c>
      <c r="J274" s="45" t="s">
        <v>1389</v>
      </c>
      <c r="K274" s="46" t="s">
        <v>1402</v>
      </c>
      <c r="L274" s="47" t="s">
        <v>1084</v>
      </c>
      <c r="M274" s="81">
        <f>IFERROR(VLOOKUP($L274,[3]Consolidated!$C$9:$AC$452,27,0),0)</f>
        <v>6054000</v>
      </c>
      <c r="N274" s="81">
        <f>IFERROR(VLOOKUP($L274,[3]Consolidated!$C$9:$AC$452,5,0),0)</f>
        <v>40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4">
        <f>(VLOOKUP($O$2,[4]Prices!$E$3:$K$17,2,FALSE)*O274)+(VLOOKUP($P$2,[4]Prices!$J$3:$K$17,2,FALSE)*P274)+(VLOOKUP($Q$2,[4]Prices!$J$3:$K$17,2,FALSE)*Q274)+(VLOOKUP($R$2,[4]Prices!$J$3:$K$17,2,FALSE)*R274)+(VLOOKUP($S$2,[4]Prices!$J$3:$K$17,2,FALSE)*S274)+(VLOOKUP($T$2,[4]Prices!$J$3:$K$17,2,FALSE)*T274)+(VLOOKUP($U$2,[4]Prices!$J$3:$K$17,2,FALSE)*U274)+(VLOOKUP($V$2,[4]Prices!$J$3:$K$17,2,FALSE)*V274)+(VLOOKUP($W$2,[4]Prices!$J$3:$K$17,2,FALSE)*W274)+(VLOOKUP($X$2,[4]Prices!$J$3:$K$17,2,FALSE)*X274)+(VLOOKUP($Y$2,[4]Prices!$J$3:$K$17,2,FALSE)*Y274)+(VLOOKUP($Z$2,[4]Prices!$J$3:$K$17,2,FALSE)*Z274)+(VLOOKUP($AA$2,[4]Prices!$J$3:$K$17,2,FALSE)*AA274)+(VLOOKUP($AB$2,[4]Prices!$J$3:$K$17,2,FALSE)*AB274)+M274</f>
        <v>6054000</v>
      </c>
      <c r="AD274" s="18"/>
      <c r="AE274" s="18"/>
      <c r="AF274" s="4">
        <f t="shared" si="16"/>
        <v>0</v>
      </c>
      <c r="AG274" s="4"/>
      <c r="AH274" s="16">
        <f t="shared" si="17"/>
        <v>0</v>
      </c>
      <c r="AI274" s="21">
        <f t="shared" si="18"/>
        <v>0</v>
      </c>
      <c r="AJ274" s="20">
        <f t="shared" si="19"/>
        <v>0</v>
      </c>
      <c r="AK274" s="9"/>
    </row>
    <row r="275" spans="1:37" hidden="1">
      <c r="A275" s="77">
        <v>273</v>
      </c>
      <c r="B275" s="78"/>
      <c r="C275" s="79"/>
      <c r="D275" s="79"/>
      <c r="E275" s="79"/>
      <c r="F275" s="79"/>
      <c r="G275" s="79"/>
      <c r="H275" s="80"/>
      <c r="I275" s="45" t="s">
        <v>1421</v>
      </c>
      <c r="J275" s="45" t="s">
        <v>1389</v>
      </c>
      <c r="K275" s="46" t="s">
        <v>668</v>
      </c>
      <c r="L275" s="47" t="s">
        <v>1135</v>
      </c>
      <c r="M275" s="81">
        <f>IFERROR(VLOOKUP($L275,[3]Consolidated!$C$9:$AC$452,27,0),0)</f>
        <v>1843000</v>
      </c>
      <c r="N275" s="81">
        <f>IFERROR(VLOOKUP($L275,[3]Consolidated!$C$9:$AC$452,5,0),0)</f>
        <v>10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4">
        <f>(VLOOKUP($O$2,[4]Prices!$E$3:$K$17,2,FALSE)*O275)+(VLOOKUP($P$2,[4]Prices!$J$3:$K$17,2,FALSE)*P275)+(VLOOKUP($Q$2,[4]Prices!$J$3:$K$17,2,FALSE)*Q275)+(VLOOKUP($R$2,[4]Prices!$J$3:$K$17,2,FALSE)*R275)+(VLOOKUP($S$2,[4]Prices!$J$3:$K$17,2,FALSE)*S275)+(VLOOKUP($T$2,[4]Prices!$J$3:$K$17,2,FALSE)*T275)+(VLOOKUP($U$2,[4]Prices!$J$3:$K$17,2,FALSE)*U275)+(VLOOKUP($V$2,[4]Prices!$J$3:$K$17,2,FALSE)*V275)+(VLOOKUP($W$2,[4]Prices!$J$3:$K$17,2,FALSE)*W275)+(VLOOKUP($X$2,[4]Prices!$J$3:$K$17,2,FALSE)*X275)+(VLOOKUP($Y$2,[4]Prices!$J$3:$K$17,2,FALSE)*Y275)+(VLOOKUP($Z$2,[4]Prices!$J$3:$K$17,2,FALSE)*Z275)+(VLOOKUP($AA$2,[4]Prices!$J$3:$K$17,2,FALSE)*AA275)+(VLOOKUP($AB$2,[4]Prices!$J$3:$K$17,2,FALSE)*AB275)+M275</f>
        <v>1843000</v>
      </c>
      <c r="AD275" s="18"/>
      <c r="AE275" s="18"/>
      <c r="AF275" s="4">
        <f t="shared" si="16"/>
        <v>0</v>
      </c>
      <c r="AG275" s="4"/>
      <c r="AH275" s="16">
        <f t="shared" si="17"/>
        <v>0</v>
      </c>
      <c r="AI275" s="21">
        <f t="shared" si="18"/>
        <v>0</v>
      </c>
      <c r="AJ275" s="20">
        <f t="shared" si="19"/>
        <v>0</v>
      </c>
      <c r="AK275" s="9"/>
    </row>
    <row r="276" spans="1:37" hidden="1">
      <c r="A276" s="77">
        <v>274</v>
      </c>
      <c r="B276" s="78"/>
      <c r="C276" s="79"/>
      <c r="D276" s="79"/>
      <c r="E276" s="79"/>
      <c r="F276" s="79"/>
      <c r="G276" s="79"/>
      <c r="H276" s="80"/>
      <c r="I276" s="45" t="s">
        <v>1422</v>
      </c>
      <c r="J276" s="45" t="s">
        <v>1389</v>
      </c>
      <c r="K276" s="46" t="s">
        <v>1402</v>
      </c>
      <c r="L276" s="47" t="s">
        <v>1083</v>
      </c>
      <c r="M276" s="81">
        <f>IFERROR(VLOOKUP($L276,[3]Consolidated!$C$9:$AC$452,27,0),0)</f>
        <v>5175500</v>
      </c>
      <c r="N276" s="81">
        <f>IFERROR(VLOOKUP($L276,[3]Consolidated!$C$9:$AC$452,5,0),0)</f>
        <v>35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4">
        <f>(VLOOKUP($O$2,[4]Prices!$E$3:$K$17,2,FALSE)*O276)+(VLOOKUP($P$2,[4]Prices!$J$3:$K$17,2,FALSE)*P276)+(VLOOKUP($Q$2,[4]Prices!$J$3:$K$17,2,FALSE)*Q276)+(VLOOKUP($R$2,[4]Prices!$J$3:$K$17,2,FALSE)*R276)+(VLOOKUP($S$2,[4]Prices!$J$3:$K$17,2,FALSE)*S276)+(VLOOKUP($T$2,[4]Prices!$J$3:$K$17,2,FALSE)*T276)+(VLOOKUP($U$2,[4]Prices!$J$3:$K$17,2,FALSE)*U276)+(VLOOKUP($V$2,[4]Prices!$J$3:$K$17,2,FALSE)*V276)+(VLOOKUP($W$2,[4]Prices!$J$3:$K$17,2,FALSE)*W276)+(VLOOKUP($X$2,[4]Prices!$J$3:$K$17,2,FALSE)*X276)+(VLOOKUP($Y$2,[4]Prices!$J$3:$K$17,2,FALSE)*Y276)+(VLOOKUP($Z$2,[4]Prices!$J$3:$K$17,2,FALSE)*Z276)+(VLOOKUP($AA$2,[4]Prices!$J$3:$K$17,2,FALSE)*AA276)+(VLOOKUP($AB$2,[4]Prices!$J$3:$K$17,2,FALSE)*AB276)+M276</f>
        <v>5175500</v>
      </c>
      <c r="AD276" s="18"/>
      <c r="AE276" s="18"/>
      <c r="AF276" s="4">
        <f t="shared" si="16"/>
        <v>0</v>
      </c>
      <c r="AG276" s="4"/>
      <c r="AH276" s="16">
        <f t="shared" si="17"/>
        <v>0</v>
      </c>
      <c r="AI276" s="21">
        <f t="shared" si="18"/>
        <v>0</v>
      </c>
      <c r="AJ276" s="20">
        <f t="shared" si="19"/>
        <v>0</v>
      </c>
      <c r="AK276" s="9"/>
    </row>
    <row r="277" spans="1:37" hidden="1">
      <c r="A277" s="77">
        <v>275</v>
      </c>
      <c r="B277" s="78"/>
      <c r="C277" s="79"/>
      <c r="D277" s="79"/>
      <c r="E277" s="79"/>
      <c r="F277" s="79"/>
      <c r="G277" s="79"/>
      <c r="H277" s="80"/>
      <c r="I277" s="45" t="s">
        <v>1423</v>
      </c>
      <c r="J277" s="45" t="s">
        <v>1389</v>
      </c>
      <c r="K277" s="46" t="s">
        <v>1402</v>
      </c>
      <c r="L277" s="47" t="s">
        <v>1086</v>
      </c>
      <c r="M277" s="81">
        <f>IFERROR(VLOOKUP($L277,[3]Consolidated!$C$9:$AC$452,27,0),0)</f>
        <v>5888000</v>
      </c>
      <c r="N277" s="81">
        <f>IFERROR(VLOOKUP($L277,[3]Consolidated!$C$9:$AC$452,5,0),0)</f>
        <v>40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4">
        <f>(VLOOKUP($O$2,[4]Prices!$E$3:$K$17,2,FALSE)*O277)+(VLOOKUP($P$2,[4]Prices!$J$3:$K$17,2,FALSE)*P277)+(VLOOKUP($Q$2,[4]Prices!$J$3:$K$17,2,FALSE)*Q277)+(VLOOKUP($R$2,[4]Prices!$J$3:$K$17,2,FALSE)*R277)+(VLOOKUP($S$2,[4]Prices!$J$3:$K$17,2,FALSE)*S277)+(VLOOKUP($T$2,[4]Prices!$J$3:$K$17,2,FALSE)*T277)+(VLOOKUP($U$2,[4]Prices!$J$3:$K$17,2,FALSE)*U277)+(VLOOKUP($V$2,[4]Prices!$J$3:$K$17,2,FALSE)*V277)+(VLOOKUP($W$2,[4]Prices!$J$3:$K$17,2,FALSE)*W277)+(VLOOKUP($X$2,[4]Prices!$J$3:$K$17,2,FALSE)*X277)+(VLOOKUP($Y$2,[4]Prices!$J$3:$K$17,2,FALSE)*Y277)+(VLOOKUP($Z$2,[4]Prices!$J$3:$K$17,2,FALSE)*Z277)+(VLOOKUP($AA$2,[4]Prices!$J$3:$K$17,2,FALSE)*AA277)+(VLOOKUP($AB$2,[4]Prices!$J$3:$K$17,2,FALSE)*AB277)+M277</f>
        <v>5888000</v>
      </c>
      <c r="AD277" s="18"/>
      <c r="AE277" s="18"/>
      <c r="AF277" s="4">
        <f t="shared" si="16"/>
        <v>0</v>
      </c>
      <c r="AG277" s="4"/>
      <c r="AH277" s="16">
        <f t="shared" si="17"/>
        <v>0</v>
      </c>
      <c r="AI277" s="21">
        <f t="shared" si="18"/>
        <v>0</v>
      </c>
      <c r="AJ277" s="20">
        <f t="shared" si="19"/>
        <v>0</v>
      </c>
      <c r="AK277" s="9"/>
    </row>
    <row r="278" spans="1:37" hidden="1">
      <c r="A278" s="77">
        <v>276</v>
      </c>
      <c r="B278" s="78"/>
      <c r="C278" s="79"/>
      <c r="D278" s="79"/>
      <c r="E278" s="79"/>
      <c r="F278" s="79"/>
      <c r="G278" s="79"/>
      <c r="H278" s="80"/>
      <c r="I278" s="45" t="s">
        <v>1424</v>
      </c>
      <c r="J278" s="45" t="s">
        <v>1389</v>
      </c>
      <c r="K278" s="46" t="s">
        <v>1402</v>
      </c>
      <c r="L278" s="47" t="s">
        <v>1136</v>
      </c>
      <c r="M278" s="81">
        <f>IFERROR(VLOOKUP($L278,[3]Consolidated!$C$9:$AC$452,27,0),0)</f>
        <v>0</v>
      </c>
      <c r="N278" s="81">
        <f>IFERROR(VLOOKUP($L278,[3]Consolidated!$C$9:$AC$452,5,0),0)</f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4">
        <f>(VLOOKUP($O$2,[4]Prices!$E$3:$K$17,2,FALSE)*O278)+(VLOOKUP($P$2,[4]Prices!$J$3:$K$17,2,FALSE)*P278)+(VLOOKUP($Q$2,[4]Prices!$J$3:$K$17,2,FALSE)*Q278)+(VLOOKUP($R$2,[4]Prices!$J$3:$K$17,2,FALSE)*R278)+(VLOOKUP($S$2,[4]Prices!$J$3:$K$17,2,FALSE)*S278)+(VLOOKUP($T$2,[4]Prices!$J$3:$K$17,2,FALSE)*T278)+(VLOOKUP($U$2,[4]Prices!$J$3:$K$17,2,FALSE)*U278)+(VLOOKUP($V$2,[4]Prices!$J$3:$K$17,2,FALSE)*V278)+(VLOOKUP($W$2,[4]Prices!$J$3:$K$17,2,FALSE)*W278)+(VLOOKUP($X$2,[4]Prices!$J$3:$K$17,2,FALSE)*X278)+(VLOOKUP($Y$2,[4]Prices!$J$3:$K$17,2,FALSE)*Y278)+(VLOOKUP($Z$2,[4]Prices!$J$3:$K$17,2,FALSE)*Z278)+(VLOOKUP($AA$2,[4]Prices!$J$3:$K$17,2,FALSE)*AA278)+(VLOOKUP($AB$2,[4]Prices!$J$3:$K$17,2,FALSE)*AB278)+M278</f>
        <v>0</v>
      </c>
      <c r="AD278" s="18"/>
      <c r="AE278" s="18"/>
      <c r="AF278" s="4">
        <f t="shared" si="16"/>
        <v>0</v>
      </c>
      <c r="AG278" s="4"/>
      <c r="AH278" s="16">
        <f t="shared" si="17"/>
        <v>0</v>
      </c>
      <c r="AI278" s="21" t="e">
        <f t="shared" si="18"/>
        <v>#DIV/0!</v>
      </c>
      <c r="AJ278" s="20" t="e">
        <f t="shared" si="19"/>
        <v>#DIV/0!</v>
      </c>
      <c r="AK278" s="9"/>
    </row>
    <row r="279" spans="1:37" hidden="1">
      <c r="A279" s="77">
        <v>277</v>
      </c>
      <c r="B279" s="78"/>
      <c r="C279" s="79"/>
      <c r="D279" s="79"/>
      <c r="E279" s="79"/>
      <c r="F279" s="79"/>
      <c r="G279" s="79"/>
      <c r="H279" s="80"/>
      <c r="I279" s="45" t="s">
        <v>1425</v>
      </c>
      <c r="J279" s="45" t="s">
        <v>1389</v>
      </c>
      <c r="K279" s="46" t="s">
        <v>1402</v>
      </c>
      <c r="L279" s="46" t="s">
        <v>1137</v>
      </c>
      <c r="M279" s="81">
        <f>IFERROR(VLOOKUP($L279,[3]Consolidated!$C$9:$AC$452,27,0),0)</f>
        <v>5496500</v>
      </c>
      <c r="N279" s="81">
        <f>IFERROR(VLOOKUP($L279,[3]Consolidated!$C$9:$AC$452,5,0),0)</f>
        <v>35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4">
        <f>(VLOOKUP($O$2,[4]Prices!$E$3:$K$17,2,FALSE)*O279)+(VLOOKUP($P$2,[4]Prices!$J$3:$K$17,2,FALSE)*P279)+(VLOOKUP($Q$2,[4]Prices!$J$3:$K$17,2,FALSE)*Q279)+(VLOOKUP($R$2,[4]Prices!$J$3:$K$17,2,FALSE)*R279)+(VLOOKUP($S$2,[4]Prices!$J$3:$K$17,2,FALSE)*S279)+(VLOOKUP($T$2,[4]Prices!$J$3:$K$17,2,FALSE)*T279)+(VLOOKUP($U$2,[4]Prices!$J$3:$K$17,2,FALSE)*U279)+(VLOOKUP($V$2,[4]Prices!$J$3:$K$17,2,FALSE)*V279)+(VLOOKUP($W$2,[4]Prices!$J$3:$K$17,2,FALSE)*W279)+(VLOOKUP($X$2,[4]Prices!$J$3:$K$17,2,FALSE)*X279)+(VLOOKUP($Y$2,[4]Prices!$J$3:$K$17,2,FALSE)*Y279)+(VLOOKUP($Z$2,[4]Prices!$J$3:$K$17,2,FALSE)*Z279)+(VLOOKUP($AA$2,[4]Prices!$J$3:$K$17,2,FALSE)*AA279)+(VLOOKUP($AB$2,[4]Prices!$J$3:$K$17,2,FALSE)*AB279)+M279</f>
        <v>5496500</v>
      </c>
      <c r="AD279" s="18"/>
      <c r="AE279" s="18"/>
      <c r="AF279" s="4">
        <f t="shared" si="16"/>
        <v>0</v>
      </c>
      <c r="AG279" s="4"/>
      <c r="AH279" s="16">
        <f t="shared" si="17"/>
        <v>0</v>
      </c>
      <c r="AI279" s="21">
        <f t="shared" si="18"/>
        <v>0</v>
      </c>
      <c r="AJ279" s="20">
        <f t="shared" si="19"/>
        <v>0</v>
      </c>
      <c r="AK279" s="9"/>
    </row>
    <row r="280" spans="1:37" hidden="1">
      <c r="A280" s="77">
        <v>278</v>
      </c>
      <c r="B280" s="78"/>
      <c r="C280" s="79"/>
      <c r="D280" s="79"/>
      <c r="E280" s="79"/>
      <c r="F280" s="79"/>
      <c r="G280" s="79"/>
      <c r="H280" s="80"/>
      <c r="I280" s="45" t="s">
        <v>1426</v>
      </c>
      <c r="J280" s="45" t="s">
        <v>1389</v>
      </c>
      <c r="K280" s="46" t="s">
        <v>668</v>
      </c>
      <c r="L280" s="46" t="s">
        <v>1140</v>
      </c>
      <c r="M280" s="81">
        <f>IFERROR(VLOOKUP($L280,[3]Consolidated!$C$9:$AC$452,27,0),0)</f>
        <v>1843000</v>
      </c>
      <c r="N280" s="81">
        <f>IFERROR(VLOOKUP($L280,[3]Consolidated!$C$9:$AC$452,5,0),0)</f>
        <v>10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4">
        <f>(VLOOKUP($O$2,[4]Prices!$E$3:$K$17,2,FALSE)*O280)+(VLOOKUP($P$2,[4]Prices!$J$3:$K$17,2,FALSE)*P280)+(VLOOKUP($Q$2,[4]Prices!$J$3:$K$17,2,FALSE)*Q280)+(VLOOKUP($R$2,[4]Prices!$J$3:$K$17,2,FALSE)*R280)+(VLOOKUP($S$2,[4]Prices!$J$3:$K$17,2,FALSE)*S280)+(VLOOKUP($T$2,[4]Prices!$J$3:$K$17,2,FALSE)*T280)+(VLOOKUP($U$2,[4]Prices!$J$3:$K$17,2,FALSE)*U280)+(VLOOKUP($V$2,[4]Prices!$J$3:$K$17,2,FALSE)*V280)+(VLOOKUP($W$2,[4]Prices!$J$3:$K$17,2,FALSE)*W280)+(VLOOKUP($X$2,[4]Prices!$J$3:$K$17,2,FALSE)*X280)+(VLOOKUP($Y$2,[4]Prices!$J$3:$K$17,2,FALSE)*Y280)+(VLOOKUP($Z$2,[4]Prices!$J$3:$K$17,2,FALSE)*Z280)+(VLOOKUP($AA$2,[4]Prices!$J$3:$K$17,2,FALSE)*AA280)+(VLOOKUP($AB$2,[4]Prices!$J$3:$K$17,2,FALSE)*AB280)+M280</f>
        <v>1843000</v>
      </c>
      <c r="AD280" s="18"/>
      <c r="AE280" s="18"/>
      <c r="AF280" s="4">
        <f t="shared" si="16"/>
        <v>0</v>
      </c>
      <c r="AG280" s="4"/>
      <c r="AH280" s="16">
        <f t="shared" si="17"/>
        <v>0</v>
      </c>
      <c r="AI280" s="21">
        <f t="shared" si="18"/>
        <v>0</v>
      </c>
      <c r="AJ280" s="20">
        <f t="shared" si="19"/>
        <v>0</v>
      </c>
      <c r="AK280" s="9"/>
    </row>
    <row r="281" spans="1:37" hidden="1">
      <c r="A281" s="77">
        <v>279</v>
      </c>
      <c r="B281" s="78"/>
      <c r="C281" s="79"/>
      <c r="D281" s="79"/>
      <c r="E281" s="79"/>
      <c r="F281" s="79"/>
      <c r="G281" s="79"/>
      <c r="H281" s="80"/>
      <c r="I281" s="45" t="s">
        <v>1427</v>
      </c>
      <c r="J281" s="45" t="s">
        <v>1389</v>
      </c>
      <c r="K281" s="46" t="s">
        <v>668</v>
      </c>
      <c r="L281" s="46" t="s">
        <v>1141</v>
      </c>
      <c r="M281" s="81">
        <f>IFERROR(VLOOKUP($L281,[3]Consolidated!$C$9:$AC$452,27,0),0)</f>
        <v>1843000</v>
      </c>
      <c r="N281" s="81">
        <f>IFERROR(VLOOKUP($L281,[3]Consolidated!$C$9:$AC$452,5,0),0)</f>
        <v>10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4">
        <f>(VLOOKUP($O$2,[4]Prices!$E$3:$K$17,2,FALSE)*O281)+(VLOOKUP($P$2,[4]Prices!$J$3:$K$17,2,FALSE)*P281)+(VLOOKUP($Q$2,[4]Prices!$J$3:$K$17,2,FALSE)*Q281)+(VLOOKUP($R$2,[4]Prices!$J$3:$K$17,2,FALSE)*R281)+(VLOOKUP($S$2,[4]Prices!$J$3:$K$17,2,FALSE)*S281)+(VLOOKUP($T$2,[4]Prices!$J$3:$K$17,2,FALSE)*T281)+(VLOOKUP($U$2,[4]Prices!$J$3:$K$17,2,FALSE)*U281)+(VLOOKUP($V$2,[4]Prices!$J$3:$K$17,2,FALSE)*V281)+(VLOOKUP($W$2,[4]Prices!$J$3:$K$17,2,FALSE)*W281)+(VLOOKUP($X$2,[4]Prices!$J$3:$K$17,2,FALSE)*X281)+(VLOOKUP($Y$2,[4]Prices!$J$3:$K$17,2,FALSE)*Y281)+(VLOOKUP($Z$2,[4]Prices!$J$3:$K$17,2,FALSE)*Z281)+(VLOOKUP($AA$2,[4]Prices!$J$3:$K$17,2,FALSE)*AA281)+(VLOOKUP($AB$2,[4]Prices!$J$3:$K$17,2,FALSE)*AB281)+M281</f>
        <v>1843000</v>
      </c>
      <c r="AD281" s="18"/>
      <c r="AE281" s="18"/>
      <c r="AF281" s="4">
        <f t="shared" si="16"/>
        <v>0</v>
      </c>
      <c r="AG281" s="4"/>
      <c r="AH281" s="16">
        <f t="shared" si="17"/>
        <v>0</v>
      </c>
      <c r="AI281" s="21">
        <f t="shared" si="18"/>
        <v>0</v>
      </c>
      <c r="AJ281" s="20">
        <f t="shared" si="19"/>
        <v>0</v>
      </c>
      <c r="AK281" s="9"/>
    </row>
    <row r="282" spans="1:37" hidden="1">
      <c r="A282" s="77">
        <v>280</v>
      </c>
      <c r="B282" s="78"/>
      <c r="C282" s="79"/>
      <c r="D282" s="79"/>
      <c r="E282" s="79"/>
      <c r="F282" s="79"/>
      <c r="G282" s="79"/>
      <c r="H282" s="80"/>
      <c r="I282" s="45" t="s">
        <v>1428</v>
      </c>
      <c r="J282" s="45" t="s">
        <v>1389</v>
      </c>
      <c r="K282" s="46" t="s">
        <v>1402</v>
      </c>
      <c r="L282" s="46" t="s">
        <v>1138</v>
      </c>
      <c r="M282" s="81">
        <f>IFERROR(VLOOKUP($L282,[3]Consolidated!$C$9:$AC$452,27,0),0)</f>
        <v>3633000</v>
      </c>
      <c r="N282" s="81">
        <f>IFERROR(VLOOKUP($L282,[3]Consolidated!$C$9:$AC$452,5,0),0)</f>
        <v>20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4">
        <f>(VLOOKUP($O$2,[4]Prices!$E$3:$K$17,2,FALSE)*O282)+(VLOOKUP($P$2,[4]Prices!$J$3:$K$17,2,FALSE)*P282)+(VLOOKUP($Q$2,[4]Prices!$J$3:$K$17,2,FALSE)*Q282)+(VLOOKUP($R$2,[4]Prices!$J$3:$K$17,2,FALSE)*R282)+(VLOOKUP($S$2,[4]Prices!$J$3:$K$17,2,FALSE)*S282)+(VLOOKUP($T$2,[4]Prices!$J$3:$K$17,2,FALSE)*T282)+(VLOOKUP($U$2,[4]Prices!$J$3:$K$17,2,FALSE)*U282)+(VLOOKUP($V$2,[4]Prices!$J$3:$K$17,2,FALSE)*V282)+(VLOOKUP($W$2,[4]Prices!$J$3:$K$17,2,FALSE)*W282)+(VLOOKUP($X$2,[4]Prices!$J$3:$K$17,2,FALSE)*X282)+(VLOOKUP($Y$2,[4]Prices!$J$3:$K$17,2,FALSE)*Y282)+(VLOOKUP($Z$2,[4]Prices!$J$3:$K$17,2,FALSE)*Z282)+(VLOOKUP($AA$2,[4]Prices!$J$3:$K$17,2,FALSE)*AA282)+(VLOOKUP($AB$2,[4]Prices!$J$3:$K$17,2,FALSE)*AB282)+M282</f>
        <v>3633000</v>
      </c>
      <c r="AD282" s="18"/>
      <c r="AE282" s="18"/>
      <c r="AF282" s="4">
        <f t="shared" si="16"/>
        <v>0</v>
      </c>
      <c r="AG282" s="4"/>
      <c r="AH282" s="16">
        <f t="shared" si="17"/>
        <v>0</v>
      </c>
      <c r="AI282" s="21">
        <f t="shared" si="18"/>
        <v>0</v>
      </c>
      <c r="AJ282" s="20">
        <f t="shared" si="19"/>
        <v>0</v>
      </c>
      <c r="AK282" s="19"/>
    </row>
    <row r="283" spans="1:37" hidden="1">
      <c r="A283" s="77">
        <v>281</v>
      </c>
      <c r="B283" s="78"/>
      <c r="C283" s="79"/>
      <c r="D283" s="79"/>
      <c r="E283" s="79"/>
      <c r="F283" s="79"/>
      <c r="G283" s="79"/>
      <c r="H283" s="80"/>
      <c r="I283" s="45" t="s">
        <v>1429</v>
      </c>
      <c r="J283" s="45" t="s">
        <v>1389</v>
      </c>
      <c r="K283" s="46" t="s">
        <v>1402</v>
      </c>
      <c r="L283" s="47" t="s">
        <v>1139</v>
      </c>
      <c r="M283" s="81">
        <f>IFERROR(VLOOKUP($L283,[3]Consolidated!$C$9:$AC$452,27,0),0)</f>
        <v>1766600</v>
      </c>
      <c r="N283" s="81">
        <f>IFERROR(VLOOKUP($L283,[3]Consolidated!$C$9:$AC$452,5,0),0)</f>
        <v>9.9999999999999982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4">
        <f>(VLOOKUP($O$2,[4]Prices!$E$3:$K$17,2,FALSE)*O283)+(VLOOKUP($P$2,[4]Prices!$J$3:$K$17,2,FALSE)*P283)+(VLOOKUP($Q$2,[4]Prices!$J$3:$K$17,2,FALSE)*Q283)+(VLOOKUP($R$2,[4]Prices!$J$3:$K$17,2,FALSE)*R283)+(VLOOKUP($S$2,[4]Prices!$J$3:$K$17,2,FALSE)*S283)+(VLOOKUP($T$2,[4]Prices!$J$3:$K$17,2,FALSE)*T283)+(VLOOKUP($U$2,[4]Prices!$J$3:$K$17,2,FALSE)*U283)+(VLOOKUP($V$2,[4]Prices!$J$3:$K$17,2,FALSE)*V283)+(VLOOKUP($W$2,[4]Prices!$J$3:$K$17,2,FALSE)*W283)+(VLOOKUP($X$2,[4]Prices!$J$3:$K$17,2,FALSE)*X283)+(VLOOKUP($Y$2,[4]Prices!$J$3:$K$17,2,FALSE)*Y283)+(VLOOKUP($Z$2,[4]Prices!$J$3:$K$17,2,FALSE)*Z283)+(VLOOKUP($AA$2,[4]Prices!$J$3:$K$17,2,FALSE)*AA283)+(VLOOKUP($AB$2,[4]Prices!$J$3:$K$17,2,FALSE)*AB283)+M283</f>
        <v>1766600</v>
      </c>
      <c r="AD283" s="18"/>
      <c r="AE283" s="18"/>
      <c r="AF283" s="4">
        <f t="shared" si="16"/>
        <v>0</v>
      </c>
      <c r="AG283" s="4"/>
      <c r="AH283" s="16">
        <f t="shared" si="17"/>
        <v>0</v>
      </c>
      <c r="AI283" s="21">
        <f t="shared" si="18"/>
        <v>0</v>
      </c>
      <c r="AJ283" s="20">
        <f t="shared" si="19"/>
        <v>0</v>
      </c>
      <c r="AK283" s="9"/>
    </row>
    <row r="284" spans="1:37" hidden="1">
      <c r="A284" s="77">
        <v>282</v>
      </c>
      <c r="B284" s="78"/>
      <c r="C284" s="79"/>
      <c r="D284" s="79"/>
      <c r="E284" s="79"/>
      <c r="F284" s="79"/>
      <c r="G284" s="79"/>
      <c r="H284" s="80"/>
      <c r="I284" s="45" t="s">
        <v>1430</v>
      </c>
      <c r="J284" s="45" t="s">
        <v>1389</v>
      </c>
      <c r="K284" s="46" t="s">
        <v>667</v>
      </c>
      <c r="L284" s="47" t="s">
        <v>1143</v>
      </c>
      <c r="M284" s="81">
        <f>IFERROR(VLOOKUP($L284,[3]Consolidated!$C$9:$AC$452,27,0),0)</f>
        <v>0</v>
      </c>
      <c r="N284" s="81">
        <f>IFERROR(VLOOKUP($L284,[3]Consolidated!$C$9:$AC$452,5,0),0)</f>
        <v>0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4">
        <f>(VLOOKUP($O$2,[4]Prices!$E$3:$K$17,2,FALSE)*O284)+(VLOOKUP($P$2,[4]Prices!$J$3:$K$17,2,FALSE)*P284)+(VLOOKUP($Q$2,[4]Prices!$J$3:$K$17,2,FALSE)*Q284)+(VLOOKUP($R$2,[4]Prices!$J$3:$K$17,2,FALSE)*R284)+(VLOOKUP($S$2,[4]Prices!$J$3:$K$17,2,FALSE)*S284)+(VLOOKUP($T$2,[4]Prices!$J$3:$K$17,2,FALSE)*T284)+(VLOOKUP($U$2,[4]Prices!$J$3:$K$17,2,FALSE)*U284)+(VLOOKUP($V$2,[4]Prices!$J$3:$K$17,2,FALSE)*V284)+(VLOOKUP($W$2,[4]Prices!$J$3:$K$17,2,FALSE)*W284)+(VLOOKUP($X$2,[4]Prices!$J$3:$K$17,2,FALSE)*X284)+(VLOOKUP($Y$2,[4]Prices!$J$3:$K$17,2,FALSE)*Y284)+(VLOOKUP($Z$2,[4]Prices!$J$3:$K$17,2,FALSE)*Z284)+(VLOOKUP($AA$2,[4]Prices!$J$3:$K$17,2,FALSE)*AA284)+(VLOOKUP($AB$2,[4]Prices!$J$3:$K$17,2,FALSE)*AB284)+M284</f>
        <v>0</v>
      </c>
      <c r="AD284" s="18"/>
      <c r="AE284" s="18"/>
      <c r="AF284" s="4">
        <f t="shared" si="16"/>
        <v>0</v>
      </c>
      <c r="AG284" s="4"/>
      <c r="AH284" s="16">
        <f t="shared" si="17"/>
        <v>0</v>
      </c>
      <c r="AI284" s="21" t="e">
        <f t="shared" si="18"/>
        <v>#DIV/0!</v>
      </c>
      <c r="AJ284" s="20" t="e">
        <f t="shared" si="19"/>
        <v>#DIV/0!</v>
      </c>
      <c r="AK284" s="9"/>
    </row>
    <row r="285" spans="1:37" hidden="1">
      <c r="A285" s="77">
        <v>283</v>
      </c>
      <c r="B285" s="78"/>
      <c r="C285" s="79"/>
      <c r="D285" s="79"/>
      <c r="E285" s="79"/>
      <c r="F285" s="79"/>
      <c r="G285" s="79"/>
      <c r="H285" s="80"/>
      <c r="I285" s="45" t="s">
        <v>1431</v>
      </c>
      <c r="J285" s="45" t="s">
        <v>1389</v>
      </c>
      <c r="K285" s="46" t="s">
        <v>667</v>
      </c>
      <c r="L285" s="47" t="s">
        <v>1144</v>
      </c>
      <c r="M285" s="81">
        <f>IFERROR(VLOOKUP($L285,[3]Consolidated!$C$9:$AC$452,27,0),0)</f>
        <v>1433000</v>
      </c>
      <c r="N285" s="81">
        <f>IFERROR(VLOOKUP($L285,[3]Consolidated!$C$9:$AC$452,5,0),0)</f>
        <v>10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4">
        <f>(VLOOKUP($O$2,[4]Prices!$E$3:$K$17,2,FALSE)*O285)+(VLOOKUP($P$2,[4]Prices!$J$3:$K$17,2,FALSE)*P285)+(VLOOKUP($Q$2,[4]Prices!$J$3:$K$17,2,FALSE)*Q285)+(VLOOKUP($R$2,[4]Prices!$J$3:$K$17,2,FALSE)*R285)+(VLOOKUP($S$2,[4]Prices!$J$3:$K$17,2,FALSE)*S285)+(VLOOKUP($T$2,[4]Prices!$J$3:$K$17,2,FALSE)*T285)+(VLOOKUP($U$2,[4]Prices!$J$3:$K$17,2,FALSE)*U285)+(VLOOKUP($V$2,[4]Prices!$J$3:$K$17,2,FALSE)*V285)+(VLOOKUP($W$2,[4]Prices!$J$3:$K$17,2,FALSE)*W285)+(VLOOKUP($X$2,[4]Prices!$J$3:$K$17,2,FALSE)*X285)+(VLOOKUP($Y$2,[4]Prices!$J$3:$K$17,2,FALSE)*Y285)+(VLOOKUP($Z$2,[4]Prices!$J$3:$K$17,2,FALSE)*Z285)+(VLOOKUP($AA$2,[4]Prices!$J$3:$K$17,2,FALSE)*AA285)+(VLOOKUP($AB$2,[4]Prices!$J$3:$K$17,2,FALSE)*AB285)+M285</f>
        <v>1433000</v>
      </c>
      <c r="AD285" s="18"/>
      <c r="AE285" s="18"/>
      <c r="AF285" s="4">
        <f t="shared" si="16"/>
        <v>0</v>
      </c>
      <c r="AG285" s="4"/>
      <c r="AH285" s="16">
        <f t="shared" si="17"/>
        <v>0</v>
      </c>
      <c r="AI285" s="21">
        <f t="shared" si="18"/>
        <v>0</v>
      </c>
      <c r="AJ285" s="20">
        <f t="shared" si="19"/>
        <v>0</v>
      </c>
      <c r="AK285" s="9"/>
    </row>
    <row r="286" spans="1:37" hidden="1">
      <c r="A286" s="77">
        <v>284</v>
      </c>
      <c r="B286" s="78"/>
      <c r="C286" s="79"/>
      <c r="D286" s="79"/>
      <c r="E286" s="79"/>
      <c r="F286" s="79"/>
      <c r="G286" s="79"/>
      <c r="H286" s="80"/>
      <c r="I286" s="45" t="s">
        <v>807</v>
      </c>
      <c r="J286" s="45" t="s">
        <v>1389</v>
      </c>
      <c r="K286" s="46" t="s">
        <v>668</v>
      </c>
      <c r="L286" s="47" t="s">
        <v>1122</v>
      </c>
      <c r="M286" s="81">
        <f>IFERROR(VLOOKUP($L286,[3]Consolidated!$C$9:$AC$452,27,0),0)</f>
        <v>6761500</v>
      </c>
      <c r="N286" s="81">
        <f>IFERROR(VLOOKUP($L286,[3]Consolidated!$C$9:$AC$452,5,0),0)</f>
        <v>35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4">
        <f>(VLOOKUP($O$2,[4]Prices!$E$3:$K$17,2,FALSE)*O286)+(VLOOKUP($P$2,[4]Prices!$J$3:$K$17,2,FALSE)*P286)+(VLOOKUP($Q$2,[4]Prices!$J$3:$K$17,2,FALSE)*Q286)+(VLOOKUP($R$2,[4]Prices!$J$3:$K$17,2,FALSE)*R286)+(VLOOKUP($S$2,[4]Prices!$J$3:$K$17,2,FALSE)*S286)+(VLOOKUP($T$2,[4]Prices!$J$3:$K$17,2,FALSE)*T286)+(VLOOKUP($U$2,[4]Prices!$J$3:$K$17,2,FALSE)*U286)+(VLOOKUP($V$2,[4]Prices!$J$3:$K$17,2,FALSE)*V286)+(VLOOKUP($W$2,[4]Prices!$J$3:$K$17,2,FALSE)*W286)+(VLOOKUP($X$2,[4]Prices!$J$3:$K$17,2,FALSE)*X286)+(VLOOKUP($Y$2,[4]Prices!$J$3:$K$17,2,FALSE)*Y286)+(VLOOKUP($Z$2,[4]Prices!$J$3:$K$17,2,FALSE)*Z286)+(VLOOKUP($AA$2,[4]Prices!$J$3:$K$17,2,FALSE)*AA286)+(VLOOKUP($AB$2,[4]Prices!$J$3:$K$17,2,FALSE)*AB286)+M286</f>
        <v>6761500</v>
      </c>
      <c r="AD286" s="18"/>
      <c r="AE286" s="18"/>
      <c r="AF286" s="4">
        <f t="shared" si="16"/>
        <v>0</v>
      </c>
      <c r="AG286" s="4"/>
      <c r="AH286" s="16">
        <f t="shared" si="17"/>
        <v>0</v>
      </c>
      <c r="AI286" s="21">
        <f t="shared" si="18"/>
        <v>0</v>
      </c>
      <c r="AJ286" s="20">
        <f t="shared" si="19"/>
        <v>0</v>
      </c>
      <c r="AK286" s="9"/>
    </row>
    <row r="287" spans="1:37" hidden="1">
      <c r="A287" s="77">
        <v>285</v>
      </c>
      <c r="B287" s="78"/>
      <c r="C287" s="79"/>
      <c r="D287" s="79"/>
      <c r="E287" s="79"/>
      <c r="F287" s="79"/>
      <c r="G287" s="79"/>
      <c r="H287" s="80"/>
      <c r="I287" s="45" t="s">
        <v>806</v>
      </c>
      <c r="J287" s="45" t="s">
        <v>1389</v>
      </c>
      <c r="K287" s="46" t="s">
        <v>668</v>
      </c>
      <c r="L287" s="47" t="s">
        <v>1121</v>
      </c>
      <c r="M287" s="81">
        <f>IFERROR(VLOOKUP($L287,[3]Consolidated!$C$9:$AC$452,27,0),0)</f>
        <v>3795000</v>
      </c>
      <c r="N287" s="81">
        <f>IFERROR(VLOOKUP($L287,[3]Consolidated!$C$9:$AC$452,5,0),0)</f>
        <v>20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4">
        <f>(VLOOKUP($O$2,[4]Prices!$E$3:$K$17,2,FALSE)*O287)+(VLOOKUP($P$2,[4]Prices!$J$3:$K$17,2,FALSE)*P287)+(VLOOKUP($Q$2,[4]Prices!$J$3:$K$17,2,FALSE)*Q287)+(VLOOKUP($R$2,[4]Prices!$J$3:$K$17,2,FALSE)*R287)+(VLOOKUP($S$2,[4]Prices!$J$3:$K$17,2,FALSE)*S287)+(VLOOKUP($T$2,[4]Prices!$J$3:$K$17,2,FALSE)*T287)+(VLOOKUP($U$2,[4]Prices!$J$3:$K$17,2,FALSE)*U287)+(VLOOKUP($V$2,[4]Prices!$J$3:$K$17,2,FALSE)*V287)+(VLOOKUP($W$2,[4]Prices!$J$3:$K$17,2,FALSE)*W287)+(VLOOKUP($X$2,[4]Prices!$J$3:$K$17,2,FALSE)*X287)+(VLOOKUP($Y$2,[4]Prices!$J$3:$K$17,2,FALSE)*Y287)+(VLOOKUP($Z$2,[4]Prices!$J$3:$K$17,2,FALSE)*Z287)+(VLOOKUP($AA$2,[4]Prices!$J$3:$K$17,2,FALSE)*AA287)+(VLOOKUP($AB$2,[4]Prices!$J$3:$K$17,2,FALSE)*AB287)+M287</f>
        <v>3795000</v>
      </c>
      <c r="AD287" s="18"/>
      <c r="AE287" s="18"/>
      <c r="AF287" s="4">
        <f t="shared" si="16"/>
        <v>0</v>
      </c>
      <c r="AG287" s="4"/>
      <c r="AH287" s="16">
        <f t="shared" si="17"/>
        <v>0</v>
      </c>
      <c r="AI287" s="21">
        <f t="shared" si="18"/>
        <v>0</v>
      </c>
      <c r="AJ287" s="20">
        <f t="shared" si="19"/>
        <v>0</v>
      </c>
      <c r="AK287" s="9"/>
    </row>
    <row r="288" spans="1:37" hidden="1">
      <c r="A288" s="77">
        <v>286</v>
      </c>
      <c r="B288" s="78"/>
      <c r="C288" s="79"/>
      <c r="D288" s="79"/>
      <c r="E288" s="79"/>
      <c r="F288" s="79"/>
      <c r="G288" s="79"/>
      <c r="H288" s="80"/>
      <c r="I288" s="45" t="s">
        <v>801</v>
      </c>
      <c r="J288" s="45" t="s">
        <v>1389</v>
      </c>
      <c r="K288" s="46" t="s">
        <v>667</v>
      </c>
      <c r="L288" s="47" t="s">
        <v>1116</v>
      </c>
      <c r="M288" s="81">
        <f>IFERROR(VLOOKUP($L288,[3]Consolidated!$C$9:$AC$452,27,0),0)</f>
        <v>1330000</v>
      </c>
      <c r="N288" s="81">
        <f>IFERROR(VLOOKUP($L288,[3]Consolidated!$C$9:$AC$452,5,0),0)</f>
        <v>10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4">
        <f>(VLOOKUP($O$2,[4]Prices!$E$3:$K$17,2,FALSE)*O288)+(VLOOKUP($P$2,[4]Prices!$J$3:$K$17,2,FALSE)*P288)+(VLOOKUP($Q$2,[4]Prices!$J$3:$K$17,2,FALSE)*Q288)+(VLOOKUP($R$2,[4]Prices!$J$3:$K$17,2,FALSE)*R288)+(VLOOKUP($S$2,[4]Prices!$J$3:$K$17,2,FALSE)*S288)+(VLOOKUP($T$2,[4]Prices!$J$3:$K$17,2,FALSE)*T288)+(VLOOKUP($U$2,[4]Prices!$J$3:$K$17,2,FALSE)*U288)+(VLOOKUP($V$2,[4]Prices!$J$3:$K$17,2,FALSE)*V288)+(VLOOKUP($W$2,[4]Prices!$J$3:$K$17,2,FALSE)*W288)+(VLOOKUP($X$2,[4]Prices!$J$3:$K$17,2,FALSE)*X288)+(VLOOKUP($Y$2,[4]Prices!$J$3:$K$17,2,FALSE)*Y288)+(VLOOKUP($Z$2,[4]Prices!$J$3:$K$17,2,FALSE)*Z288)+(VLOOKUP($AA$2,[4]Prices!$J$3:$K$17,2,FALSE)*AA288)+(VLOOKUP($AB$2,[4]Prices!$J$3:$K$17,2,FALSE)*AB288)+M288</f>
        <v>1330000</v>
      </c>
      <c r="AD288" s="18"/>
      <c r="AE288" s="18"/>
      <c r="AF288" s="4">
        <f t="shared" si="16"/>
        <v>0</v>
      </c>
      <c r="AG288" s="4"/>
      <c r="AH288" s="16">
        <f t="shared" si="17"/>
        <v>0</v>
      </c>
      <c r="AI288" s="21">
        <f t="shared" si="18"/>
        <v>0</v>
      </c>
      <c r="AJ288" s="20">
        <f t="shared" si="19"/>
        <v>0</v>
      </c>
      <c r="AK288" s="9"/>
    </row>
    <row r="289" spans="1:37" hidden="1">
      <c r="A289" s="77">
        <v>287</v>
      </c>
      <c r="B289" s="78"/>
      <c r="C289" s="79"/>
      <c r="D289" s="79"/>
      <c r="E289" s="79"/>
      <c r="F289" s="79"/>
      <c r="G289" s="79"/>
      <c r="H289" s="80"/>
      <c r="I289" s="45" t="s">
        <v>793</v>
      </c>
      <c r="J289" s="45" t="s">
        <v>1389</v>
      </c>
      <c r="K289" s="46" t="s">
        <v>667</v>
      </c>
      <c r="L289" s="47" t="s">
        <v>1108</v>
      </c>
      <c r="M289" s="81">
        <f>IFERROR(VLOOKUP($L289,[3]Consolidated!$C$9:$AC$452,27,0),0)</f>
        <v>4467500</v>
      </c>
      <c r="N289" s="81">
        <f>IFERROR(VLOOKUP($L289,[3]Consolidated!$C$9:$AC$452,5,0),0)</f>
        <v>35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4">
        <f>(VLOOKUP($O$2,[4]Prices!$E$3:$K$17,2,FALSE)*O289)+(VLOOKUP($P$2,[4]Prices!$J$3:$K$17,2,FALSE)*P289)+(VLOOKUP($Q$2,[4]Prices!$J$3:$K$17,2,FALSE)*Q289)+(VLOOKUP($R$2,[4]Prices!$J$3:$K$17,2,FALSE)*R289)+(VLOOKUP($S$2,[4]Prices!$J$3:$K$17,2,FALSE)*S289)+(VLOOKUP($T$2,[4]Prices!$J$3:$K$17,2,FALSE)*T289)+(VLOOKUP($U$2,[4]Prices!$J$3:$K$17,2,FALSE)*U289)+(VLOOKUP($V$2,[4]Prices!$J$3:$K$17,2,FALSE)*V289)+(VLOOKUP($W$2,[4]Prices!$J$3:$K$17,2,FALSE)*W289)+(VLOOKUP($X$2,[4]Prices!$J$3:$K$17,2,FALSE)*X289)+(VLOOKUP($Y$2,[4]Prices!$J$3:$K$17,2,FALSE)*Y289)+(VLOOKUP($Z$2,[4]Prices!$J$3:$K$17,2,FALSE)*Z289)+(VLOOKUP($AA$2,[4]Prices!$J$3:$K$17,2,FALSE)*AA289)+(VLOOKUP($AB$2,[4]Prices!$J$3:$K$17,2,FALSE)*AB289)+M289</f>
        <v>4467500</v>
      </c>
      <c r="AD289" s="18"/>
      <c r="AE289" s="18"/>
      <c r="AF289" s="4">
        <f t="shared" si="16"/>
        <v>0</v>
      </c>
      <c r="AG289" s="4"/>
      <c r="AH289" s="16">
        <f t="shared" si="17"/>
        <v>0</v>
      </c>
      <c r="AI289" s="21">
        <f t="shared" si="18"/>
        <v>0</v>
      </c>
      <c r="AJ289" s="20">
        <f t="shared" si="19"/>
        <v>0</v>
      </c>
      <c r="AK289" s="9"/>
    </row>
    <row r="290" spans="1:37" hidden="1">
      <c r="A290" s="77">
        <v>288</v>
      </c>
      <c r="B290" s="78"/>
      <c r="C290" s="79"/>
      <c r="D290" s="79"/>
      <c r="E290" s="79"/>
      <c r="F290" s="79"/>
      <c r="G290" s="79"/>
      <c r="H290" s="80"/>
      <c r="I290" s="45" t="s">
        <v>799</v>
      </c>
      <c r="J290" s="45" t="s">
        <v>1389</v>
      </c>
      <c r="K290" s="46" t="s">
        <v>667</v>
      </c>
      <c r="L290" s="47" t="s">
        <v>1114</v>
      </c>
      <c r="M290" s="81">
        <f>IFERROR(VLOOKUP($L290,[3]Consolidated!$C$9:$AC$452,27,0),0)</f>
        <v>1490000</v>
      </c>
      <c r="N290" s="81">
        <f>IFERROR(VLOOKUP($L290,[3]Consolidated!$C$9:$AC$452,5,0),0)</f>
        <v>10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4">
        <f>(VLOOKUP($O$2,[4]Prices!$E$3:$K$17,2,FALSE)*O290)+(VLOOKUP($P$2,[4]Prices!$J$3:$K$17,2,FALSE)*P290)+(VLOOKUP($Q$2,[4]Prices!$J$3:$K$17,2,FALSE)*Q290)+(VLOOKUP($R$2,[4]Prices!$J$3:$K$17,2,FALSE)*R290)+(VLOOKUP($S$2,[4]Prices!$J$3:$K$17,2,FALSE)*S290)+(VLOOKUP($T$2,[4]Prices!$J$3:$K$17,2,FALSE)*T290)+(VLOOKUP($U$2,[4]Prices!$J$3:$K$17,2,FALSE)*U290)+(VLOOKUP($V$2,[4]Prices!$J$3:$K$17,2,FALSE)*V290)+(VLOOKUP($W$2,[4]Prices!$J$3:$K$17,2,FALSE)*W290)+(VLOOKUP($X$2,[4]Prices!$J$3:$K$17,2,FALSE)*X290)+(VLOOKUP($Y$2,[4]Prices!$J$3:$K$17,2,FALSE)*Y290)+(VLOOKUP($Z$2,[4]Prices!$J$3:$K$17,2,FALSE)*Z290)+(VLOOKUP($AA$2,[4]Prices!$J$3:$K$17,2,FALSE)*AA290)+(VLOOKUP($AB$2,[4]Prices!$J$3:$K$17,2,FALSE)*AB290)+M290</f>
        <v>1490000</v>
      </c>
      <c r="AD290" s="18"/>
      <c r="AE290" s="18"/>
      <c r="AF290" s="4">
        <f t="shared" si="16"/>
        <v>0</v>
      </c>
      <c r="AG290" s="4"/>
      <c r="AH290" s="16">
        <f t="shared" si="17"/>
        <v>0</v>
      </c>
      <c r="AI290" s="21">
        <f t="shared" si="18"/>
        <v>0</v>
      </c>
      <c r="AJ290" s="20">
        <f t="shared" si="19"/>
        <v>0</v>
      </c>
      <c r="AK290" s="9"/>
    </row>
    <row r="291" spans="1:37" hidden="1">
      <c r="A291" s="77">
        <v>289</v>
      </c>
      <c r="B291" s="78"/>
      <c r="C291" s="79"/>
      <c r="D291" s="79"/>
      <c r="E291" s="79"/>
      <c r="F291" s="79"/>
      <c r="G291" s="79"/>
      <c r="H291" s="80"/>
      <c r="I291" s="45" t="s">
        <v>767</v>
      </c>
      <c r="J291" s="45" t="s">
        <v>1389</v>
      </c>
      <c r="K291" s="46" t="s">
        <v>1402</v>
      </c>
      <c r="L291" s="47" t="s">
        <v>1070</v>
      </c>
      <c r="M291" s="81">
        <f>IFERROR(VLOOKUP($L291,[3]Consolidated!$C$9:$AC$452,27,0),0)</f>
        <v>1843000</v>
      </c>
      <c r="N291" s="81">
        <f>IFERROR(VLOOKUP($L291,[3]Consolidated!$C$9:$AC$452,5,0),0)</f>
        <v>10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4">
        <f>(VLOOKUP($O$2,[4]Prices!$E$3:$K$17,2,FALSE)*O291)+(VLOOKUP($P$2,[4]Prices!$J$3:$K$17,2,FALSE)*P291)+(VLOOKUP($Q$2,[4]Prices!$J$3:$K$17,2,FALSE)*Q291)+(VLOOKUP($R$2,[4]Prices!$J$3:$K$17,2,FALSE)*R291)+(VLOOKUP($S$2,[4]Prices!$J$3:$K$17,2,FALSE)*S291)+(VLOOKUP($T$2,[4]Prices!$J$3:$K$17,2,FALSE)*T291)+(VLOOKUP($U$2,[4]Prices!$J$3:$K$17,2,FALSE)*U291)+(VLOOKUP($V$2,[4]Prices!$J$3:$K$17,2,FALSE)*V291)+(VLOOKUP($W$2,[4]Prices!$J$3:$K$17,2,FALSE)*W291)+(VLOOKUP($X$2,[4]Prices!$J$3:$K$17,2,FALSE)*X291)+(VLOOKUP($Y$2,[4]Prices!$J$3:$K$17,2,FALSE)*Y291)+(VLOOKUP($Z$2,[4]Prices!$J$3:$K$17,2,FALSE)*Z291)+(VLOOKUP($AA$2,[4]Prices!$J$3:$K$17,2,FALSE)*AA291)+(VLOOKUP($AB$2,[4]Prices!$J$3:$K$17,2,FALSE)*AB291)+M291</f>
        <v>1843000</v>
      </c>
      <c r="AD291" s="18"/>
      <c r="AE291" s="18"/>
      <c r="AF291" s="4">
        <f t="shared" si="16"/>
        <v>0</v>
      </c>
      <c r="AG291" s="4"/>
      <c r="AH291" s="16">
        <f t="shared" si="17"/>
        <v>0</v>
      </c>
      <c r="AI291" s="21">
        <f t="shared" si="18"/>
        <v>0</v>
      </c>
      <c r="AJ291" s="20">
        <f t="shared" si="19"/>
        <v>0</v>
      </c>
      <c r="AK291" s="19"/>
    </row>
    <row r="292" spans="1:37" hidden="1">
      <c r="A292" s="77">
        <v>290</v>
      </c>
      <c r="B292" s="78"/>
      <c r="C292" s="79"/>
      <c r="D292" s="79"/>
      <c r="E292" s="79"/>
      <c r="F292" s="79"/>
      <c r="G292" s="79"/>
      <c r="H292" s="80"/>
      <c r="I292" s="45" t="s">
        <v>1432</v>
      </c>
      <c r="J292" s="45" t="s">
        <v>1389</v>
      </c>
      <c r="K292" s="46" t="s">
        <v>1402</v>
      </c>
      <c r="L292" s="47" t="s">
        <v>1069</v>
      </c>
      <c r="M292" s="81">
        <f>IFERROR(VLOOKUP($L292,[3]Consolidated!$C$9:$AC$452,27,0),0)</f>
        <v>1272100</v>
      </c>
      <c r="N292" s="81">
        <f>IFERROR(VLOOKUP($L292,[3]Consolidated!$C$9:$AC$452,5,0),0)</f>
        <v>10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4">
        <f>(VLOOKUP($O$2,[4]Prices!$E$3:$K$17,2,FALSE)*O292)+(VLOOKUP($P$2,[4]Prices!$J$3:$K$17,2,FALSE)*P292)+(VLOOKUP($Q$2,[4]Prices!$J$3:$K$17,2,FALSE)*Q292)+(VLOOKUP($R$2,[4]Prices!$J$3:$K$17,2,FALSE)*R292)+(VLOOKUP($S$2,[4]Prices!$J$3:$K$17,2,FALSE)*S292)+(VLOOKUP($T$2,[4]Prices!$J$3:$K$17,2,FALSE)*T292)+(VLOOKUP($U$2,[4]Prices!$J$3:$K$17,2,FALSE)*U292)+(VLOOKUP($V$2,[4]Prices!$J$3:$K$17,2,FALSE)*V292)+(VLOOKUP($W$2,[4]Prices!$J$3:$K$17,2,FALSE)*W292)+(VLOOKUP($X$2,[4]Prices!$J$3:$K$17,2,FALSE)*X292)+(VLOOKUP($Y$2,[4]Prices!$J$3:$K$17,2,FALSE)*Y292)+(VLOOKUP($Z$2,[4]Prices!$J$3:$K$17,2,FALSE)*Z292)+(VLOOKUP($AA$2,[4]Prices!$J$3:$K$17,2,FALSE)*AA292)+(VLOOKUP($AB$2,[4]Prices!$J$3:$K$17,2,FALSE)*AB292)+M292</f>
        <v>1272100</v>
      </c>
      <c r="AD292" s="18"/>
      <c r="AE292" s="18"/>
      <c r="AF292" s="4">
        <f t="shared" si="16"/>
        <v>0</v>
      </c>
      <c r="AG292" s="4"/>
      <c r="AH292" s="16">
        <f t="shared" si="17"/>
        <v>0</v>
      </c>
      <c r="AI292" s="21">
        <f t="shared" si="18"/>
        <v>0</v>
      </c>
      <c r="AJ292" s="20">
        <f t="shared" si="19"/>
        <v>0</v>
      </c>
      <c r="AK292" s="9"/>
    </row>
    <row r="293" spans="1:37" hidden="1">
      <c r="A293" s="77">
        <v>291</v>
      </c>
      <c r="B293" s="78"/>
      <c r="C293" s="79"/>
      <c r="D293" s="79"/>
      <c r="E293" s="79"/>
      <c r="F293" s="79"/>
      <c r="G293" s="79"/>
      <c r="H293" s="80"/>
      <c r="I293" s="45" t="s">
        <v>766</v>
      </c>
      <c r="J293" s="45" t="s">
        <v>1389</v>
      </c>
      <c r="K293" s="46" t="s">
        <v>1402</v>
      </c>
      <c r="L293" s="47" t="s">
        <v>1065</v>
      </c>
      <c r="M293" s="81">
        <f>IFERROR(VLOOKUP($L293,[3]Consolidated!$C$9:$AC$452,27,0),0)</f>
        <v>1312100</v>
      </c>
      <c r="N293" s="81">
        <f>IFERROR(VLOOKUP($L293,[3]Consolidated!$C$9:$AC$452,5,0),0)</f>
        <v>10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4">
        <f>(VLOOKUP($O$2,[4]Prices!$E$3:$K$17,2,FALSE)*O293)+(VLOOKUP($P$2,[4]Prices!$J$3:$K$17,2,FALSE)*P293)+(VLOOKUP($Q$2,[4]Prices!$J$3:$K$17,2,FALSE)*Q293)+(VLOOKUP($R$2,[4]Prices!$J$3:$K$17,2,FALSE)*R293)+(VLOOKUP($S$2,[4]Prices!$J$3:$K$17,2,FALSE)*S293)+(VLOOKUP($T$2,[4]Prices!$J$3:$K$17,2,FALSE)*T293)+(VLOOKUP($U$2,[4]Prices!$J$3:$K$17,2,FALSE)*U293)+(VLOOKUP($V$2,[4]Prices!$J$3:$K$17,2,FALSE)*V293)+(VLOOKUP($W$2,[4]Prices!$J$3:$K$17,2,FALSE)*W293)+(VLOOKUP($X$2,[4]Prices!$J$3:$K$17,2,FALSE)*X293)+(VLOOKUP($Y$2,[4]Prices!$J$3:$K$17,2,FALSE)*Y293)+(VLOOKUP($Z$2,[4]Prices!$J$3:$K$17,2,FALSE)*Z293)+(VLOOKUP($AA$2,[4]Prices!$J$3:$K$17,2,FALSE)*AA293)+(VLOOKUP($AB$2,[4]Prices!$J$3:$K$17,2,FALSE)*AB293)+M293</f>
        <v>1312100</v>
      </c>
      <c r="AD293" s="18"/>
      <c r="AE293" s="18"/>
      <c r="AF293" s="4">
        <f t="shared" si="16"/>
        <v>0</v>
      </c>
      <c r="AG293" s="4"/>
      <c r="AH293" s="16">
        <f t="shared" si="17"/>
        <v>0</v>
      </c>
      <c r="AI293" s="21">
        <f t="shared" si="18"/>
        <v>0</v>
      </c>
      <c r="AJ293" s="20">
        <f t="shared" si="19"/>
        <v>0</v>
      </c>
      <c r="AK293" s="9"/>
    </row>
    <row r="294" spans="1:37" hidden="1">
      <c r="A294" s="77">
        <v>292</v>
      </c>
      <c r="B294" s="78"/>
      <c r="C294" s="79"/>
      <c r="D294" s="79"/>
      <c r="E294" s="79"/>
      <c r="F294" s="79"/>
      <c r="G294" s="79"/>
      <c r="H294" s="80"/>
      <c r="I294" s="45" t="s">
        <v>765</v>
      </c>
      <c r="J294" s="45" t="s">
        <v>1389</v>
      </c>
      <c r="K294" s="46" t="s">
        <v>1402</v>
      </c>
      <c r="L294" s="47" t="s">
        <v>1064</v>
      </c>
      <c r="M294" s="81">
        <f>IFERROR(VLOOKUP($L294,[3]Consolidated!$C$9:$AC$452,27,0),0)</f>
        <v>1304100</v>
      </c>
      <c r="N294" s="81">
        <f>IFERROR(VLOOKUP($L294,[3]Consolidated!$C$9:$AC$452,5,0),0)</f>
        <v>10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4">
        <f>(VLOOKUP($O$2,[4]Prices!$E$3:$K$17,2,FALSE)*O294)+(VLOOKUP($P$2,[4]Prices!$J$3:$K$17,2,FALSE)*P294)+(VLOOKUP($Q$2,[4]Prices!$J$3:$K$17,2,FALSE)*Q294)+(VLOOKUP($R$2,[4]Prices!$J$3:$K$17,2,FALSE)*R294)+(VLOOKUP($S$2,[4]Prices!$J$3:$K$17,2,FALSE)*S294)+(VLOOKUP($T$2,[4]Prices!$J$3:$K$17,2,FALSE)*T294)+(VLOOKUP($U$2,[4]Prices!$J$3:$K$17,2,FALSE)*U294)+(VLOOKUP($V$2,[4]Prices!$J$3:$K$17,2,FALSE)*V294)+(VLOOKUP($W$2,[4]Prices!$J$3:$K$17,2,FALSE)*W294)+(VLOOKUP($X$2,[4]Prices!$J$3:$K$17,2,FALSE)*X294)+(VLOOKUP($Y$2,[4]Prices!$J$3:$K$17,2,FALSE)*Y294)+(VLOOKUP($Z$2,[4]Prices!$J$3:$K$17,2,FALSE)*Z294)+(VLOOKUP($AA$2,[4]Prices!$J$3:$K$17,2,FALSE)*AA294)+(VLOOKUP($AB$2,[4]Prices!$J$3:$K$17,2,FALSE)*AB294)+M294</f>
        <v>1304100</v>
      </c>
      <c r="AD294" s="18"/>
      <c r="AE294" s="18"/>
      <c r="AF294" s="4">
        <f t="shared" si="16"/>
        <v>0</v>
      </c>
      <c r="AG294" s="4"/>
      <c r="AH294" s="16">
        <f t="shared" si="17"/>
        <v>0</v>
      </c>
      <c r="AI294" s="21">
        <f t="shared" si="18"/>
        <v>0</v>
      </c>
      <c r="AJ294" s="20">
        <f t="shared" si="19"/>
        <v>0</v>
      </c>
      <c r="AK294" s="9"/>
    </row>
    <row r="295" spans="1:37" hidden="1">
      <c r="A295" s="77">
        <v>293</v>
      </c>
      <c r="B295" s="78"/>
      <c r="C295" s="79"/>
      <c r="D295" s="79"/>
      <c r="E295" s="79"/>
      <c r="F295" s="79"/>
      <c r="G295" s="79"/>
      <c r="H295" s="80"/>
      <c r="I295" s="45" t="s">
        <v>1433</v>
      </c>
      <c r="J295" s="45" t="s">
        <v>1389</v>
      </c>
      <c r="K295" s="46" t="s">
        <v>1402</v>
      </c>
      <c r="L295" s="47" t="s">
        <v>1082</v>
      </c>
      <c r="M295" s="81">
        <f>IFERROR(VLOOKUP($L295,[3]Consolidated!$C$9:$AC$452,27,0),0)</f>
        <v>1307300</v>
      </c>
      <c r="N295" s="81">
        <f>IFERROR(VLOOKUP($L295,[3]Consolidated!$C$9:$AC$452,5,0),0)</f>
        <v>10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4">
        <f>(VLOOKUP($O$2,[4]Prices!$E$3:$K$17,2,FALSE)*O295)+(VLOOKUP($P$2,[4]Prices!$J$3:$K$17,2,FALSE)*P295)+(VLOOKUP($Q$2,[4]Prices!$J$3:$K$17,2,FALSE)*Q295)+(VLOOKUP($R$2,[4]Prices!$J$3:$K$17,2,FALSE)*R295)+(VLOOKUP($S$2,[4]Prices!$J$3:$K$17,2,FALSE)*S295)+(VLOOKUP($T$2,[4]Prices!$J$3:$K$17,2,FALSE)*T295)+(VLOOKUP($U$2,[4]Prices!$J$3:$K$17,2,FALSE)*U295)+(VLOOKUP($V$2,[4]Prices!$J$3:$K$17,2,FALSE)*V295)+(VLOOKUP($W$2,[4]Prices!$J$3:$K$17,2,FALSE)*W295)+(VLOOKUP($X$2,[4]Prices!$J$3:$K$17,2,FALSE)*X295)+(VLOOKUP($Y$2,[4]Prices!$J$3:$K$17,2,FALSE)*Y295)+(VLOOKUP($Z$2,[4]Prices!$J$3:$K$17,2,FALSE)*Z295)+(VLOOKUP($AA$2,[4]Prices!$J$3:$K$17,2,FALSE)*AA295)+(VLOOKUP($AB$2,[4]Prices!$J$3:$K$17,2,FALSE)*AB295)+M295</f>
        <v>1307300</v>
      </c>
      <c r="AD295" s="18"/>
      <c r="AE295" s="18"/>
      <c r="AF295" s="4">
        <f t="shared" si="16"/>
        <v>0</v>
      </c>
      <c r="AG295" s="4"/>
      <c r="AH295" s="16">
        <f t="shared" si="17"/>
        <v>0</v>
      </c>
      <c r="AI295" s="21">
        <f t="shared" si="18"/>
        <v>0</v>
      </c>
      <c r="AJ295" s="20">
        <f t="shared" si="19"/>
        <v>0</v>
      </c>
      <c r="AK295" s="9"/>
    </row>
    <row r="296" spans="1:37" hidden="1">
      <c r="A296" s="77">
        <v>294</v>
      </c>
      <c r="B296" s="78"/>
      <c r="C296" s="79"/>
      <c r="D296" s="79"/>
      <c r="E296" s="79"/>
      <c r="F296" s="79"/>
      <c r="G296" s="79"/>
      <c r="H296" s="80"/>
      <c r="I296" s="45" t="s">
        <v>1434</v>
      </c>
      <c r="J296" s="45" t="s">
        <v>1389</v>
      </c>
      <c r="K296" s="46" t="s">
        <v>1402</v>
      </c>
      <c r="L296" s="47" t="s">
        <v>1403</v>
      </c>
      <c r="M296" s="81">
        <f>IFERROR(VLOOKUP($L296,[3]Consolidated!$C$9:$AC$452,27,0),0)</f>
        <v>1501000</v>
      </c>
      <c r="N296" s="81">
        <f>IFERROR(VLOOKUP($L296,[3]Consolidated!$C$9:$AC$452,5,0),0)</f>
        <v>10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4">
        <f>(VLOOKUP($O$2,[4]Prices!$E$3:$K$17,2,FALSE)*O296)+(VLOOKUP($P$2,[4]Prices!$J$3:$K$17,2,FALSE)*P296)+(VLOOKUP($Q$2,[4]Prices!$J$3:$K$17,2,FALSE)*Q296)+(VLOOKUP($R$2,[4]Prices!$J$3:$K$17,2,FALSE)*R296)+(VLOOKUP($S$2,[4]Prices!$J$3:$K$17,2,FALSE)*S296)+(VLOOKUP($T$2,[4]Prices!$J$3:$K$17,2,FALSE)*T296)+(VLOOKUP($U$2,[4]Prices!$J$3:$K$17,2,FALSE)*U296)+(VLOOKUP($V$2,[4]Prices!$J$3:$K$17,2,FALSE)*V296)+(VLOOKUP($W$2,[4]Prices!$J$3:$K$17,2,FALSE)*W296)+(VLOOKUP($X$2,[4]Prices!$J$3:$K$17,2,FALSE)*X296)+(VLOOKUP($Y$2,[4]Prices!$J$3:$K$17,2,FALSE)*Y296)+(VLOOKUP($Z$2,[4]Prices!$J$3:$K$17,2,FALSE)*Z296)+(VLOOKUP($AA$2,[4]Prices!$J$3:$K$17,2,FALSE)*AA296)+(VLOOKUP($AB$2,[4]Prices!$J$3:$K$17,2,FALSE)*AB296)+M296</f>
        <v>1501000</v>
      </c>
      <c r="AD296" s="18"/>
      <c r="AE296" s="18"/>
      <c r="AF296" s="4">
        <f t="shared" si="16"/>
        <v>0</v>
      </c>
      <c r="AG296" s="4"/>
      <c r="AH296" s="16">
        <f t="shared" si="17"/>
        <v>0</v>
      </c>
      <c r="AI296" s="21">
        <f t="shared" si="18"/>
        <v>0</v>
      </c>
      <c r="AJ296" s="20">
        <f t="shared" si="19"/>
        <v>0</v>
      </c>
      <c r="AK296" s="9"/>
    </row>
    <row r="297" spans="1:37" hidden="1">
      <c r="A297" s="77">
        <v>295</v>
      </c>
      <c r="B297" s="78"/>
      <c r="C297" s="79"/>
      <c r="D297" s="79"/>
      <c r="E297" s="79"/>
      <c r="F297" s="79"/>
      <c r="G297" s="79"/>
      <c r="H297" s="80"/>
      <c r="I297" s="45" t="s">
        <v>1435</v>
      </c>
      <c r="J297" s="45" t="s">
        <v>1389</v>
      </c>
      <c r="K297" s="46" t="s">
        <v>667</v>
      </c>
      <c r="L297" s="47" t="s">
        <v>1142</v>
      </c>
      <c r="M297" s="81">
        <f>IFERROR(VLOOKUP($L297,[3]Consolidated!$C$9:$AC$452,27,0),0)</f>
        <v>2218500</v>
      </c>
      <c r="N297" s="81">
        <f>IFERROR(VLOOKUP($L297,[3]Consolidated!$C$9:$AC$452,5,0),0)</f>
        <v>15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4">
        <f>(VLOOKUP($O$2,[4]Prices!$E$3:$K$17,2,FALSE)*O297)+(VLOOKUP($P$2,[4]Prices!$J$3:$K$17,2,FALSE)*P297)+(VLOOKUP($Q$2,[4]Prices!$J$3:$K$17,2,FALSE)*Q297)+(VLOOKUP($R$2,[4]Prices!$J$3:$K$17,2,FALSE)*R297)+(VLOOKUP($S$2,[4]Prices!$J$3:$K$17,2,FALSE)*S297)+(VLOOKUP($T$2,[4]Prices!$J$3:$K$17,2,FALSE)*T297)+(VLOOKUP($U$2,[4]Prices!$J$3:$K$17,2,FALSE)*U297)+(VLOOKUP($V$2,[4]Prices!$J$3:$K$17,2,FALSE)*V297)+(VLOOKUP($W$2,[4]Prices!$J$3:$K$17,2,FALSE)*W297)+(VLOOKUP($X$2,[4]Prices!$J$3:$K$17,2,FALSE)*X297)+(VLOOKUP($Y$2,[4]Prices!$J$3:$K$17,2,FALSE)*Y297)+(VLOOKUP($Z$2,[4]Prices!$J$3:$K$17,2,FALSE)*Z297)+(VLOOKUP($AA$2,[4]Prices!$J$3:$K$17,2,FALSE)*AA297)+(VLOOKUP($AB$2,[4]Prices!$J$3:$K$17,2,FALSE)*AB297)+M297</f>
        <v>2218500</v>
      </c>
      <c r="AD297" s="18"/>
      <c r="AE297" s="18"/>
      <c r="AF297" s="4">
        <f t="shared" si="16"/>
        <v>0</v>
      </c>
      <c r="AG297" s="4"/>
      <c r="AH297" s="16">
        <f t="shared" si="17"/>
        <v>0</v>
      </c>
      <c r="AI297" s="21">
        <f t="shared" si="18"/>
        <v>0</v>
      </c>
      <c r="AJ297" s="20">
        <f t="shared" si="19"/>
        <v>0</v>
      </c>
      <c r="AK297" s="9"/>
    </row>
    <row r="298" spans="1:37" hidden="1">
      <c r="A298" s="77">
        <v>296</v>
      </c>
      <c r="B298" s="78"/>
      <c r="C298" s="79"/>
      <c r="D298" s="79"/>
      <c r="E298" s="79"/>
      <c r="F298" s="79"/>
      <c r="G298" s="79"/>
      <c r="H298" s="80"/>
      <c r="I298" s="45" t="s">
        <v>1436</v>
      </c>
      <c r="J298" s="45" t="s">
        <v>1389</v>
      </c>
      <c r="K298" s="46" t="s">
        <v>667</v>
      </c>
      <c r="L298" s="47" t="s">
        <v>1145</v>
      </c>
      <c r="M298" s="81">
        <f>IFERROR(VLOOKUP($L298,[3]Consolidated!$C$9:$AC$452,27,0),0)</f>
        <v>1327000</v>
      </c>
      <c r="N298" s="81">
        <f>IFERROR(VLOOKUP($L298,[3]Consolidated!$C$9:$AC$452,5,0),0)</f>
        <v>10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4">
        <f>(VLOOKUP($O$2,[4]Prices!$E$3:$K$17,2,FALSE)*O298)+(VLOOKUP($P$2,[4]Prices!$J$3:$K$17,2,FALSE)*P298)+(VLOOKUP($Q$2,[4]Prices!$J$3:$K$17,2,FALSE)*Q298)+(VLOOKUP($R$2,[4]Prices!$J$3:$K$17,2,FALSE)*R298)+(VLOOKUP($S$2,[4]Prices!$J$3:$K$17,2,FALSE)*S298)+(VLOOKUP($T$2,[4]Prices!$J$3:$K$17,2,FALSE)*T298)+(VLOOKUP($U$2,[4]Prices!$J$3:$K$17,2,FALSE)*U298)+(VLOOKUP($V$2,[4]Prices!$J$3:$K$17,2,FALSE)*V298)+(VLOOKUP($W$2,[4]Prices!$J$3:$K$17,2,FALSE)*W298)+(VLOOKUP($X$2,[4]Prices!$J$3:$K$17,2,FALSE)*X298)+(VLOOKUP($Y$2,[4]Prices!$J$3:$K$17,2,FALSE)*Y298)+(VLOOKUP($Z$2,[4]Prices!$J$3:$K$17,2,FALSE)*Z298)+(VLOOKUP($AA$2,[4]Prices!$J$3:$K$17,2,FALSE)*AA298)+(VLOOKUP($AB$2,[4]Prices!$J$3:$K$17,2,FALSE)*AB298)+M298</f>
        <v>1327000</v>
      </c>
      <c r="AD298" s="18"/>
      <c r="AE298" s="18"/>
      <c r="AF298" s="4">
        <f t="shared" si="16"/>
        <v>0</v>
      </c>
      <c r="AG298" s="4"/>
      <c r="AH298" s="16">
        <f t="shared" si="17"/>
        <v>0</v>
      </c>
      <c r="AI298" s="21">
        <f t="shared" si="18"/>
        <v>0</v>
      </c>
      <c r="AJ298" s="20">
        <f t="shared" si="19"/>
        <v>0</v>
      </c>
      <c r="AK298" s="9"/>
    </row>
    <row r="299" spans="1:37" hidden="1">
      <c r="A299" s="77">
        <v>297</v>
      </c>
      <c r="B299" s="78"/>
      <c r="C299" s="79"/>
      <c r="D299" s="79"/>
      <c r="E299" s="79"/>
      <c r="F299" s="79"/>
      <c r="G299" s="79"/>
      <c r="H299" s="80"/>
      <c r="I299" s="45" t="s">
        <v>770</v>
      </c>
      <c r="J299" s="45" t="s">
        <v>1389</v>
      </c>
      <c r="K299" s="46" t="s">
        <v>1402</v>
      </c>
      <c r="L299" s="47" t="s">
        <v>1073</v>
      </c>
      <c r="M299" s="81">
        <f>IFERROR(VLOOKUP($L299,[3]Consolidated!$C$9:$AC$452,27,0),0)</f>
        <v>1689000</v>
      </c>
      <c r="N299" s="81">
        <f>IFERROR(VLOOKUP($L299,[3]Consolidated!$C$9:$AC$452,5,0),0)</f>
        <v>10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4">
        <f>(VLOOKUP($O$2,[4]Prices!$E$3:$K$17,2,FALSE)*O299)+(VLOOKUP($P$2,[4]Prices!$J$3:$K$17,2,FALSE)*P299)+(VLOOKUP($Q$2,[4]Prices!$J$3:$K$17,2,FALSE)*Q299)+(VLOOKUP($R$2,[4]Prices!$J$3:$K$17,2,FALSE)*R299)+(VLOOKUP($S$2,[4]Prices!$J$3:$K$17,2,FALSE)*S299)+(VLOOKUP($T$2,[4]Prices!$J$3:$K$17,2,FALSE)*T299)+(VLOOKUP($U$2,[4]Prices!$J$3:$K$17,2,FALSE)*U299)+(VLOOKUP($V$2,[4]Prices!$J$3:$K$17,2,FALSE)*V299)+(VLOOKUP($W$2,[4]Prices!$J$3:$K$17,2,FALSE)*W299)+(VLOOKUP($X$2,[4]Prices!$J$3:$K$17,2,FALSE)*X299)+(VLOOKUP($Y$2,[4]Prices!$J$3:$K$17,2,FALSE)*Y299)+(VLOOKUP($Z$2,[4]Prices!$J$3:$K$17,2,FALSE)*Z299)+(VLOOKUP($AA$2,[4]Prices!$J$3:$K$17,2,FALSE)*AA299)+(VLOOKUP($AB$2,[4]Prices!$J$3:$K$17,2,FALSE)*AB299)+M299</f>
        <v>1689000</v>
      </c>
      <c r="AD299" s="18"/>
      <c r="AE299" s="18"/>
      <c r="AF299" s="4">
        <f t="shared" si="16"/>
        <v>0</v>
      </c>
      <c r="AG299" s="4"/>
      <c r="AH299" s="16">
        <f t="shared" si="17"/>
        <v>0</v>
      </c>
      <c r="AI299" s="21">
        <f t="shared" si="18"/>
        <v>0</v>
      </c>
      <c r="AJ299" s="20">
        <f t="shared" si="19"/>
        <v>0</v>
      </c>
      <c r="AK299" s="9"/>
    </row>
    <row r="300" spans="1:37" hidden="1">
      <c r="A300" s="77">
        <v>298</v>
      </c>
      <c r="B300" s="78"/>
      <c r="C300" s="79"/>
      <c r="D300" s="79"/>
      <c r="E300" s="79"/>
      <c r="F300" s="79"/>
      <c r="G300" s="79"/>
      <c r="H300" s="80"/>
      <c r="I300" s="45" t="s">
        <v>1437</v>
      </c>
      <c r="J300" s="45" t="s">
        <v>1389</v>
      </c>
      <c r="K300" s="46" t="s">
        <v>1402</v>
      </c>
      <c r="L300" s="46" t="s">
        <v>1085</v>
      </c>
      <c r="M300" s="81">
        <f>IFERROR(VLOOKUP($L300,[3]Consolidated!$C$9:$AC$452,27,0),0)</f>
        <v>0</v>
      </c>
      <c r="N300" s="81">
        <f>IFERROR(VLOOKUP($L300,[3]Consolidated!$C$9:$AC$452,5,0),0)</f>
        <v>0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4">
        <f>(VLOOKUP($O$2,[4]Prices!$E$3:$K$17,2,FALSE)*O300)+(VLOOKUP($P$2,[4]Prices!$J$3:$K$17,2,FALSE)*P300)+(VLOOKUP($Q$2,[4]Prices!$J$3:$K$17,2,FALSE)*Q300)+(VLOOKUP($R$2,[4]Prices!$J$3:$K$17,2,FALSE)*R300)+(VLOOKUP($S$2,[4]Prices!$J$3:$K$17,2,FALSE)*S300)+(VLOOKUP($T$2,[4]Prices!$J$3:$K$17,2,FALSE)*T300)+(VLOOKUP($U$2,[4]Prices!$J$3:$K$17,2,FALSE)*U300)+(VLOOKUP($V$2,[4]Prices!$J$3:$K$17,2,FALSE)*V300)+(VLOOKUP($W$2,[4]Prices!$J$3:$K$17,2,FALSE)*W300)+(VLOOKUP($X$2,[4]Prices!$J$3:$K$17,2,FALSE)*X300)+(VLOOKUP($Y$2,[4]Prices!$J$3:$K$17,2,FALSE)*Y300)+(VLOOKUP($Z$2,[4]Prices!$J$3:$K$17,2,FALSE)*Z300)+(VLOOKUP($AA$2,[4]Prices!$J$3:$K$17,2,FALSE)*AA300)+(VLOOKUP($AB$2,[4]Prices!$J$3:$K$17,2,FALSE)*AB300)+M300</f>
        <v>0</v>
      </c>
      <c r="AD300" s="18"/>
      <c r="AE300" s="18"/>
      <c r="AF300" s="4">
        <f t="shared" si="16"/>
        <v>0</v>
      </c>
      <c r="AG300" s="4"/>
      <c r="AH300" s="16">
        <f t="shared" si="17"/>
        <v>0</v>
      </c>
      <c r="AI300" s="21" t="e">
        <f t="shared" si="18"/>
        <v>#DIV/0!</v>
      </c>
      <c r="AJ300" s="20" t="e">
        <f t="shared" si="19"/>
        <v>#DIV/0!</v>
      </c>
      <c r="AK300" s="9"/>
    </row>
    <row r="301" spans="1:37" hidden="1">
      <c r="A301" s="77">
        <v>299</v>
      </c>
      <c r="B301" s="78"/>
      <c r="C301" s="79"/>
      <c r="D301" s="79"/>
      <c r="E301" s="79"/>
      <c r="F301" s="79"/>
      <c r="G301" s="79"/>
      <c r="H301" s="80"/>
      <c r="I301" s="45" t="s">
        <v>1438</v>
      </c>
      <c r="J301" s="45" t="s">
        <v>1389</v>
      </c>
      <c r="K301" s="46" t="s">
        <v>1402</v>
      </c>
      <c r="L301" s="46" t="s">
        <v>1404</v>
      </c>
      <c r="M301" s="81">
        <f>IFERROR(VLOOKUP($L301,[3]Consolidated!$C$9:$AC$452,27,0),0)</f>
        <v>0</v>
      </c>
      <c r="N301" s="81">
        <f>IFERROR(VLOOKUP($L301,[3]Consolidated!$C$9:$AC$452,5,0),0)</f>
        <v>0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4">
        <f>(VLOOKUP($O$2,[4]Prices!$E$3:$K$17,2,FALSE)*O301)+(VLOOKUP($P$2,[4]Prices!$J$3:$K$17,2,FALSE)*P301)+(VLOOKUP($Q$2,[4]Prices!$J$3:$K$17,2,FALSE)*Q301)+(VLOOKUP($R$2,[4]Prices!$J$3:$K$17,2,FALSE)*R301)+(VLOOKUP($S$2,[4]Prices!$J$3:$K$17,2,FALSE)*S301)+(VLOOKUP($T$2,[4]Prices!$J$3:$K$17,2,FALSE)*T301)+(VLOOKUP($U$2,[4]Prices!$J$3:$K$17,2,FALSE)*U301)+(VLOOKUP($V$2,[4]Prices!$J$3:$K$17,2,FALSE)*V301)+(VLOOKUP($W$2,[4]Prices!$J$3:$K$17,2,FALSE)*W301)+(VLOOKUP($X$2,[4]Prices!$J$3:$K$17,2,FALSE)*X301)+(VLOOKUP($Y$2,[4]Prices!$J$3:$K$17,2,FALSE)*Y301)+(VLOOKUP($Z$2,[4]Prices!$J$3:$K$17,2,FALSE)*Z301)+(VLOOKUP($AA$2,[4]Prices!$J$3:$K$17,2,FALSE)*AA301)+(VLOOKUP($AB$2,[4]Prices!$J$3:$K$17,2,FALSE)*AB301)+M301</f>
        <v>0</v>
      </c>
      <c r="AD301" s="18"/>
      <c r="AE301" s="18"/>
      <c r="AF301" s="4">
        <f t="shared" si="16"/>
        <v>0</v>
      </c>
      <c r="AG301" s="4"/>
      <c r="AH301" s="16">
        <f t="shared" si="17"/>
        <v>0</v>
      </c>
      <c r="AI301" s="21" t="e">
        <f t="shared" si="18"/>
        <v>#DIV/0!</v>
      </c>
      <c r="AJ301" s="20" t="e">
        <f t="shared" si="19"/>
        <v>#DIV/0!</v>
      </c>
      <c r="AK301" s="9"/>
    </row>
    <row r="302" spans="1:37" hidden="1">
      <c r="A302" s="77">
        <v>300</v>
      </c>
      <c r="B302" s="78"/>
      <c r="C302" s="79"/>
      <c r="D302" s="79"/>
      <c r="E302" s="79"/>
      <c r="F302" s="79"/>
      <c r="G302" s="79"/>
      <c r="H302" s="80"/>
      <c r="I302" s="45" t="s">
        <v>813</v>
      </c>
      <c r="J302" s="45" t="s">
        <v>1389</v>
      </c>
      <c r="K302" s="46" t="s">
        <v>668</v>
      </c>
      <c r="L302" s="46" t="s">
        <v>1128</v>
      </c>
      <c r="M302" s="81">
        <f>IFERROR(VLOOKUP($L302,[3]Consolidated!$C$9:$AC$452,27,0),0)</f>
        <v>1843000</v>
      </c>
      <c r="N302" s="81">
        <f>IFERROR(VLOOKUP($L302,[3]Consolidated!$C$9:$AC$452,5,0),0)</f>
        <v>10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4">
        <f>(VLOOKUP($O$2,[4]Prices!$E$3:$K$17,2,FALSE)*O302)+(VLOOKUP($P$2,[4]Prices!$J$3:$K$17,2,FALSE)*P302)+(VLOOKUP($Q$2,[4]Prices!$J$3:$K$17,2,FALSE)*Q302)+(VLOOKUP($R$2,[4]Prices!$J$3:$K$17,2,FALSE)*R302)+(VLOOKUP($S$2,[4]Prices!$J$3:$K$17,2,FALSE)*S302)+(VLOOKUP($T$2,[4]Prices!$J$3:$K$17,2,FALSE)*T302)+(VLOOKUP($U$2,[4]Prices!$J$3:$K$17,2,FALSE)*U302)+(VLOOKUP($V$2,[4]Prices!$J$3:$K$17,2,FALSE)*V302)+(VLOOKUP($W$2,[4]Prices!$J$3:$K$17,2,FALSE)*W302)+(VLOOKUP($X$2,[4]Prices!$J$3:$K$17,2,FALSE)*X302)+(VLOOKUP($Y$2,[4]Prices!$J$3:$K$17,2,FALSE)*Y302)+(VLOOKUP($Z$2,[4]Prices!$J$3:$K$17,2,FALSE)*Z302)+(VLOOKUP($AA$2,[4]Prices!$J$3:$K$17,2,FALSE)*AA302)+(VLOOKUP($AB$2,[4]Prices!$J$3:$K$17,2,FALSE)*AB302)+M302</f>
        <v>1843000</v>
      </c>
      <c r="AD302" s="18"/>
      <c r="AE302" s="18"/>
      <c r="AF302" s="4">
        <f t="shared" si="16"/>
        <v>0</v>
      </c>
      <c r="AG302" s="4"/>
      <c r="AH302" s="16">
        <f t="shared" si="17"/>
        <v>0</v>
      </c>
      <c r="AI302" s="21">
        <f t="shared" si="18"/>
        <v>0</v>
      </c>
      <c r="AJ302" s="20">
        <f t="shared" si="19"/>
        <v>0</v>
      </c>
      <c r="AK302" s="9"/>
    </row>
    <row r="303" spans="1:37" hidden="1">
      <c r="A303" s="77">
        <v>301</v>
      </c>
      <c r="B303" s="78"/>
      <c r="C303" s="79"/>
      <c r="D303" s="79"/>
      <c r="E303" s="79"/>
      <c r="F303" s="79"/>
      <c r="G303" s="79"/>
      <c r="H303" s="80"/>
      <c r="I303" s="45" t="s">
        <v>1439</v>
      </c>
      <c r="J303" s="45" t="s">
        <v>1389</v>
      </c>
      <c r="K303" s="46" t="s">
        <v>668</v>
      </c>
      <c r="L303" s="46" t="s">
        <v>1332</v>
      </c>
      <c r="M303" s="81">
        <f>IFERROR(VLOOKUP($L303,[3]Consolidated!$C$9:$AC$452,27,0),0)</f>
        <v>1843000</v>
      </c>
      <c r="N303" s="81">
        <f>IFERROR(VLOOKUP($L303,[3]Consolidated!$C$9:$AC$452,5,0),0)</f>
        <v>10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4">
        <f>(VLOOKUP($O$2,[4]Prices!$E$3:$K$17,2,FALSE)*O303)+(VLOOKUP($P$2,[4]Prices!$J$3:$K$17,2,FALSE)*P303)+(VLOOKUP($Q$2,[4]Prices!$J$3:$K$17,2,FALSE)*Q303)+(VLOOKUP($R$2,[4]Prices!$J$3:$K$17,2,FALSE)*R303)+(VLOOKUP($S$2,[4]Prices!$J$3:$K$17,2,FALSE)*S303)+(VLOOKUP($T$2,[4]Prices!$J$3:$K$17,2,FALSE)*T303)+(VLOOKUP($U$2,[4]Prices!$J$3:$K$17,2,FALSE)*U303)+(VLOOKUP($V$2,[4]Prices!$J$3:$K$17,2,FALSE)*V303)+(VLOOKUP($W$2,[4]Prices!$J$3:$K$17,2,FALSE)*W303)+(VLOOKUP($X$2,[4]Prices!$J$3:$K$17,2,FALSE)*X303)+(VLOOKUP($Y$2,[4]Prices!$J$3:$K$17,2,FALSE)*Y303)+(VLOOKUP($Z$2,[4]Prices!$J$3:$K$17,2,FALSE)*Z303)+(VLOOKUP($AA$2,[4]Prices!$J$3:$K$17,2,FALSE)*AA303)+(VLOOKUP($AB$2,[4]Prices!$J$3:$K$17,2,FALSE)*AB303)+M303</f>
        <v>1843000</v>
      </c>
      <c r="AD303" s="18"/>
      <c r="AE303" s="18"/>
      <c r="AF303" s="4">
        <f t="shared" si="16"/>
        <v>0</v>
      </c>
      <c r="AG303" s="4"/>
      <c r="AH303" s="16">
        <f t="shared" si="17"/>
        <v>0</v>
      </c>
      <c r="AI303" s="21">
        <f t="shared" si="18"/>
        <v>0</v>
      </c>
      <c r="AJ303" s="20">
        <f t="shared" si="19"/>
        <v>0</v>
      </c>
      <c r="AK303" s="19"/>
    </row>
    <row r="304" spans="1:37" hidden="1">
      <c r="A304" s="77">
        <v>302</v>
      </c>
      <c r="B304" s="78"/>
      <c r="C304" s="79"/>
      <c r="D304" s="79"/>
      <c r="E304" s="79"/>
      <c r="F304" s="79"/>
      <c r="G304" s="79"/>
      <c r="H304" s="80"/>
      <c r="I304" s="45" t="s">
        <v>804</v>
      </c>
      <c r="J304" s="45" t="s">
        <v>1389</v>
      </c>
      <c r="K304" s="46" t="s">
        <v>668</v>
      </c>
      <c r="L304" s="47" t="s">
        <v>1119</v>
      </c>
      <c r="M304" s="81">
        <f>IFERROR(VLOOKUP($L304,[3]Consolidated!$C$9:$AC$452,27,0),0)</f>
        <v>1843000</v>
      </c>
      <c r="N304" s="81">
        <f>IFERROR(VLOOKUP($L304,[3]Consolidated!$C$9:$AC$452,5,0),0)</f>
        <v>10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4">
        <f>(VLOOKUP($O$2,[4]Prices!$E$3:$K$17,2,FALSE)*O304)+(VLOOKUP($P$2,[4]Prices!$J$3:$K$17,2,FALSE)*P304)+(VLOOKUP($Q$2,[4]Prices!$J$3:$K$17,2,FALSE)*Q304)+(VLOOKUP($R$2,[4]Prices!$J$3:$K$17,2,FALSE)*R304)+(VLOOKUP($S$2,[4]Prices!$J$3:$K$17,2,FALSE)*S304)+(VLOOKUP($T$2,[4]Prices!$J$3:$K$17,2,FALSE)*T304)+(VLOOKUP($U$2,[4]Prices!$J$3:$K$17,2,FALSE)*U304)+(VLOOKUP($V$2,[4]Prices!$J$3:$K$17,2,FALSE)*V304)+(VLOOKUP($W$2,[4]Prices!$J$3:$K$17,2,FALSE)*W304)+(VLOOKUP($X$2,[4]Prices!$J$3:$K$17,2,FALSE)*X304)+(VLOOKUP($Y$2,[4]Prices!$J$3:$K$17,2,FALSE)*Y304)+(VLOOKUP($Z$2,[4]Prices!$J$3:$K$17,2,FALSE)*Z304)+(VLOOKUP($AA$2,[4]Prices!$J$3:$K$17,2,FALSE)*AA304)+(VLOOKUP($AB$2,[4]Prices!$J$3:$K$17,2,FALSE)*AB304)+M304</f>
        <v>1843000</v>
      </c>
      <c r="AD304" s="18"/>
      <c r="AE304" s="18"/>
      <c r="AF304" s="4">
        <f t="shared" si="16"/>
        <v>0</v>
      </c>
      <c r="AG304" s="4"/>
      <c r="AH304" s="16">
        <f t="shared" si="17"/>
        <v>0</v>
      </c>
      <c r="AI304" s="21">
        <f t="shared" si="18"/>
        <v>0</v>
      </c>
      <c r="AJ304" s="20">
        <f t="shared" si="19"/>
        <v>0</v>
      </c>
      <c r="AK304" s="9"/>
    </row>
    <row r="305" spans="1:37" hidden="1">
      <c r="A305" s="77">
        <v>303</v>
      </c>
      <c r="B305" s="78"/>
      <c r="C305" s="79"/>
      <c r="D305" s="79"/>
      <c r="E305" s="79"/>
      <c r="F305" s="79"/>
      <c r="G305" s="79"/>
      <c r="H305" s="80"/>
      <c r="I305" s="45" t="s">
        <v>1440</v>
      </c>
      <c r="J305" s="45" t="s">
        <v>1389</v>
      </c>
      <c r="K305" s="46" t="s">
        <v>1402</v>
      </c>
      <c r="L305" s="47" t="s">
        <v>1405</v>
      </c>
      <c r="M305" s="81">
        <f>IFERROR(VLOOKUP($L305,[3]Consolidated!$C$9:$AC$452,27,0),0)</f>
        <v>1843000</v>
      </c>
      <c r="N305" s="81">
        <f>IFERROR(VLOOKUP($L305,[3]Consolidated!$C$9:$AC$452,5,0),0)</f>
        <v>10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4">
        <f>(VLOOKUP($O$2,[4]Prices!$E$3:$K$17,2,FALSE)*O305)+(VLOOKUP($P$2,[4]Prices!$J$3:$K$17,2,FALSE)*P305)+(VLOOKUP($Q$2,[4]Prices!$J$3:$K$17,2,FALSE)*Q305)+(VLOOKUP($R$2,[4]Prices!$J$3:$K$17,2,FALSE)*R305)+(VLOOKUP($S$2,[4]Prices!$J$3:$K$17,2,FALSE)*S305)+(VLOOKUP($T$2,[4]Prices!$J$3:$K$17,2,FALSE)*T305)+(VLOOKUP($U$2,[4]Prices!$J$3:$K$17,2,FALSE)*U305)+(VLOOKUP($V$2,[4]Prices!$J$3:$K$17,2,FALSE)*V305)+(VLOOKUP($W$2,[4]Prices!$J$3:$K$17,2,FALSE)*W305)+(VLOOKUP($X$2,[4]Prices!$J$3:$K$17,2,FALSE)*X305)+(VLOOKUP($Y$2,[4]Prices!$J$3:$K$17,2,FALSE)*Y305)+(VLOOKUP($Z$2,[4]Prices!$J$3:$K$17,2,FALSE)*Z305)+(VLOOKUP($AA$2,[4]Prices!$J$3:$K$17,2,FALSE)*AA305)+(VLOOKUP($AB$2,[4]Prices!$J$3:$K$17,2,FALSE)*AB305)+M305</f>
        <v>1843000</v>
      </c>
      <c r="AD305" s="18"/>
      <c r="AE305" s="18"/>
      <c r="AF305" s="4">
        <f t="shared" si="16"/>
        <v>0</v>
      </c>
      <c r="AG305" s="4"/>
      <c r="AH305" s="16">
        <f t="shared" si="17"/>
        <v>0</v>
      </c>
      <c r="AI305" s="21">
        <f t="shared" si="18"/>
        <v>0</v>
      </c>
      <c r="AJ305" s="20">
        <f t="shared" si="19"/>
        <v>0</v>
      </c>
      <c r="AK305" s="9"/>
    </row>
    <row r="306" spans="1:37" hidden="1">
      <c r="A306" s="77">
        <v>304</v>
      </c>
      <c r="B306" s="78"/>
      <c r="C306" s="79"/>
      <c r="D306" s="79"/>
      <c r="E306" s="79"/>
      <c r="F306" s="79"/>
      <c r="G306" s="79"/>
      <c r="H306" s="80"/>
      <c r="I306" s="45" t="s">
        <v>810</v>
      </c>
      <c r="J306" s="45" t="s">
        <v>1389</v>
      </c>
      <c r="K306" s="46" t="s">
        <v>668</v>
      </c>
      <c r="L306" s="47" t="s">
        <v>1125</v>
      </c>
      <c r="M306" s="81">
        <f>IFERROR(VLOOKUP($L306,[3]Consolidated!$C$9:$AC$452,27,0),0)</f>
        <v>1843000</v>
      </c>
      <c r="N306" s="81">
        <f>IFERROR(VLOOKUP($L306,[3]Consolidated!$C$9:$AC$452,5,0),0)</f>
        <v>10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4">
        <f>(VLOOKUP($O$2,[4]Prices!$E$3:$K$17,2,FALSE)*O306)+(VLOOKUP($P$2,[4]Prices!$J$3:$K$17,2,FALSE)*P306)+(VLOOKUP($Q$2,[4]Prices!$J$3:$K$17,2,FALSE)*Q306)+(VLOOKUP($R$2,[4]Prices!$J$3:$K$17,2,FALSE)*R306)+(VLOOKUP($S$2,[4]Prices!$J$3:$K$17,2,FALSE)*S306)+(VLOOKUP($T$2,[4]Prices!$J$3:$K$17,2,FALSE)*T306)+(VLOOKUP($U$2,[4]Prices!$J$3:$K$17,2,FALSE)*U306)+(VLOOKUP($V$2,[4]Prices!$J$3:$K$17,2,FALSE)*V306)+(VLOOKUP($W$2,[4]Prices!$J$3:$K$17,2,FALSE)*W306)+(VLOOKUP($X$2,[4]Prices!$J$3:$K$17,2,FALSE)*X306)+(VLOOKUP($Y$2,[4]Prices!$J$3:$K$17,2,FALSE)*Y306)+(VLOOKUP($Z$2,[4]Prices!$J$3:$K$17,2,FALSE)*Z306)+(VLOOKUP($AA$2,[4]Prices!$J$3:$K$17,2,FALSE)*AA306)+(VLOOKUP($AB$2,[4]Prices!$J$3:$K$17,2,FALSE)*AB306)+M306</f>
        <v>1843000</v>
      </c>
      <c r="AD306" s="18"/>
      <c r="AE306" s="18"/>
      <c r="AF306" s="4">
        <f t="shared" si="16"/>
        <v>0</v>
      </c>
      <c r="AG306" s="4"/>
      <c r="AH306" s="16">
        <f t="shared" si="17"/>
        <v>0</v>
      </c>
      <c r="AI306" s="21">
        <f t="shared" si="18"/>
        <v>0</v>
      </c>
      <c r="AJ306" s="20">
        <f t="shared" si="19"/>
        <v>0</v>
      </c>
      <c r="AK306" s="9"/>
    </row>
    <row r="307" spans="1:37" hidden="1">
      <c r="A307" s="77">
        <v>305</v>
      </c>
      <c r="B307" s="78"/>
      <c r="C307" s="79"/>
      <c r="D307" s="79"/>
      <c r="E307" s="79"/>
      <c r="F307" s="79"/>
      <c r="G307" s="79"/>
      <c r="H307" s="80"/>
      <c r="I307" s="45" t="s">
        <v>814</v>
      </c>
      <c r="J307" s="45" t="s">
        <v>1389</v>
      </c>
      <c r="K307" s="46" t="s">
        <v>668</v>
      </c>
      <c r="L307" s="47" t="s">
        <v>1129</v>
      </c>
      <c r="M307" s="81">
        <f>IFERROR(VLOOKUP($L307,[3]Consolidated!$C$9:$AC$452,27,0),0)</f>
        <v>2779500</v>
      </c>
      <c r="N307" s="81">
        <f>IFERROR(VLOOKUP($L307,[3]Consolidated!$C$9:$AC$452,5,0),0)</f>
        <v>15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4">
        <f>(VLOOKUP($O$2,[4]Prices!$E$3:$K$17,2,FALSE)*O307)+(VLOOKUP($P$2,[4]Prices!$J$3:$K$17,2,FALSE)*P307)+(VLOOKUP($Q$2,[4]Prices!$J$3:$K$17,2,FALSE)*Q307)+(VLOOKUP($R$2,[4]Prices!$J$3:$K$17,2,FALSE)*R307)+(VLOOKUP($S$2,[4]Prices!$J$3:$K$17,2,FALSE)*S307)+(VLOOKUP($T$2,[4]Prices!$J$3:$K$17,2,FALSE)*T307)+(VLOOKUP($U$2,[4]Prices!$J$3:$K$17,2,FALSE)*U307)+(VLOOKUP($V$2,[4]Prices!$J$3:$K$17,2,FALSE)*V307)+(VLOOKUP($W$2,[4]Prices!$J$3:$K$17,2,FALSE)*W307)+(VLOOKUP($X$2,[4]Prices!$J$3:$K$17,2,FALSE)*X307)+(VLOOKUP($Y$2,[4]Prices!$J$3:$K$17,2,FALSE)*Y307)+(VLOOKUP($Z$2,[4]Prices!$J$3:$K$17,2,FALSE)*Z307)+(VLOOKUP($AA$2,[4]Prices!$J$3:$K$17,2,FALSE)*AA307)+(VLOOKUP($AB$2,[4]Prices!$J$3:$K$17,2,FALSE)*AB307)+M307</f>
        <v>2779500</v>
      </c>
      <c r="AD307" s="18"/>
      <c r="AE307" s="18"/>
      <c r="AF307" s="4">
        <f t="shared" si="16"/>
        <v>0</v>
      </c>
      <c r="AG307" s="4"/>
      <c r="AH307" s="16">
        <f t="shared" si="17"/>
        <v>0</v>
      </c>
      <c r="AI307" s="21">
        <f t="shared" si="18"/>
        <v>0</v>
      </c>
      <c r="AJ307" s="20">
        <f t="shared" si="19"/>
        <v>0</v>
      </c>
      <c r="AK307" s="9"/>
    </row>
    <row r="308" spans="1:37" hidden="1">
      <c r="A308" s="77">
        <v>306</v>
      </c>
      <c r="B308" s="78"/>
      <c r="C308" s="79"/>
      <c r="D308" s="79"/>
      <c r="E308" s="79"/>
      <c r="F308" s="79"/>
      <c r="G308" s="79"/>
      <c r="H308" s="80"/>
      <c r="I308" s="45" t="s">
        <v>775</v>
      </c>
      <c r="J308" s="45" t="s">
        <v>1389</v>
      </c>
      <c r="K308" s="46" t="s">
        <v>1402</v>
      </c>
      <c r="L308" s="47" t="s">
        <v>1078</v>
      </c>
      <c r="M308" s="81">
        <f>IFERROR(VLOOKUP($L308,[3]Consolidated!$C$9:$AC$452,27,0),0)</f>
        <v>13291000</v>
      </c>
      <c r="N308" s="81">
        <f>IFERROR(VLOOKUP($L308,[3]Consolidated!$C$9:$AC$452,5,0),0)</f>
        <v>100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4">
        <f>(VLOOKUP($O$2,[4]Prices!$E$3:$K$17,2,FALSE)*O308)+(VLOOKUP($P$2,[4]Prices!$J$3:$K$17,2,FALSE)*P308)+(VLOOKUP($Q$2,[4]Prices!$J$3:$K$17,2,FALSE)*Q308)+(VLOOKUP($R$2,[4]Prices!$J$3:$K$17,2,FALSE)*R308)+(VLOOKUP($S$2,[4]Prices!$J$3:$K$17,2,FALSE)*S308)+(VLOOKUP($T$2,[4]Prices!$J$3:$K$17,2,FALSE)*T308)+(VLOOKUP($U$2,[4]Prices!$J$3:$K$17,2,FALSE)*U308)+(VLOOKUP($V$2,[4]Prices!$J$3:$K$17,2,FALSE)*V308)+(VLOOKUP($W$2,[4]Prices!$J$3:$K$17,2,FALSE)*W308)+(VLOOKUP($X$2,[4]Prices!$J$3:$K$17,2,FALSE)*X308)+(VLOOKUP($Y$2,[4]Prices!$J$3:$K$17,2,FALSE)*Y308)+(VLOOKUP($Z$2,[4]Prices!$J$3:$K$17,2,FALSE)*Z308)+(VLOOKUP($AA$2,[4]Prices!$J$3:$K$17,2,FALSE)*AA308)+(VLOOKUP($AB$2,[4]Prices!$J$3:$K$17,2,FALSE)*AB308)+M308</f>
        <v>13291000</v>
      </c>
      <c r="AD308" s="18"/>
      <c r="AE308" s="18"/>
      <c r="AF308" s="4">
        <f t="shared" si="16"/>
        <v>0</v>
      </c>
      <c r="AG308" s="4"/>
      <c r="AH308" s="16">
        <f t="shared" si="17"/>
        <v>0</v>
      </c>
      <c r="AI308" s="21">
        <f t="shared" si="18"/>
        <v>0</v>
      </c>
      <c r="AJ308" s="20">
        <f t="shared" si="19"/>
        <v>0</v>
      </c>
      <c r="AK308" s="9"/>
    </row>
    <row r="309" spans="1:37" hidden="1">
      <c r="A309" s="77">
        <v>307</v>
      </c>
      <c r="B309" s="78"/>
      <c r="C309" s="79"/>
      <c r="D309" s="79"/>
      <c r="E309" s="79"/>
      <c r="F309" s="79"/>
      <c r="G309" s="79"/>
      <c r="H309" s="80"/>
      <c r="I309" s="45" t="s">
        <v>773</v>
      </c>
      <c r="J309" s="45" t="s">
        <v>1389</v>
      </c>
      <c r="K309" s="46" t="s">
        <v>1402</v>
      </c>
      <c r="L309" s="47" t="s">
        <v>1077</v>
      </c>
      <c r="M309" s="81">
        <f>IFERROR(VLOOKUP($L309,[3]Consolidated!$C$9:$AC$452,27,0),0)</f>
        <v>4906500</v>
      </c>
      <c r="N309" s="81">
        <f>IFERROR(VLOOKUP($L309,[3]Consolidated!$C$9:$AC$452,5,0),0)</f>
        <v>35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4">
        <f>(VLOOKUP($O$2,[4]Prices!$E$3:$K$17,2,FALSE)*O309)+(VLOOKUP($P$2,[4]Prices!$J$3:$K$17,2,FALSE)*P309)+(VLOOKUP($Q$2,[4]Prices!$J$3:$K$17,2,FALSE)*Q309)+(VLOOKUP($R$2,[4]Prices!$J$3:$K$17,2,FALSE)*R309)+(VLOOKUP($S$2,[4]Prices!$J$3:$K$17,2,FALSE)*S309)+(VLOOKUP($T$2,[4]Prices!$J$3:$K$17,2,FALSE)*T309)+(VLOOKUP($U$2,[4]Prices!$J$3:$K$17,2,FALSE)*U309)+(VLOOKUP($V$2,[4]Prices!$J$3:$K$17,2,FALSE)*V309)+(VLOOKUP($W$2,[4]Prices!$J$3:$K$17,2,FALSE)*W309)+(VLOOKUP($X$2,[4]Prices!$J$3:$K$17,2,FALSE)*X309)+(VLOOKUP($Y$2,[4]Prices!$J$3:$K$17,2,FALSE)*Y309)+(VLOOKUP($Z$2,[4]Prices!$J$3:$K$17,2,FALSE)*Z309)+(VLOOKUP($AA$2,[4]Prices!$J$3:$K$17,2,FALSE)*AA309)+(VLOOKUP($AB$2,[4]Prices!$J$3:$K$17,2,FALSE)*AB309)+M309</f>
        <v>4906500</v>
      </c>
      <c r="AD309" s="18"/>
      <c r="AE309" s="18"/>
      <c r="AF309" s="4">
        <f t="shared" si="16"/>
        <v>0</v>
      </c>
      <c r="AG309" s="4"/>
      <c r="AH309" s="16">
        <f t="shared" si="17"/>
        <v>0</v>
      </c>
      <c r="AI309" s="21">
        <f t="shared" si="18"/>
        <v>0</v>
      </c>
      <c r="AJ309" s="20">
        <f t="shared" si="19"/>
        <v>0</v>
      </c>
      <c r="AK309" s="9"/>
    </row>
    <row r="310" spans="1:37" hidden="1">
      <c r="A310" s="77">
        <v>308</v>
      </c>
      <c r="B310" s="78"/>
      <c r="C310" s="79"/>
      <c r="D310" s="79"/>
      <c r="E310" s="79"/>
      <c r="F310" s="79"/>
      <c r="G310" s="79"/>
      <c r="H310" s="80"/>
      <c r="I310" s="45" t="s">
        <v>774</v>
      </c>
      <c r="J310" s="45" t="s">
        <v>1389</v>
      </c>
      <c r="K310" s="46" t="s">
        <v>1402</v>
      </c>
      <c r="L310" s="47" t="s">
        <v>1076</v>
      </c>
      <c r="M310" s="81">
        <f>IFERROR(VLOOKUP($L310,[3]Consolidated!$C$9:$AC$452,27,0),0)</f>
        <v>5154500</v>
      </c>
      <c r="N310" s="81">
        <f>IFERROR(VLOOKUP($L310,[3]Consolidated!$C$9:$AC$452,5,0),0)</f>
        <v>35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4">
        <f>(VLOOKUP($O$2,[4]Prices!$E$3:$K$17,2,FALSE)*O310)+(VLOOKUP($P$2,[4]Prices!$J$3:$K$17,2,FALSE)*P310)+(VLOOKUP($Q$2,[4]Prices!$J$3:$K$17,2,FALSE)*Q310)+(VLOOKUP($R$2,[4]Prices!$J$3:$K$17,2,FALSE)*R310)+(VLOOKUP($S$2,[4]Prices!$J$3:$K$17,2,FALSE)*S310)+(VLOOKUP($T$2,[4]Prices!$J$3:$K$17,2,FALSE)*T310)+(VLOOKUP($U$2,[4]Prices!$J$3:$K$17,2,FALSE)*U310)+(VLOOKUP($V$2,[4]Prices!$J$3:$K$17,2,FALSE)*V310)+(VLOOKUP($W$2,[4]Prices!$J$3:$K$17,2,FALSE)*W310)+(VLOOKUP($X$2,[4]Prices!$J$3:$K$17,2,FALSE)*X310)+(VLOOKUP($Y$2,[4]Prices!$J$3:$K$17,2,FALSE)*Y310)+(VLOOKUP($Z$2,[4]Prices!$J$3:$K$17,2,FALSE)*Z310)+(VLOOKUP($AA$2,[4]Prices!$J$3:$K$17,2,FALSE)*AA310)+(VLOOKUP($AB$2,[4]Prices!$J$3:$K$17,2,FALSE)*AB310)+M310</f>
        <v>5154500</v>
      </c>
      <c r="AD310" s="18"/>
      <c r="AE310" s="18"/>
      <c r="AF310" s="4">
        <f t="shared" si="16"/>
        <v>0</v>
      </c>
      <c r="AG310" s="4"/>
      <c r="AH310" s="16">
        <f t="shared" si="17"/>
        <v>0</v>
      </c>
      <c r="AI310" s="21">
        <f t="shared" si="18"/>
        <v>0</v>
      </c>
      <c r="AJ310" s="20">
        <f t="shared" si="19"/>
        <v>0</v>
      </c>
      <c r="AK310" s="9"/>
    </row>
    <row r="311" spans="1:37" hidden="1">
      <c r="A311" s="77">
        <v>309</v>
      </c>
      <c r="B311" s="78"/>
      <c r="C311" s="79"/>
      <c r="D311" s="79"/>
      <c r="E311" s="79"/>
      <c r="F311" s="79"/>
      <c r="G311" s="79"/>
      <c r="H311" s="80"/>
      <c r="I311" s="45" t="s">
        <v>772</v>
      </c>
      <c r="J311" s="45" t="s">
        <v>1389</v>
      </c>
      <c r="K311" s="46" t="s">
        <v>1402</v>
      </c>
      <c r="L311" s="47" t="s">
        <v>1075</v>
      </c>
      <c r="M311" s="81">
        <f>IFERROR(VLOOKUP($L311,[3]Consolidated!$C$9:$AC$452,27,0),0)</f>
        <v>4844500</v>
      </c>
      <c r="N311" s="81">
        <f>IFERROR(VLOOKUP($L311,[3]Consolidated!$C$9:$AC$452,5,0),0)</f>
        <v>35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4">
        <f>(VLOOKUP($O$2,[4]Prices!$E$3:$K$17,2,FALSE)*O311)+(VLOOKUP($P$2,[4]Prices!$J$3:$K$17,2,FALSE)*P311)+(VLOOKUP($Q$2,[4]Prices!$J$3:$K$17,2,FALSE)*Q311)+(VLOOKUP($R$2,[4]Prices!$J$3:$K$17,2,FALSE)*R311)+(VLOOKUP($S$2,[4]Prices!$J$3:$K$17,2,FALSE)*S311)+(VLOOKUP($T$2,[4]Prices!$J$3:$K$17,2,FALSE)*T311)+(VLOOKUP($U$2,[4]Prices!$J$3:$K$17,2,FALSE)*U311)+(VLOOKUP($V$2,[4]Prices!$J$3:$K$17,2,FALSE)*V311)+(VLOOKUP($W$2,[4]Prices!$J$3:$K$17,2,FALSE)*W311)+(VLOOKUP($X$2,[4]Prices!$J$3:$K$17,2,FALSE)*X311)+(VLOOKUP($Y$2,[4]Prices!$J$3:$K$17,2,FALSE)*Y311)+(VLOOKUP($Z$2,[4]Prices!$J$3:$K$17,2,FALSE)*Z311)+(VLOOKUP($AA$2,[4]Prices!$J$3:$K$17,2,FALSE)*AA311)+(VLOOKUP($AB$2,[4]Prices!$J$3:$K$17,2,FALSE)*AB311)+M311</f>
        <v>4844500</v>
      </c>
      <c r="AD311" s="18"/>
      <c r="AE311" s="18"/>
      <c r="AF311" s="4">
        <f t="shared" si="16"/>
        <v>0</v>
      </c>
      <c r="AG311" s="4"/>
      <c r="AH311" s="16">
        <f t="shared" si="17"/>
        <v>0</v>
      </c>
      <c r="AI311" s="21">
        <f t="shared" si="18"/>
        <v>0</v>
      </c>
      <c r="AJ311" s="20">
        <f t="shared" si="19"/>
        <v>0</v>
      </c>
      <c r="AK311" s="9"/>
    </row>
    <row r="312" spans="1:37" hidden="1">
      <c r="A312" s="77">
        <v>310</v>
      </c>
      <c r="B312" s="78"/>
      <c r="C312" s="79"/>
      <c r="D312" s="79"/>
      <c r="E312" s="79"/>
      <c r="F312" s="79"/>
      <c r="G312" s="79"/>
      <c r="H312" s="80"/>
      <c r="I312" s="45" t="s">
        <v>1441</v>
      </c>
      <c r="J312" s="45" t="s">
        <v>1389</v>
      </c>
      <c r="K312" s="46" t="s">
        <v>1402</v>
      </c>
      <c r="L312" s="47" t="s">
        <v>1068</v>
      </c>
      <c r="M312" s="81">
        <f>IFERROR(VLOOKUP($L312,[3]Consolidated!$C$9:$AC$452,27,0),0)</f>
        <v>4755500</v>
      </c>
      <c r="N312" s="81">
        <f>IFERROR(VLOOKUP($L312,[3]Consolidated!$C$9:$AC$452,5,0),0)</f>
        <v>35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4">
        <f>(VLOOKUP($O$2,[4]Prices!$E$3:$K$17,2,FALSE)*O312)+(VLOOKUP($P$2,[4]Prices!$J$3:$K$17,2,FALSE)*P312)+(VLOOKUP($Q$2,[4]Prices!$J$3:$K$17,2,FALSE)*Q312)+(VLOOKUP($R$2,[4]Prices!$J$3:$K$17,2,FALSE)*R312)+(VLOOKUP($S$2,[4]Prices!$J$3:$K$17,2,FALSE)*S312)+(VLOOKUP($T$2,[4]Prices!$J$3:$K$17,2,FALSE)*T312)+(VLOOKUP($U$2,[4]Prices!$J$3:$K$17,2,FALSE)*U312)+(VLOOKUP($V$2,[4]Prices!$J$3:$K$17,2,FALSE)*V312)+(VLOOKUP($W$2,[4]Prices!$J$3:$K$17,2,FALSE)*W312)+(VLOOKUP($X$2,[4]Prices!$J$3:$K$17,2,FALSE)*X312)+(VLOOKUP($Y$2,[4]Prices!$J$3:$K$17,2,FALSE)*Y312)+(VLOOKUP($Z$2,[4]Prices!$J$3:$K$17,2,FALSE)*Z312)+(VLOOKUP($AA$2,[4]Prices!$J$3:$K$17,2,FALSE)*AA312)+(VLOOKUP($AB$2,[4]Prices!$J$3:$K$17,2,FALSE)*AB312)+M312</f>
        <v>4755500</v>
      </c>
      <c r="AD312" s="18"/>
      <c r="AE312" s="18"/>
      <c r="AF312" s="4">
        <f t="shared" si="16"/>
        <v>0</v>
      </c>
      <c r="AG312" s="4"/>
      <c r="AH312" s="16">
        <f t="shared" si="17"/>
        <v>0</v>
      </c>
      <c r="AI312" s="21">
        <f t="shared" si="18"/>
        <v>0</v>
      </c>
      <c r="AJ312" s="20">
        <f t="shared" si="19"/>
        <v>0</v>
      </c>
      <c r="AK312" s="19"/>
    </row>
    <row r="313" spans="1:37" hidden="1">
      <c r="A313" s="77">
        <v>311</v>
      </c>
      <c r="B313" s="78"/>
      <c r="C313" s="79"/>
      <c r="D313" s="79"/>
      <c r="E313" s="79"/>
      <c r="F313" s="79"/>
      <c r="G313" s="79"/>
      <c r="H313" s="80"/>
      <c r="I313" s="45" t="s">
        <v>1442</v>
      </c>
      <c r="J313" s="45" t="s">
        <v>1389</v>
      </c>
      <c r="K313" s="46" t="s">
        <v>1402</v>
      </c>
      <c r="L313" s="47" t="s">
        <v>1079</v>
      </c>
      <c r="M313" s="81">
        <f>IFERROR(VLOOKUP($L313,[3]Consolidated!$C$9:$AC$452,27,0),0)</f>
        <v>1517500</v>
      </c>
      <c r="N313" s="81">
        <f>IFERROR(VLOOKUP($L313,[3]Consolidated!$C$9:$AC$452,5,0),0)</f>
        <v>10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4">
        <f>(VLOOKUP($O$2,[4]Prices!$E$3:$K$17,2,FALSE)*O313)+(VLOOKUP($P$2,[4]Prices!$J$3:$K$17,2,FALSE)*P313)+(VLOOKUP($Q$2,[4]Prices!$J$3:$K$17,2,FALSE)*Q313)+(VLOOKUP($R$2,[4]Prices!$J$3:$K$17,2,FALSE)*R313)+(VLOOKUP($S$2,[4]Prices!$J$3:$K$17,2,FALSE)*S313)+(VLOOKUP($T$2,[4]Prices!$J$3:$K$17,2,FALSE)*T313)+(VLOOKUP($U$2,[4]Prices!$J$3:$K$17,2,FALSE)*U313)+(VLOOKUP($V$2,[4]Prices!$J$3:$K$17,2,FALSE)*V313)+(VLOOKUP($W$2,[4]Prices!$J$3:$K$17,2,FALSE)*W313)+(VLOOKUP($X$2,[4]Prices!$J$3:$K$17,2,FALSE)*X313)+(VLOOKUP($Y$2,[4]Prices!$J$3:$K$17,2,FALSE)*Y313)+(VLOOKUP($Z$2,[4]Prices!$J$3:$K$17,2,FALSE)*Z313)+(VLOOKUP($AA$2,[4]Prices!$J$3:$K$17,2,FALSE)*AA313)+(VLOOKUP($AB$2,[4]Prices!$J$3:$K$17,2,FALSE)*AB313)+M313</f>
        <v>1517500</v>
      </c>
      <c r="AD313" s="18"/>
      <c r="AE313" s="18"/>
      <c r="AF313" s="4">
        <f t="shared" si="16"/>
        <v>0</v>
      </c>
      <c r="AG313" s="4"/>
      <c r="AH313" s="16">
        <f t="shared" si="17"/>
        <v>0</v>
      </c>
      <c r="AI313" s="21">
        <f t="shared" si="18"/>
        <v>0</v>
      </c>
      <c r="AJ313" s="20">
        <f t="shared" si="19"/>
        <v>0</v>
      </c>
      <c r="AK313" s="9"/>
    </row>
    <row r="314" spans="1:37" hidden="1">
      <c r="A314" s="77">
        <v>312</v>
      </c>
      <c r="B314" s="78"/>
      <c r="C314" s="79"/>
      <c r="D314" s="79"/>
      <c r="E314" s="79"/>
      <c r="F314" s="79"/>
      <c r="G314" s="79"/>
      <c r="H314" s="80"/>
      <c r="I314" s="45" t="s">
        <v>1443</v>
      </c>
      <c r="J314" s="45" t="s">
        <v>1389</v>
      </c>
      <c r="K314" s="46" t="s">
        <v>1402</v>
      </c>
      <c r="L314" s="47" t="s">
        <v>1080</v>
      </c>
      <c r="M314" s="81">
        <f>IFERROR(VLOOKUP($L314,[3]Consolidated!$C$9:$AC$452,27,0),0)</f>
        <v>1555000</v>
      </c>
      <c r="N314" s="81">
        <f>IFERROR(VLOOKUP($L314,[3]Consolidated!$C$9:$AC$452,5,0),0)</f>
        <v>10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4">
        <f>(VLOOKUP($O$2,[4]Prices!$E$3:$K$17,2,FALSE)*O314)+(VLOOKUP($P$2,[4]Prices!$J$3:$K$17,2,FALSE)*P314)+(VLOOKUP($Q$2,[4]Prices!$J$3:$K$17,2,FALSE)*Q314)+(VLOOKUP($R$2,[4]Prices!$J$3:$K$17,2,FALSE)*R314)+(VLOOKUP($S$2,[4]Prices!$J$3:$K$17,2,FALSE)*S314)+(VLOOKUP($T$2,[4]Prices!$J$3:$K$17,2,FALSE)*T314)+(VLOOKUP($U$2,[4]Prices!$J$3:$K$17,2,FALSE)*U314)+(VLOOKUP($V$2,[4]Prices!$J$3:$K$17,2,FALSE)*V314)+(VLOOKUP($W$2,[4]Prices!$J$3:$K$17,2,FALSE)*W314)+(VLOOKUP($X$2,[4]Prices!$J$3:$K$17,2,FALSE)*X314)+(VLOOKUP($Y$2,[4]Prices!$J$3:$K$17,2,FALSE)*Y314)+(VLOOKUP($Z$2,[4]Prices!$J$3:$K$17,2,FALSE)*Z314)+(VLOOKUP($AA$2,[4]Prices!$J$3:$K$17,2,FALSE)*AA314)+(VLOOKUP($AB$2,[4]Prices!$J$3:$K$17,2,FALSE)*AB314)+M314</f>
        <v>1555000</v>
      </c>
      <c r="AD314" s="18"/>
      <c r="AE314" s="18"/>
      <c r="AF314" s="4">
        <f t="shared" si="16"/>
        <v>0</v>
      </c>
      <c r="AG314" s="4"/>
      <c r="AH314" s="16">
        <f t="shared" si="17"/>
        <v>0</v>
      </c>
      <c r="AI314" s="21">
        <f t="shared" si="18"/>
        <v>0</v>
      </c>
      <c r="AJ314" s="20">
        <f t="shared" si="19"/>
        <v>0</v>
      </c>
      <c r="AK314" s="9"/>
    </row>
    <row r="315" spans="1:37" hidden="1">
      <c r="A315" s="77">
        <v>313</v>
      </c>
      <c r="B315" s="78"/>
      <c r="C315" s="79"/>
      <c r="D315" s="79"/>
      <c r="E315" s="79"/>
      <c r="F315" s="79"/>
      <c r="G315" s="79"/>
      <c r="H315" s="80"/>
      <c r="I315" s="45" t="s">
        <v>1444</v>
      </c>
      <c r="J315" s="45" t="s">
        <v>1389</v>
      </c>
      <c r="K315" s="46" t="s">
        <v>1402</v>
      </c>
      <c r="L315" s="47" t="s">
        <v>1081</v>
      </c>
      <c r="M315" s="81">
        <f>IFERROR(VLOOKUP($L315,[3]Consolidated!$C$9:$AC$452,27,0),0)</f>
        <v>1564000</v>
      </c>
      <c r="N315" s="81">
        <f>IFERROR(VLOOKUP($L315,[3]Consolidated!$C$9:$AC$452,5,0),0)</f>
        <v>10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4">
        <f>(VLOOKUP($O$2,[4]Prices!$E$3:$K$17,2,FALSE)*O315)+(VLOOKUP($P$2,[4]Prices!$J$3:$K$17,2,FALSE)*P315)+(VLOOKUP($Q$2,[4]Prices!$J$3:$K$17,2,FALSE)*Q315)+(VLOOKUP($R$2,[4]Prices!$J$3:$K$17,2,FALSE)*R315)+(VLOOKUP($S$2,[4]Prices!$J$3:$K$17,2,FALSE)*S315)+(VLOOKUP($T$2,[4]Prices!$J$3:$K$17,2,FALSE)*T315)+(VLOOKUP($U$2,[4]Prices!$J$3:$K$17,2,FALSE)*U315)+(VLOOKUP($V$2,[4]Prices!$J$3:$K$17,2,FALSE)*V315)+(VLOOKUP($W$2,[4]Prices!$J$3:$K$17,2,FALSE)*W315)+(VLOOKUP($X$2,[4]Prices!$J$3:$K$17,2,FALSE)*X315)+(VLOOKUP($Y$2,[4]Prices!$J$3:$K$17,2,FALSE)*Y315)+(VLOOKUP($Z$2,[4]Prices!$J$3:$K$17,2,FALSE)*Z315)+(VLOOKUP($AA$2,[4]Prices!$J$3:$K$17,2,FALSE)*AA315)+(VLOOKUP($AB$2,[4]Prices!$J$3:$K$17,2,FALSE)*AB315)+M315</f>
        <v>1564000</v>
      </c>
      <c r="AD315" s="18"/>
      <c r="AE315" s="18"/>
      <c r="AF315" s="4">
        <f t="shared" si="16"/>
        <v>0</v>
      </c>
      <c r="AG315" s="4"/>
      <c r="AH315" s="16">
        <f t="shared" si="17"/>
        <v>0</v>
      </c>
      <c r="AI315" s="21">
        <f t="shared" si="18"/>
        <v>0</v>
      </c>
      <c r="AJ315" s="20">
        <f t="shared" si="19"/>
        <v>0</v>
      </c>
      <c r="AK315" s="9"/>
    </row>
    <row r="316" spans="1:37" hidden="1">
      <c r="A316" s="77">
        <v>314</v>
      </c>
      <c r="B316" s="78"/>
      <c r="C316" s="79"/>
      <c r="D316" s="79"/>
      <c r="E316" s="79"/>
      <c r="F316" s="79"/>
      <c r="G316" s="79"/>
      <c r="H316" s="80"/>
      <c r="I316" s="45" t="s">
        <v>1445</v>
      </c>
      <c r="J316" s="45" t="s">
        <v>1389</v>
      </c>
      <c r="K316" s="46" t="s">
        <v>1402</v>
      </c>
      <c r="L316" s="47" t="s">
        <v>1406</v>
      </c>
      <c r="M316" s="81">
        <f>IFERROR(VLOOKUP($L316,[3]Consolidated!$C$9:$AC$452,27,0),0)</f>
        <v>1595000</v>
      </c>
      <c r="N316" s="81">
        <f>IFERROR(VLOOKUP($L316,[3]Consolidated!$C$9:$AC$452,5,0),0)</f>
        <v>10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4">
        <f>(VLOOKUP($O$2,[4]Prices!$E$3:$K$17,2,FALSE)*O316)+(VLOOKUP($P$2,[4]Prices!$J$3:$K$17,2,FALSE)*P316)+(VLOOKUP($Q$2,[4]Prices!$J$3:$K$17,2,FALSE)*Q316)+(VLOOKUP($R$2,[4]Prices!$J$3:$K$17,2,FALSE)*R316)+(VLOOKUP($S$2,[4]Prices!$J$3:$K$17,2,FALSE)*S316)+(VLOOKUP($T$2,[4]Prices!$J$3:$K$17,2,FALSE)*T316)+(VLOOKUP($U$2,[4]Prices!$J$3:$K$17,2,FALSE)*U316)+(VLOOKUP($V$2,[4]Prices!$J$3:$K$17,2,FALSE)*V316)+(VLOOKUP($W$2,[4]Prices!$J$3:$K$17,2,FALSE)*W316)+(VLOOKUP($X$2,[4]Prices!$J$3:$K$17,2,FALSE)*X316)+(VLOOKUP($Y$2,[4]Prices!$J$3:$K$17,2,FALSE)*Y316)+(VLOOKUP($Z$2,[4]Prices!$J$3:$K$17,2,FALSE)*Z316)+(VLOOKUP($AA$2,[4]Prices!$J$3:$K$17,2,FALSE)*AA316)+(VLOOKUP($AB$2,[4]Prices!$J$3:$K$17,2,FALSE)*AB316)+M316</f>
        <v>1595000</v>
      </c>
      <c r="AD316" s="18"/>
      <c r="AE316" s="18"/>
      <c r="AF316" s="4">
        <f t="shared" si="16"/>
        <v>0</v>
      </c>
      <c r="AG316" s="4"/>
      <c r="AH316" s="16">
        <f t="shared" si="17"/>
        <v>0</v>
      </c>
      <c r="AI316" s="21">
        <f t="shared" si="18"/>
        <v>0</v>
      </c>
      <c r="AJ316" s="20">
        <f t="shared" si="19"/>
        <v>0</v>
      </c>
      <c r="AK316" s="9"/>
    </row>
    <row r="317" spans="1:37" hidden="1">
      <c r="A317" s="77">
        <v>315</v>
      </c>
      <c r="B317" s="78"/>
      <c r="C317" s="79"/>
      <c r="D317" s="79"/>
      <c r="E317" s="79"/>
      <c r="F317" s="79"/>
      <c r="G317" s="79"/>
      <c r="H317" s="80"/>
      <c r="I317" s="45" t="s">
        <v>779</v>
      </c>
      <c r="J317" s="45" t="s">
        <v>1389</v>
      </c>
      <c r="K317" s="46" t="s">
        <v>1401</v>
      </c>
      <c r="L317" s="47" t="s">
        <v>1094</v>
      </c>
      <c r="M317" s="81">
        <f>IFERROR(VLOOKUP($L317,[3]Consolidated!$C$9:$AC$452,27,0),0)</f>
        <v>1594000</v>
      </c>
      <c r="N317" s="81">
        <f>IFERROR(VLOOKUP($L317,[3]Consolidated!$C$9:$AC$452,5,0),0)</f>
        <v>10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4">
        <f>(VLOOKUP($O$2,[4]Prices!$E$3:$K$17,2,FALSE)*O317)+(VLOOKUP($P$2,[4]Prices!$J$3:$K$17,2,FALSE)*P317)+(VLOOKUP($Q$2,[4]Prices!$J$3:$K$17,2,FALSE)*Q317)+(VLOOKUP($R$2,[4]Prices!$J$3:$K$17,2,FALSE)*R317)+(VLOOKUP($S$2,[4]Prices!$J$3:$K$17,2,FALSE)*S317)+(VLOOKUP($T$2,[4]Prices!$J$3:$K$17,2,FALSE)*T317)+(VLOOKUP($U$2,[4]Prices!$J$3:$K$17,2,FALSE)*U317)+(VLOOKUP($V$2,[4]Prices!$J$3:$K$17,2,FALSE)*V317)+(VLOOKUP($W$2,[4]Prices!$J$3:$K$17,2,FALSE)*W317)+(VLOOKUP($X$2,[4]Prices!$J$3:$K$17,2,FALSE)*X317)+(VLOOKUP($Y$2,[4]Prices!$J$3:$K$17,2,FALSE)*Y317)+(VLOOKUP($Z$2,[4]Prices!$J$3:$K$17,2,FALSE)*Z317)+(VLOOKUP($AA$2,[4]Prices!$J$3:$K$17,2,FALSE)*AA317)+(VLOOKUP($AB$2,[4]Prices!$J$3:$K$17,2,FALSE)*AB317)+M317</f>
        <v>1594000</v>
      </c>
      <c r="AD317" s="18"/>
      <c r="AE317" s="18"/>
      <c r="AF317" s="4">
        <f t="shared" si="16"/>
        <v>0</v>
      </c>
      <c r="AG317" s="4"/>
      <c r="AH317" s="16">
        <f t="shared" si="17"/>
        <v>0</v>
      </c>
      <c r="AI317" s="21">
        <f t="shared" si="18"/>
        <v>0</v>
      </c>
      <c r="AJ317" s="20">
        <f t="shared" si="19"/>
        <v>0</v>
      </c>
      <c r="AK317" s="9"/>
    </row>
    <row r="318" spans="1:37" hidden="1">
      <c r="A318" s="77">
        <v>316</v>
      </c>
      <c r="B318" s="78"/>
      <c r="C318" s="79"/>
      <c r="D318" s="79"/>
      <c r="E318" s="79"/>
      <c r="F318" s="79"/>
      <c r="G318" s="79"/>
      <c r="H318" s="80"/>
      <c r="I318" s="45" t="s">
        <v>783</v>
      </c>
      <c r="J318" s="45" t="s">
        <v>1389</v>
      </c>
      <c r="K318" s="46" t="s">
        <v>1401</v>
      </c>
      <c r="L318" s="47" t="s">
        <v>1098</v>
      </c>
      <c r="M318" s="81">
        <f>IFERROR(VLOOKUP($L318,[3]Consolidated!$C$9:$AC$452,27,0),0)</f>
        <v>3426000</v>
      </c>
      <c r="N318" s="81">
        <f>IFERROR(VLOOKUP($L318,[3]Consolidated!$C$9:$AC$452,5,0),0)</f>
        <v>22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4">
        <f>(VLOOKUP($O$2,[4]Prices!$E$3:$K$17,2,FALSE)*O318)+(VLOOKUP($P$2,[4]Prices!$J$3:$K$17,2,FALSE)*P318)+(VLOOKUP($Q$2,[4]Prices!$J$3:$K$17,2,FALSE)*Q318)+(VLOOKUP($R$2,[4]Prices!$J$3:$K$17,2,FALSE)*R318)+(VLOOKUP($S$2,[4]Prices!$J$3:$K$17,2,FALSE)*S318)+(VLOOKUP($T$2,[4]Prices!$J$3:$K$17,2,FALSE)*T318)+(VLOOKUP($U$2,[4]Prices!$J$3:$K$17,2,FALSE)*U318)+(VLOOKUP($V$2,[4]Prices!$J$3:$K$17,2,FALSE)*V318)+(VLOOKUP($W$2,[4]Prices!$J$3:$K$17,2,FALSE)*W318)+(VLOOKUP($X$2,[4]Prices!$J$3:$K$17,2,FALSE)*X318)+(VLOOKUP($Y$2,[4]Prices!$J$3:$K$17,2,FALSE)*Y318)+(VLOOKUP($Z$2,[4]Prices!$J$3:$K$17,2,FALSE)*Z318)+(VLOOKUP($AA$2,[4]Prices!$J$3:$K$17,2,FALSE)*AA318)+(VLOOKUP($AB$2,[4]Prices!$J$3:$K$17,2,FALSE)*AB318)+M318</f>
        <v>3426000</v>
      </c>
      <c r="AD318" s="18"/>
      <c r="AE318" s="18"/>
      <c r="AF318" s="4">
        <f t="shared" si="16"/>
        <v>0</v>
      </c>
      <c r="AG318" s="4"/>
      <c r="AH318" s="16">
        <f t="shared" si="17"/>
        <v>0</v>
      </c>
      <c r="AI318" s="21">
        <f t="shared" si="18"/>
        <v>0</v>
      </c>
      <c r="AJ318" s="20">
        <f t="shared" si="19"/>
        <v>0</v>
      </c>
      <c r="AK318" s="9"/>
    </row>
    <row r="319" spans="1:37" hidden="1">
      <c r="A319" s="77">
        <v>317</v>
      </c>
      <c r="B319" s="78"/>
      <c r="C319" s="79"/>
      <c r="D319" s="79"/>
      <c r="E319" s="79"/>
      <c r="F319" s="79"/>
      <c r="G319" s="79"/>
      <c r="H319" s="80"/>
      <c r="I319" s="45" t="s">
        <v>1446</v>
      </c>
      <c r="J319" s="45" t="s">
        <v>1389</v>
      </c>
      <c r="K319" s="46" t="s">
        <v>1401</v>
      </c>
      <c r="L319" s="47" t="s">
        <v>1090</v>
      </c>
      <c r="M319" s="81">
        <f>IFERROR(VLOOKUP($L319,[3]Consolidated!$C$9:$AC$452,27,0),0)</f>
        <v>1711000</v>
      </c>
      <c r="N319" s="81">
        <f>IFERROR(VLOOKUP($L319,[3]Consolidated!$C$9:$AC$452,5,0),0)</f>
        <v>10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4">
        <f>(VLOOKUP($O$2,[4]Prices!$E$3:$K$17,2,FALSE)*O319)+(VLOOKUP($P$2,[4]Prices!$J$3:$K$17,2,FALSE)*P319)+(VLOOKUP($Q$2,[4]Prices!$J$3:$K$17,2,FALSE)*Q319)+(VLOOKUP($R$2,[4]Prices!$J$3:$K$17,2,FALSE)*R319)+(VLOOKUP($S$2,[4]Prices!$J$3:$K$17,2,FALSE)*S319)+(VLOOKUP($T$2,[4]Prices!$J$3:$K$17,2,FALSE)*T319)+(VLOOKUP($U$2,[4]Prices!$J$3:$K$17,2,FALSE)*U319)+(VLOOKUP($V$2,[4]Prices!$J$3:$K$17,2,FALSE)*V319)+(VLOOKUP($W$2,[4]Prices!$J$3:$K$17,2,FALSE)*W319)+(VLOOKUP($X$2,[4]Prices!$J$3:$K$17,2,FALSE)*X319)+(VLOOKUP($Y$2,[4]Prices!$J$3:$K$17,2,FALSE)*Y319)+(VLOOKUP($Z$2,[4]Prices!$J$3:$K$17,2,FALSE)*Z319)+(VLOOKUP($AA$2,[4]Prices!$J$3:$K$17,2,FALSE)*AA319)+(VLOOKUP($AB$2,[4]Prices!$J$3:$K$17,2,FALSE)*AB319)+M319</f>
        <v>1711000</v>
      </c>
      <c r="AD319" s="18"/>
      <c r="AE319" s="18"/>
      <c r="AF319" s="4">
        <f t="shared" si="16"/>
        <v>0</v>
      </c>
      <c r="AG319" s="4"/>
      <c r="AH319" s="16">
        <f t="shared" si="17"/>
        <v>0</v>
      </c>
      <c r="AI319" s="21">
        <f t="shared" si="18"/>
        <v>0</v>
      </c>
      <c r="AJ319" s="20">
        <f t="shared" si="19"/>
        <v>0</v>
      </c>
      <c r="AK319" s="9"/>
    </row>
    <row r="320" spans="1:37" hidden="1">
      <c r="A320" s="77">
        <v>318</v>
      </c>
      <c r="B320" s="78"/>
      <c r="C320" s="79"/>
      <c r="D320" s="79"/>
      <c r="E320" s="79"/>
      <c r="F320" s="79"/>
      <c r="G320" s="79"/>
      <c r="H320" s="80"/>
      <c r="I320" s="45" t="s">
        <v>1447</v>
      </c>
      <c r="J320" s="45" t="s">
        <v>1389</v>
      </c>
      <c r="K320" s="46" t="s">
        <v>1401</v>
      </c>
      <c r="L320" s="47" t="s">
        <v>1353</v>
      </c>
      <c r="M320" s="81">
        <f>IFERROR(VLOOKUP($L320,[3]Consolidated!$C$9:$AC$452,27,0),0)</f>
        <v>16015500</v>
      </c>
      <c r="N320" s="81">
        <f>IFERROR(VLOOKUP($L320,[3]Consolidated!$C$9:$AC$452,5,0),0)</f>
        <v>89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4">
        <f>(VLOOKUP($O$2,[4]Prices!$E$3:$K$17,2,FALSE)*O320)+(VLOOKUP($P$2,[4]Prices!$J$3:$K$17,2,FALSE)*P320)+(VLOOKUP($Q$2,[4]Prices!$J$3:$K$17,2,FALSE)*Q320)+(VLOOKUP($R$2,[4]Prices!$J$3:$K$17,2,FALSE)*R320)+(VLOOKUP($S$2,[4]Prices!$J$3:$K$17,2,FALSE)*S320)+(VLOOKUP($T$2,[4]Prices!$J$3:$K$17,2,FALSE)*T320)+(VLOOKUP($U$2,[4]Prices!$J$3:$K$17,2,FALSE)*U320)+(VLOOKUP($V$2,[4]Prices!$J$3:$K$17,2,FALSE)*V320)+(VLOOKUP($W$2,[4]Prices!$J$3:$K$17,2,FALSE)*W320)+(VLOOKUP($X$2,[4]Prices!$J$3:$K$17,2,FALSE)*X320)+(VLOOKUP($Y$2,[4]Prices!$J$3:$K$17,2,FALSE)*Y320)+(VLOOKUP($Z$2,[4]Prices!$J$3:$K$17,2,FALSE)*Z320)+(VLOOKUP($AA$2,[4]Prices!$J$3:$K$17,2,FALSE)*AA320)+(VLOOKUP($AB$2,[4]Prices!$J$3:$K$17,2,FALSE)*AB320)+M320</f>
        <v>16015500</v>
      </c>
      <c r="AD320" s="18"/>
      <c r="AE320" s="18"/>
      <c r="AF320" s="4">
        <f t="shared" si="16"/>
        <v>0</v>
      </c>
      <c r="AG320" s="4"/>
      <c r="AH320" s="16">
        <f t="shared" si="17"/>
        <v>0</v>
      </c>
      <c r="AI320" s="21">
        <f t="shared" si="18"/>
        <v>0</v>
      </c>
      <c r="AJ320" s="20">
        <f t="shared" si="19"/>
        <v>0</v>
      </c>
      <c r="AK320" s="9"/>
    </row>
    <row r="321" spans="1:37" hidden="1">
      <c r="A321" s="77">
        <v>319</v>
      </c>
      <c r="B321" s="78"/>
      <c r="C321" s="79"/>
      <c r="D321" s="79"/>
      <c r="E321" s="79"/>
      <c r="F321" s="79"/>
      <c r="G321" s="79"/>
      <c r="H321" s="80"/>
      <c r="I321" s="45" t="s">
        <v>845</v>
      </c>
      <c r="J321" s="45" t="s">
        <v>1390</v>
      </c>
      <c r="K321" s="46" t="s">
        <v>671</v>
      </c>
      <c r="L321" s="46" t="s">
        <v>1184</v>
      </c>
      <c r="M321" s="81">
        <f>IFERROR(VLOOKUP($L321,[3]Consolidated!$C$9:$AC$452,27,0),0)</f>
        <v>7282500</v>
      </c>
      <c r="N321" s="81">
        <f>IFERROR(VLOOKUP($L321,[3]Consolidated!$C$9:$AC$452,5,0),0)</f>
        <v>47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4">
        <f>(VLOOKUP($O$2,[4]Prices!$E$3:$K$17,2,FALSE)*O321)+(VLOOKUP($P$2,[4]Prices!$J$3:$K$17,2,FALSE)*P321)+(VLOOKUP($Q$2,[4]Prices!$J$3:$K$17,2,FALSE)*Q321)+(VLOOKUP($R$2,[4]Prices!$J$3:$K$17,2,FALSE)*R321)+(VLOOKUP($S$2,[4]Prices!$J$3:$K$17,2,FALSE)*S321)+(VLOOKUP($T$2,[4]Prices!$J$3:$K$17,2,FALSE)*T321)+(VLOOKUP($U$2,[4]Prices!$J$3:$K$17,2,FALSE)*U321)+(VLOOKUP($V$2,[4]Prices!$J$3:$K$17,2,FALSE)*V321)+(VLOOKUP($W$2,[4]Prices!$J$3:$K$17,2,FALSE)*W321)+(VLOOKUP($X$2,[4]Prices!$J$3:$K$17,2,FALSE)*X321)+(VLOOKUP($Y$2,[4]Prices!$J$3:$K$17,2,FALSE)*Y321)+(VLOOKUP($Z$2,[4]Prices!$J$3:$K$17,2,FALSE)*Z321)+(VLOOKUP($AA$2,[4]Prices!$J$3:$K$17,2,FALSE)*AA321)+(VLOOKUP($AB$2,[4]Prices!$J$3:$K$17,2,FALSE)*AB321)+M321</f>
        <v>7282500</v>
      </c>
      <c r="AD321" s="18"/>
      <c r="AE321" s="18"/>
      <c r="AF321" s="4">
        <f t="shared" si="16"/>
        <v>0</v>
      </c>
      <c r="AG321" s="4"/>
      <c r="AH321" s="16">
        <f t="shared" si="17"/>
        <v>0</v>
      </c>
      <c r="AI321" s="21">
        <f t="shared" si="18"/>
        <v>0</v>
      </c>
      <c r="AJ321" s="20">
        <f t="shared" si="19"/>
        <v>0</v>
      </c>
      <c r="AK321" s="9"/>
    </row>
    <row r="322" spans="1:37" hidden="1">
      <c r="A322" s="77">
        <v>320</v>
      </c>
      <c r="B322" s="78"/>
      <c r="C322" s="79"/>
      <c r="D322" s="79"/>
      <c r="E322" s="79"/>
      <c r="F322" s="79"/>
      <c r="G322" s="79"/>
      <c r="H322" s="80"/>
      <c r="I322" s="45" t="s">
        <v>850</v>
      </c>
      <c r="J322" s="45" t="s">
        <v>1390</v>
      </c>
      <c r="K322" s="46" t="s">
        <v>671</v>
      </c>
      <c r="L322" s="46" t="s">
        <v>1190</v>
      </c>
      <c r="M322" s="81">
        <f>IFERROR(VLOOKUP($L322,[3]Consolidated!$C$9:$AC$452,27,0),0)</f>
        <v>1545000</v>
      </c>
      <c r="N322" s="81">
        <f>IFERROR(VLOOKUP($L322,[3]Consolidated!$C$9:$AC$452,5,0),0)</f>
        <v>10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4">
        <f>(VLOOKUP($O$2,[4]Prices!$E$3:$K$17,2,FALSE)*O322)+(VLOOKUP($P$2,[4]Prices!$J$3:$K$17,2,FALSE)*P322)+(VLOOKUP($Q$2,[4]Prices!$J$3:$K$17,2,FALSE)*Q322)+(VLOOKUP($R$2,[4]Prices!$J$3:$K$17,2,FALSE)*R322)+(VLOOKUP($S$2,[4]Prices!$J$3:$K$17,2,FALSE)*S322)+(VLOOKUP($T$2,[4]Prices!$J$3:$K$17,2,FALSE)*T322)+(VLOOKUP($U$2,[4]Prices!$J$3:$K$17,2,FALSE)*U322)+(VLOOKUP($V$2,[4]Prices!$J$3:$K$17,2,FALSE)*V322)+(VLOOKUP($W$2,[4]Prices!$J$3:$K$17,2,FALSE)*W322)+(VLOOKUP($X$2,[4]Prices!$J$3:$K$17,2,FALSE)*X322)+(VLOOKUP($Y$2,[4]Prices!$J$3:$K$17,2,FALSE)*Y322)+(VLOOKUP($Z$2,[4]Prices!$J$3:$K$17,2,FALSE)*Z322)+(VLOOKUP($AA$2,[4]Prices!$J$3:$K$17,2,FALSE)*AA322)+(VLOOKUP($AB$2,[4]Prices!$J$3:$K$17,2,FALSE)*AB322)+M322</f>
        <v>1545000</v>
      </c>
      <c r="AD322" s="18"/>
      <c r="AE322" s="18"/>
      <c r="AF322" s="4">
        <f t="shared" si="16"/>
        <v>0</v>
      </c>
      <c r="AG322" s="4"/>
      <c r="AH322" s="16">
        <f t="shared" si="17"/>
        <v>0</v>
      </c>
      <c r="AI322" s="21">
        <f t="shared" si="18"/>
        <v>0</v>
      </c>
      <c r="AJ322" s="20">
        <f t="shared" si="19"/>
        <v>0</v>
      </c>
      <c r="AK322" s="9"/>
    </row>
    <row r="323" spans="1:37" hidden="1">
      <c r="A323" s="77">
        <v>321</v>
      </c>
      <c r="B323" s="78"/>
      <c r="C323" s="79"/>
      <c r="D323" s="79"/>
      <c r="E323" s="79"/>
      <c r="F323" s="79"/>
      <c r="G323" s="79"/>
      <c r="H323" s="80"/>
      <c r="I323" s="45" t="s">
        <v>1448</v>
      </c>
      <c r="J323" s="45" t="s">
        <v>1390</v>
      </c>
      <c r="K323" s="46" t="s">
        <v>671</v>
      </c>
      <c r="L323" s="46" t="s">
        <v>1189</v>
      </c>
      <c r="M323" s="81">
        <f>IFERROR(VLOOKUP($L323,[3]Consolidated!$C$9:$AC$452,27,0),0)</f>
        <v>7494000</v>
      </c>
      <c r="N323" s="81">
        <f>IFERROR(VLOOKUP($L323,[3]Consolidated!$C$9:$AC$452,5,0),0)</f>
        <v>50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4">
        <f>(VLOOKUP($O$2,[4]Prices!$E$3:$K$17,2,FALSE)*O323)+(VLOOKUP($P$2,[4]Prices!$J$3:$K$17,2,FALSE)*P323)+(VLOOKUP($Q$2,[4]Prices!$J$3:$K$17,2,FALSE)*Q323)+(VLOOKUP($R$2,[4]Prices!$J$3:$K$17,2,FALSE)*R323)+(VLOOKUP($S$2,[4]Prices!$J$3:$K$17,2,FALSE)*S323)+(VLOOKUP($T$2,[4]Prices!$J$3:$K$17,2,FALSE)*T323)+(VLOOKUP($U$2,[4]Prices!$J$3:$K$17,2,FALSE)*U323)+(VLOOKUP($V$2,[4]Prices!$J$3:$K$17,2,FALSE)*V323)+(VLOOKUP($W$2,[4]Prices!$J$3:$K$17,2,FALSE)*W323)+(VLOOKUP($X$2,[4]Prices!$J$3:$K$17,2,FALSE)*X323)+(VLOOKUP($Y$2,[4]Prices!$J$3:$K$17,2,FALSE)*Y323)+(VLOOKUP($Z$2,[4]Prices!$J$3:$K$17,2,FALSE)*Z323)+(VLOOKUP($AA$2,[4]Prices!$J$3:$K$17,2,FALSE)*AA323)+(VLOOKUP($AB$2,[4]Prices!$J$3:$K$17,2,FALSE)*AB323)+M323</f>
        <v>7494000</v>
      </c>
      <c r="AD323" s="18"/>
      <c r="AE323" s="18"/>
      <c r="AF323" s="4">
        <f t="shared" ref="AF323:AF386" si="20">AD323-AE323</f>
        <v>0</v>
      </c>
      <c r="AG323" s="4"/>
      <c r="AH323" s="16">
        <f t="shared" si="17"/>
        <v>0</v>
      </c>
      <c r="AI323" s="21">
        <f t="shared" si="18"/>
        <v>0</v>
      </c>
      <c r="AJ323" s="20">
        <f t="shared" si="19"/>
        <v>0</v>
      </c>
      <c r="AK323" s="9"/>
    </row>
    <row r="324" spans="1:37" hidden="1">
      <c r="A324" s="77">
        <v>322</v>
      </c>
      <c r="B324" s="78"/>
      <c r="C324" s="79"/>
      <c r="D324" s="79"/>
      <c r="E324" s="79"/>
      <c r="F324" s="79"/>
      <c r="G324" s="79"/>
      <c r="H324" s="80"/>
      <c r="I324" s="45" t="s">
        <v>841</v>
      </c>
      <c r="J324" s="45" t="s">
        <v>1390</v>
      </c>
      <c r="K324" s="46" t="s">
        <v>671</v>
      </c>
      <c r="L324" s="46" t="s">
        <v>1180</v>
      </c>
      <c r="M324" s="81">
        <f>IFERROR(VLOOKUP($L324,[3]Consolidated!$C$9:$AC$452,27,0),0)</f>
        <v>6114000</v>
      </c>
      <c r="N324" s="81">
        <f>IFERROR(VLOOKUP($L324,[3]Consolidated!$C$9:$AC$452,5,0),0)</f>
        <v>40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4">
        <f>(VLOOKUP($O$2,[4]Prices!$E$3:$K$17,2,FALSE)*O324)+(VLOOKUP($P$2,[4]Prices!$J$3:$K$17,2,FALSE)*P324)+(VLOOKUP($Q$2,[4]Prices!$J$3:$K$17,2,FALSE)*Q324)+(VLOOKUP($R$2,[4]Prices!$J$3:$K$17,2,FALSE)*R324)+(VLOOKUP($S$2,[4]Prices!$J$3:$K$17,2,FALSE)*S324)+(VLOOKUP($T$2,[4]Prices!$J$3:$K$17,2,FALSE)*T324)+(VLOOKUP($U$2,[4]Prices!$J$3:$K$17,2,FALSE)*U324)+(VLOOKUP($V$2,[4]Prices!$J$3:$K$17,2,FALSE)*V324)+(VLOOKUP($W$2,[4]Prices!$J$3:$K$17,2,FALSE)*W324)+(VLOOKUP($X$2,[4]Prices!$J$3:$K$17,2,FALSE)*X324)+(VLOOKUP($Y$2,[4]Prices!$J$3:$K$17,2,FALSE)*Y324)+(VLOOKUP($Z$2,[4]Prices!$J$3:$K$17,2,FALSE)*Z324)+(VLOOKUP($AA$2,[4]Prices!$J$3:$K$17,2,FALSE)*AA324)+(VLOOKUP($AB$2,[4]Prices!$J$3:$K$17,2,FALSE)*AB324)+M324</f>
        <v>6114000</v>
      </c>
      <c r="AD324" s="18"/>
      <c r="AE324" s="18"/>
      <c r="AF324" s="4">
        <f t="shared" si="20"/>
        <v>0</v>
      </c>
      <c r="AG324" s="4"/>
      <c r="AH324" s="16">
        <f t="shared" ref="AH324:AH387" si="21">AD324+AG324</f>
        <v>0</v>
      </c>
      <c r="AI324" s="21">
        <f t="shared" ref="AI324:AI387" si="22">AH324/M324</f>
        <v>0</v>
      </c>
      <c r="AJ324" s="20">
        <f t="shared" si="19"/>
        <v>0</v>
      </c>
      <c r="AK324" s="19"/>
    </row>
    <row r="325" spans="1:37" hidden="1">
      <c r="A325" s="77">
        <v>323</v>
      </c>
      <c r="B325" s="78"/>
      <c r="C325" s="79"/>
      <c r="D325" s="79"/>
      <c r="E325" s="79"/>
      <c r="F325" s="79"/>
      <c r="G325" s="79"/>
      <c r="H325" s="80"/>
      <c r="I325" s="45" t="s">
        <v>1449</v>
      </c>
      <c r="J325" s="45" t="s">
        <v>1390</v>
      </c>
      <c r="K325" s="46" t="s">
        <v>671</v>
      </c>
      <c r="L325" s="47" t="s">
        <v>1179</v>
      </c>
      <c r="M325" s="81">
        <f>IFERROR(VLOOKUP($L325,[3]Consolidated!$C$9:$AC$452,27,0),0)</f>
        <v>4484000</v>
      </c>
      <c r="N325" s="81">
        <f>IFERROR(VLOOKUP($L325,[3]Consolidated!$C$9:$AC$452,5,0),0)</f>
        <v>30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4">
        <f>(VLOOKUP($O$2,[4]Prices!$E$3:$K$17,2,FALSE)*O325)+(VLOOKUP($P$2,[4]Prices!$J$3:$K$17,2,FALSE)*P325)+(VLOOKUP($Q$2,[4]Prices!$J$3:$K$17,2,FALSE)*Q325)+(VLOOKUP($R$2,[4]Prices!$J$3:$K$17,2,FALSE)*R325)+(VLOOKUP($S$2,[4]Prices!$J$3:$K$17,2,FALSE)*S325)+(VLOOKUP($T$2,[4]Prices!$J$3:$K$17,2,FALSE)*T325)+(VLOOKUP($U$2,[4]Prices!$J$3:$K$17,2,FALSE)*U325)+(VLOOKUP($V$2,[4]Prices!$J$3:$K$17,2,FALSE)*V325)+(VLOOKUP($W$2,[4]Prices!$J$3:$K$17,2,FALSE)*W325)+(VLOOKUP($X$2,[4]Prices!$J$3:$K$17,2,FALSE)*X325)+(VLOOKUP($Y$2,[4]Prices!$J$3:$K$17,2,FALSE)*Y325)+(VLOOKUP($Z$2,[4]Prices!$J$3:$K$17,2,FALSE)*Z325)+(VLOOKUP($AA$2,[4]Prices!$J$3:$K$17,2,FALSE)*AA325)+(VLOOKUP($AB$2,[4]Prices!$J$3:$K$17,2,FALSE)*AB325)+M325</f>
        <v>4484000</v>
      </c>
      <c r="AD325" s="18"/>
      <c r="AE325" s="18"/>
      <c r="AF325" s="4">
        <f t="shared" si="20"/>
        <v>0</v>
      </c>
      <c r="AG325" s="4"/>
      <c r="AH325" s="16">
        <f t="shared" si="21"/>
        <v>0</v>
      </c>
      <c r="AI325" s="21">
        <f t="shared" si="22"/>
        <v>0</v>
      </c>
      <c r="AJ325" s="20">
        <f t="shared" ref="AJ325:AJ388" si="23">AH325/AC325</f>
        <v>0</v>
      </c>
      <c r="AK325" s="9"/>
    </row>
    <row r="326" spans="1:37" hidden="1">
      <c r="A326" s="77">
        <v>324</v>
      </c>
      <c r="B326" s="78"/>
      <c r="C326" s="79"/>
      <c r="D326" s="79"/>
      <c r="E326" s="79"/>
      <c r="F326" s="79"/>
      <c r="G326" s="79"/>
      <c r="H326" s="80"/>
      <c r="I326" s="45" t="s">
        <v>1450</v>
      </c>
      <c r="J326" s="45" t="s">
        <v>1390</v>
      </c>
      <c r="K326" s="46" t="s">
        <v>671</v>
      </c>
      <c r="L326" s="47" t="s">
        <v>1191</v>
      </c>
      <c r="M326" s="81">
        <f>IFERROR(VLOOKUP($L326,[3]Consolidated!$C$9:$AC$452,27,0),0)</f>
        <v>2978000</v>
      </c>
      <c r="N326" s="81">
        <f>IFERROR(VLOOKUP($L326,[3]Consolidated!$C$9:$AC$452,5,0),0)</f>
        <v>20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4">
        <f>(VLOOKUP($O$2,[4]Prices!$E$3:$K$17,2,FALSE)*O326)+(VLOOKUP($P$2,[4]Prices!$J$3:$K$17,2,FALSE)*P326)+(VLOOKUP($Q$2,[4]Prices!$J$3:$K$17,2,FALSE)*Q326)+(VLOOKUP($R$2,[4]Prices!$J$3:$K$17,2,FALSE)*R326)+(VLOOKUP($S$2,[4]Prices!$J$3:$K$17,2,FALSE)*S326)+(VLOOKUP($T$2,[4]Prices!$J$3:$K$17,2,FALSE)*T326)+(VLOOKUP($U$2,[4]Prices!$J$3:$K$17,2,FALSE)*U326)+(VLOOKUP($V$2,[4]Prices!$J$3:$K$17,2,FALSE)*V326)+(VLOOKUP($W$2,[4]Prices!$J$3:$K$17,2,FALSE)*W326)+(VLOOKUP($X$2,[4]Prices!$J$3:$K$17,2,FALSE)*X326)+(VLOOKUP($Y$2,[4]Prices!$J$3:$K$17,2,FALSE)*Y326)+(VLOOKUP($Z$2,[4]Prices!$J$3:$K$17,2,FALSE)*Z326)+(VLOOKUP($AA$2,[4]Prices!$J$3:$K$17,2,FALSE)*AA326)+(VLOOKUP($AB$2,[4]Prices!$J$3:$K$17,2,FALSE)*AB326)+M326</f>
        <v>2978000</v>
      </c>
      <c r="AD326" s="18"/>
      <c r="AE326" s="18"/>
      <c r="AF326" s="4">
        <f t="shared" si="20"/>
        <v>0</v>
      </c>
      <c r="AG326" s="4"/>
      <c r="AH326" s="16">
        <f t="shared" si="21"/>
        <v>0</v>
      </c>
      <c r="AI326" s="21">
        <f t="shared" si="22"/>
        <v>0</v>
      </c>
      <c r="AJ326" s="20">
        <f t="shared" si="23"/>
        <v>0</v>
      </c>
      <c r="AK326" s="9"/>
    </row>
    <row r="327" spans="1:37" hidden="1">
      <c r="A327" s="77">
        <v>325</v>
      </c>
      <c r="B327" s="78"/>
      <c r="C327" s="79"/>
      <c r="D327" s="79"/>
      <c r="E327" s="79"/>
      <c r="F327" s="79"/>
      <c r="G327" s="79"/>
      <c r="H327" s="80"/>
      <c r="I327" s="45" t="s">
        <v>830</v>
      </c>
      <c r="J327" s="45" t="s">
        <v>1390</v>
      </c>
      <c r="K327" s="46" t="s">
        <v>670</v>
      </c>
      <c r="L327" s="47" t="s">
        <v>1164</v>
      </c>
      <c r="M327" s="81">
        <f>IFERROR(VLOOKUP($L327,[3]Consolidated!$C$9:$AC$452,27,0),0)</f>
        <v>4378500</v>
      </c>
      <c r="N327" s="81">
        <f>IFERROR(VLOOKUP($L327,[3]Consolidated!$C$9:$AC$452,5,0),0)</f>
        <v>35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4">
        <f>(VLOOKUP($O$2,[4]Prices!$E$3:$K$17,2,FALSE)*O327)+(VLOOKUP($P$2,[4]Prices!$J$3:$K$17,2,FALSE)*P327)+(VLOOKUP($Q$2,[4]Prices!$J$3:$K$17,2,FALSE)*Q327)+(VLOOKUP($R$2,[4]Prices!$J$3:$K$17,2,FALSE)*R327)+(VLOOKUP($S$2,[4]Prices!$J$3:$K$17,2,FALSE)*S327)+(VLOOKUP($T$2,[4]Prices!$J$3:$K$17,2,FALSE)*T327)+(VLOOKUP($U$2,[4]Prices!$J$3:$K$17,2,FALSE)*U327)+(VLOOKUP($V$2,[4]Prices!$J$3:$K$17,2,FALSE)*V327)+(VLOOKUP($W$2,[4]Prices!$J$3:$K$17,2,FALSE)*W327)+(VLOOKUP($X$2,[4]Prices!$J$3:$K$17,2,FALSE)*X327)+(VLOOKUP($Y$2,[4]Prices!$J$3:$K$17,2,FALSE)*Y327)+(VLOOKUP($Z$2,[4]Prices!$J$3:$K$17,2,FALSE)*Z327)+(VLOOKUP($AA$2,[4]Prices!$J$3:$K$17,2,FALSE)*AA327)+(VLOOKUP($AB$2,[4]Prices!$J$3:$K$17,2,FALSE)*AB327)+M327</f>
        <v>4378500</v>
      </c>
      <c r="AD327" s="18"/>
      <c r="AE327" s="18"/>
      <c r="AF327" s="4">
        <f t="shared" si="20"/>
        <v>0</v>
      </c>
      <c r="AG327" s="4"/>
      <c r="AH327" s="16">
        <f t="shared" si="21"/>
        <v>0</v>
      </c>
      <c r="AI327" s="21">
        <f t="shared" si="22"/>
        <v>0</v>
      </c>
      <c r="AJ327" s="20">
        <f t="shared" si="23"/>
        <v>0</v>
      </c>
      <c r="AK327" s="9"/>
    </row>
    <row r="328" spans="1:37" hidden="1">
      <c r="A328" s="77">
        <v>326</v>
      </c>
      <c r="B328" s="78"/>
      <c r="C328" s="79"/>
      <c r="D328" s="79"/>
      <c r="E328" s="79"/>
      <c r="F328" s="79"/>
      <c r="G328" s="79"/>
      <c r="H328" s="80"/>
      <c r="I328" s="45" t="s">
        <v>828</v>
      </c>
      <c r="J328" s="45" t="s">
        <v>1390</v>
      </c>
      <c r="K328" s="46" t="s">
        <v>669</v>
      </c>
      <c r="L328" s="47" t="s">
        <v>1159</v>
      </c>
      <c r="M328" s="81">
        <f>IFERROR(VLOOKUP($L328,[3]Consolidated!$C$9:$AC$452,27,0),0)</f>
        <v>2381500</v>
      </c>
      <c r="N328" s="81">
        <f>IFERROR(VLOOKUP($L328,[3]Consolidated!$C$9:$AC$452,5,0),0)</f>
        <v>15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4">
        <f>(VLOOKUP($O$2,[4]Prices!$E$3:$K$17,2,FALSE)*O328)+(VLOOKUP($P$2,[4]Prices!$J$3:$K$17,2,FALSE)*P328)+(VLOOKUP($Q$2,[4]Prices!$J$3:$K$17,2,FALSE)*Q328)+(VLOOKUP($R$2,[4]Prices!$J$3:$K$17,2,FALSE)*R328)+(VLOOKUP($S$2,[4]Prices!$J$3:$K$17,2,FALSE)*S328)+(VLOOKUP($T$2,[4]Prices!$J$3:$K$17,2,FALSE)*T328)+(VLOOKUP($U$2,[4]Prices!$J$3:$K$17,2,FALSE)*U328)+(VLOOKUP($V$2,[4]Prices!$J$3:$K$17,2,FALSE)*V328)+(VLOOKUP($W$2,[4]Prices!$J$3:$K$17,2,FALSE)*W328)+(VLOOKUP($X$2,[4]Prices!$J$3:$K$17,2,FALSE)*X328)+(VLOOKUP($Y$2,[4]Prices!$J$3:$K$17,2,FALSE)*Y328)+(VLOOKUP($Z$2,[4]Prices!$J$3:$K$17,2,FALSE)*Z328)+(VLOOKUP($AA$2,[4]Prices!$J$3:$K$17,2,FALSE)*AA328)+(VLOOKUP($AB$2,[4]Prices!$J$3:$K$17,2,FALSE)*AB328)+M328</f>
        <v>2381500</v>
      </c>
      <c r="AD328" s="18"/>
      <c r="AE328" s="18"/>
      <c r="AF328" s="4">
        <f t="shared" si="20"/>
        <v>0</v>
      </c>
      <c r="AG328" s="4"/>
      <c r="AH328" s="16">
        <f t="shared" si="21"/>
        <v>0</v>
      </c>
      <c r="AI328" s="21">
        <f t="shared" si="22"/>
        <v>0</v>
      </c>
      <c r="AJ328" s="20">
        <f t="shared" si="23"/>
        <v>0</v>
      </c>
      <c r="AK328" s="9"/>
    </row>
    <row r="329" spans="1:37" hidden="1">
      <c r="A329" s="77">
        <v>327</v>
      </c>
      <c r="B329" s="78"/>
      <c r="C329" s="79"/>
      <c r="D329" s="79"/>
      <c r="E329" s="79"/>
      <c r="F329" s="79"/>
      <c r="G329" s="79"/>
      <c r="H329" s="80"/>
      <c r="I329" s="45" t="s">
        <v>833</v>
      </c>
      <c r="J329" s="45" t="s">
        <v>1390</v>
      </c>
      <c r="K329" s="46" t="s">
        <v>670</v>
      </c>
      <c r="L329" s="47" t="s">
        <v>1167</v>
      </c>
      <c r="M329" s="81">
        <f>IFERROR(VLOOKUP($L329,[3]Consolidated!$C$9:$AC$452,27,0),0)</f>
        <v>4378500</v>
      </c>
      <c r="N329" s="81">
        <f>IFERROR(VLOOKUP($L329,[3]Consolidated!$C$9:$AC$452,5,0),0)</f>
        <v>35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4">
        <f>(VLOOKUP($O$2,[4]Prices!$E$3:$K$17,2,FALSE)*O329)+(VLOOKUP($P$2,[4]Prices!$J$3:$K$17,2,FALSE)*P329)+(VLOOKUP($Q$2,[4]Prices!$J$3:$K$17,2,FALSE)*Q329)+(VLOOKUP($R$2,[4]Prices!$J$3:$K$17,2,FALSE)*R329)+(VLOOKUP($S$2,[4]Prices!$J$3:$K$17,2,FALSE)*S329)+(VLOOKUP($T$2,[4]Prices!$J$3:$K$17,2,FALSE)*T329)+(VLOOKUP($U$2,[4]Prices!$J$3:$K$17,2,FALSE)*U329)+(VLOOKUP($V$2,[4]Prices!$J$3:$K$17,2,FALSE)*V329)+(VLOOKUP($W$2,[4]Prices!$J$3:$K$17,2,FALSE)*W329)+(VLOOKUP($X$2,[4]Prices!$J$3:$K$17,2,FALSE)*X329)+(VLOOKUP($Y$2,[4]Prices!$J$3:$K$17,2,FALSE)*Y329)+(VLOOKUP($Z$2,[4]Prices!$J$3:$K$17,2,FALSE)*Z329)+(VLOOKUP($AA$2,[4]Prices!$J$3:$K$17,2,FALSE)*AA329)+(VLOOKUP($AB$2,[4]Prices!$J$3:$K$17,2,FALSE)*AB329)+M329</f>
        <v>4378500</v>
      </c>
      <c r="AD329" s="18"/>
      <c r="AE329" s="18"/>
      <c r="AF329" s="4">
        <f t="shared" si="20"/>
        <v>0</v>
      </c>
      <c r="AG329" s="4"/>
      <c r="AH329" s="16">
        <f t="shared" si="21"/>
        <v>0</v>
      </c>
      <c r="AI329" s="21">
        <f t="shared" si="22"/>
        <v>0</v>
      </c>
      <c r="AJ329" s="20">
        <f t="shared" si="23"/>
        <v>0</v>
      </c>
      <c r="AK329" s="9"/>
    </row>
    <row r="330" spans="1:37" hidden="1">
      <c r="A330" s="77">
        <v>328</v>
      </c>
      <c r="B330" s="78"/>
      <c r="C330" s="79"/>
      <c r="D330" s="79"/>
      <c r="E330" s="79"/>
      <c r="F330" s="79"/>
      <c r="G330" s="79"/>
      <c r="H330" s="80"/>
      <c r="I330" s="45" t="s">
        <v>860</v>
      </c>
      <c r="J330" s="45" t="s">
        <v>1390</v>
      </c>
      <c r="K330" s="46" t="s">
        <v>672</v>
      </c>
      <c r="L330" s="47" t="s">
        <v>1204</v>
      </c>
      <c r="M330" s="81">
        <f>IFERROR(VLOOKUP($L330,[3]Consolidated!$C$9:$AC$452,27,0),0)</f>
        <v>1879000</v>
      </c>
      <c r="N330" s="81">
        <f>IFERROR(VLOOKUP($L330,[3]Consolidated!$C$9:$AC$452,5,0),0)</f>
        <v>10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4">
        <f>(VLOOKUP($O$2,[4]Prices!$E$3:$K$17,2,FALSE)*O330)+(VLOOKUP($P$2,[4]Prices!$J$3:$K$17,2,FALSE)*P330)+(VLOOKUP($Q$2,[4]Prices!$J$3:$K$17,2,FALSE)*Q330)+(VLOOKUP($R$2,[4]Prices!$J$3:$K$17,2,FALSE)*R330)+(VLOOKUP($S$2,[4]Prices!$J$3:$K$17,2,FALSE)*S330)+(VLOOKUP($T$2,[4]Prices!$J$3:$K$17,2,FALSE)*T330)+(VLOOKUP($U$2,[4]Prices!$J$3:$K$17,2,FALSE)*U330)+(VLOOKUP($V$2,[4]Prices!$J$3:$K$17,2,FALSE)*V330)+(VLOOKUP($W$2,[4]Prices!$J$3:$K$17,2,FALSE)*W330)+(VLOOKUP($X$2,[4]Prices!$J$3:$K$17,2,FALSE)*X330)+(VLOOKUP($Y$2,[4]Prices!$J$3:$K$17,2,FALSE)*Y330)+(VLOOKUP($Z$2,[4]Prices!$J$3:$K$17,2,FALSE)*Z330)+(VLOOKUP($AA$2,[4]Prices!$J$3:$K$17,2,FALSE)*AA330)+(VLOOKUP($AB$2,[4]Prices!$J$3:$K$17,2,FALSE)*AB330)+M330</f>
        <v>1879000</v>
      </c>
      <c r="AD330" s="18"/>
      <c r="AE330" s="18"/>
      <c r="AF330" s="4">
        <f t="shared" si="20"/>
        <v>0</v>
      </c>
      <c r="AG330" s="4"/>
      <c r="AH330" s="16">
        <f t="shared" si="21"/>
        <v>0</v>
      </c>
      <c r="AI330" s="21">
        <f t="shared" si="22"/>
        <v>0</v>
      </c>
      <c r="AJ330" s="20">
        <f t="shared" si="23"/>
        <v>0</v>
      </c>
      <c r="AK330" s="9"/>
    </row>
    <row r="331" spans="1:37" hidden="1">
      <c r="A331" s="77">
        <v>329</v>
      </c>
      <c r="B331" s="78"/>
      <c r="C331" s="79"/>
      <c r="D331" s="79"/>
      <c r="E331" s="79"/>
      <c r="F331" s="79"/>
      <c r="G331" s="79"/>
      <c r="H331" s="80"/>
      <c r="I331" s="45" t="s">
        <v>859</v>
      </c>
      <c r="J331" s="45" t="s">
        <v>1390</v>
      </c>
      <c r="K331" s="46" t="s">
        <v>672</v>
      </c>
      <c r="L331" s="47" t="s">
        <v>1203</v>
      </c>
      <c r="M331" s="81">
        <f>IFERROR(VLOOKUP($L331,[3]Consolidated!$C$9:$AC$452,27,0),0)</f>
        <v>6087500</v>
      </c>
      <c r="N331" s="81">
        <f>IFERROR(VLOOKUP($L331,[3]Consolidated!$C$9:$AC$452,5,0),0)</f>
        <v>35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4">
        <f>(VLOOKUP($O$2,[4]Prices!$E$3:$K$17,2,FALSE)*O331)+(VLOOKUP($P$2,[4]Prices!$J$3:$K$17,2,FALSE)*P331)+(VLOOKUP($Q$2,[4]Prices!$J$3:$K$17,2,FALSE)*Q331)+(VLOOKUP($R$2,[4]Prices!$J$3:$K$17,2,FALSE)*R331)+(VLOOKUP($S$2,[4]Prices!$J$3:$K$17,2,FALSE)*S331)+(VLOOKUP($T$2,[4]Prices!$J$3:$K$17,2,FALSE)*T331)+(VLOOKUP($U$2,[4]Prices!$J$3:$K$17,2,FALSE)*U331)+(VLOOKUP($V$2,[4]Prices!$J$3:$K$17,2,FALSE)*V331)+(VLOOKUP($W$2,[4]Prices!$J$3:$K$17,2,FALSE)*W331)+(VLOOKUP($X$2,[4]Prices!$J$3:$K$17,2,FALSE)*X331)+(VLOOKUP($Y$2,[4]Prices!$J$3:$K$17,2,FALSE)*Y331)+(VLOOKUP($Z$2,[4]Prices!$J$3:$K$17,2,FALSE)*Z331)+(VLOOKUP($AA$2,[4]Prices!$J$3:$K$17,2,FALSE)*AA331)+(VLOOKUP($AB$2,[4]Prices!$J$3:$K$17,2,FALSE)*AB331)+M331</f>
        <v>6087500</v>
      </c>
      <c r="AD331" s="18"/>
      <c r="AE331" s="18"/>
      <c r="AF331" s="4">
        <f t="shared" si="20"/>
        <v>0</v>
      </c>
      <c r="AG331" s="4"/>
      <c r="AH331" s="16">
        <f t="shared" si="21"/>
        <v>0</v>
      </c>
      <c r="AI331" s="21">
        <f t="shared" si="22"/>
        <v>0</v>
      </c>
      <c r="AJ331" s="20">
        <f t="shared" si="23"/>
        <v>0</v>
      </c>
      <c r="AK331" s="9"/>
    </row>
    <row r="332" spans="1:37" hidden="1">
      <c r="A332" s="77">
        <v>330</v>
      </c>
      <c r="B332" s="78"/>
      <c r="C332" s="79"/>
      <c r="D332" s="79"/>
      <c r="E332" s="79"/>
      <c r="F332" s="79"/>
      <c r="G332" s="79"/>
      <c r="H332" s="80"/>
      <c r="I332" s="45" t="s">
        <v>855</v>
      </c>
      <c r="J332" s="45" t="s">
        <v>1390</v>
      </c>
      <c r="K332" s="46" t="s">
        <v>672</v>
      </c>
      <c r="L332" s="47" t="s">
        <v>1199</v>
      </c>
      <c r="M332" s="81">
        <f>IFERROR(VLOOKUP($L332,[3]Consolidated!$C$9:$AC$452,27,0),0)</f>
        <v>6087500</v>
      </c>
      <c r="N332" s="81">
        <f>IFERROR(VLOOKUP($L332,[3]Consolidated!$C$9:$AC$452,5,0),0)</f>
        <v>35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4">
        <f>(VLOOKUP($O$2,[4]Prices!$E$3:$K$17,2,FALSE)*O332)+(VLOOKUP($P$2,[4]Prices!$J$3:$K$17,2,FALSE)*P332)+(VLOOKUP($Q$2,[4]Prices!$J$3:$K$17,2,FALSE)*Q332)+(VLOOKUP($R$2,[4]Prices!$J$3:$K$17,2,FALSE)*R332)+(VLOOKUP($S$2,[4]Prices!$J$3:$K$17,2,FALSE)*S332)+(VLOOKUP($T$2,[4]Prices!$J$3:$K$17,2,FALSE)*T332)+(VLOOKUP($U$2,[4]Prices!$J$3:$K$17,2,FALSE)*U332)+(VLOOKUP($V$2,[4]Prices!$J$3:$K$17,2,FALSE)*V332)+(VLOOKUP($W$2,[4]Prices!$J$3:$K$17,2,FALSE)*W332)+(VLOOKUP($X$2,[4]Prices!$J$3:$K$17,2,FALSE)*X332)+(VLOOKUP($Y$2,[4]Prices!$J$3:$K$17,2,FALSE)*Y332)+(VLOOKUP($Z$2,[4]Prices!$J$3:$K$17,2,FALSE)*Z332)+(VLOOKUP($AA$2,[4]Prices!$J$3:$K$17,2,FALSE)*AA332)+(VLOOKUP($AB$2,[4]Prices!$J$3:$K$17,2,FALSE)*AB332)+M332</f>
        <v>6087500</v>
      </c>
      <c r="AD332" s="18"/>
      <c r="AE332" s="18"/>
      <c r="AF332" s="4">
        <f t="shared" si="20"/>
        <v>0</v>
      </c>
      <c r="AG332" s="4"/>
      <c r="AH332" s="16">
        <f t="shared" si="21"/>
        <v>0</v>
      </c>
      <c r="AI332" s="21">
        <f t="shared" si="22"/>
        <v>0</v>
      </c>
      <c r="AJ332" s="20">
        <f t="shared" si="23"/>
        <v>0</v>
      </c>
      <c r="AK332" s="9"/>
    </row>
    <row r="333" spans="1:37" hidden="1">
      <c r="A333" s="77">
        <v>331</v>
      </c>
      <c r="B333" s="78"/>
      <c r="C333" s="79"/>
      <c r="D333" s="79"/>
      <c r="E333" s="79"/>
      <c r="F333" s="79"/>
      <c r="G333" s="79"/>
      <c r="H333" s="80"/>
      <c r="I333" s="45" t="s">
        <v>821</v>
      </c>
      <c r="J333" s="45" t="s">
        <v>1390</v>
      </c>
      <c r="K333" s="46" t="s">
        <v>669</v>
      </c>
      <c r="L333" s="47" t="s">
        <v>1152</v>
      </c>
      <c r="M333" s="81">
        <f>IFERROR(VLOOKUP($L333,[3]Consolidated!$C$9:$AC$452,27,0),0)</f>
        <v>6132500</v>
      </c>
      <c r="N333" s="81">
        <f>IFERROR(VLOOKUP($L333,[3]Consolidated!$C$9:$AC$452,5,0),0)</f>
        <v>35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4">
        <f>(VLOOKUP($O$2,[4]Prices!$E$3:$K$17,2,FALSE)*O333)+(VLOOKUP($P$2,[4]Prices!$J$3:$K$17,2,FALSE)*P333)+(VLOOKUP($Q$2,[4]Prices!$J$3:$K$17,2,FALSE)*Q333)+(VLOOKUP($R$2,[4]Prices!$J$3:$K$17,2,FALSE)*R333)+(VLOOKUP($S$2,[4]Prices!$J$3:$K$17,2,FALSE)*S333)+(VLOOKUP($T$2,[4]Prices!$J$3:$K$17,2,FALSE)*T333)+(VLOOKUP($U$2,[4]Prices!$J$3:$K$17,2,FALSE)*U333)+(VLOOKUP($V$2,[4]Prices!$J$3:$K$17,2,FALSE)*V333)+(VLOOKUP($W$2,[4]Prices!$J$3:$K$17,2,FALSE)*W333)+(VLOOKUP($X$2,[4]Prices!$J$3:$K$17,2,FALSE)*X333)+(VLOOKUP($Y$2,[4]Prices!$J$3:$K$17,2,FALSE)*Y333)+(VLOOKUP($Z$2,[4]Prices!$J$3:$K$17,2,FALSE)*Z333)+(VLOOKUP($AA$2,[4]Prices!$J$3:$K$17,2,FALSE)*AA333)+(VLOOKUP($AB$2,[4]Prices!$J$3:$K$17,2,FALSE)*AB333)+M333</f>
        <v>6132500</v>
      </c>
      <c r="AD333" s="18"/>
      <c r="AE333" s="18"/>
      <c r="AF333" s="4">
        <f t="shared" si="20"/>
        <v>0</v>
      </c>
      <c r="AG333" s="4"/>
      <c r="AH333" s="16">
        <f t="shared" si="21"/>
        <v>0</v>
      </c>
      <c r="AI333" s="21">
        <f t="shared" si="22"/>
        <v>0</v>
      </c>
      <c r="AJ333" s="20">
        <f t="shared" si="23"/>
        <v>0</v>
      </c>
      <c r="AK333" s="19"/>
    </row>
    <row r="334" spans="1:37" hidden="1">
      <c r="A334" s="77">
        <v>332</v>
      </c>
      <c r="B334" s="78"/>
      <c r="C334" s="79"/>
      <c r="D334" s="79"/>
      <c r="E334" s="79"/>
      <c r="F334" s="79"/>
      <c r="G334" s="79"/>
      <c r="H334" s="80"/>
      <c r="I334" s="45" t="s">
        <v>820</v>
      </c>
      <c r="J334" s="45" t="s">
        <v>1390</v>
      </c>
      <c r="K334" s="46" t="s">
        <v>669</v>
      </c>
      <c r="L334" s="47" t="s">
        <v>1151</v>
      </c>
      <c r="M334" s="81">
        <f>IFERROR(VLOOKUP($L334,[3]Consolidated!$C$9:$AC$452,27,0),0)</f>
        <v>6132500</v>
      </c>
      <c r="N334" s="81">
        <f>IFERROR(VLOOKUP($L334,[3]Consolidated!$C$9:$AC$452,5,0),0)</f>
        <v>35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4">
        <f>(VLOOKUP($O$2,[4]Prices!$E$3:$K$17,2,FALSE)*O334)+(VLOOKUP($P$2,[4]Prices!$J$3:$K$17,2,FALSE)*P334)+(VLOOKUP($Q$2,[4]Prices!$J$3:$K$17,2,FALSE)*Q334)+(VLOOKUP($R$2,[4]Prices!$J$3:$K$17,2,FALSE)*R334)+(VLOOKUP($S$2,[4]Prices!$J$3:$K$17,2,FALSE)*S334)+(VLOOKUP($T$2,[4]Prices!$J$3:$K$17,2,FALSE)*T334)+(VLOOKUP($U$2,[4]Prices!$J$3:$K$17,2,FALSE)*U334)+(VLOOKUP($V$2,[4]Prices!$J$3:$K$17,2,FALSE)*V334)+(VLOOKUP($W$2,[4]Prices!$J$3:$K$17,2,FALSE)*W334)+(VLOOKUP($X$2,[4]Prices!$J$3:$K$17,2,FALSE)*X334)+(VLOOKUP($Y$2,[4]Prices!$J$3:$K$17,2,FALSE)*Y334)+(VLOOKUP($Z$2,[4]Prices!$J$3:$K$17,2,FALSE)*Z334)+(VLOOKUP($AA$2,[4]Prices!$J$3:$K$17,2,FALSE)*AA334)+(VLOOKUP($AB$2,[4]Prices!$J$3:$K$17,2,FALSE)*AB334)+M334</f>
        <v>6132500</v>
      </c>
      <c r="AD334" s="18"/>
      <c r="AE334" s="18"/>
      <c r="AF334" s="4">
        <f t="shared" si="20"/>
        <v>0</v>
      </c>
      <c r="AG334" s="4"/>
      <c r="AH334" s="16">
        <f t="shared" si="21"/>
        <v>0</v>
      </c>
      <c r="AI334" s="21">
        <f t="shared" si="22"/>
        <v>0</v>
      </c>
      <c r="AJ334" s="20">
        <f t="shared" si="23"/>
        <v>0</v>
      </c>
      <c r="AK334" s="9"/>
    </row>
    <row r="335" spans="1:37" hidden="1">
      <c r="A335" s="77">
        <v>333</v>
      </c>
      <c r="B335" s="78"/>
      <c r="C335" s="79"/>
      <c r="D335" s="79"/>
      <c r="E335" s="79"/>
      <c r="F335" s="79"/>
      <c r="G335" s="79"/>
      <c r="H335" s="80"/>
      <c r="I335" s="45" t="s">
        <v>819</v>
      </c>
      <c r="J335" s="45" t="s">
        <v>1390</v>
      </c>
      <c r="K335" s="46" t="s">
        <v>669</v>
      </c>
      <c r="L335" s="47" t="s">
        <v>1150</v>
      </c>
      <c r="M335" s="81">
        <f>IFERROR(VLOOKUP($L335,[3]Consolidated!$C$9:$AC$452,27,0),0)</f>
        <v>6132500</v>
      </c>
      <c r="N335" s="81">
        <f>IFERROR(VLOOKUP($L335,[3]Consolidated!$C$9:$AC$452,5,0),0)</f>
        <v>35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4">
        <f>(VLOOKUP($O$2,[4]Prices!$E$3:$K$17,2,FALSE)*O335)+(VLOOKUP($P$2,[4]Prices!$J$3:$K$17,2,FALSE)*P335)+(VLOOKUP($Q$2,[4]Prices!$J$3:$K$17,2,FALSE)*Q335)+(VLOOKUP($R$2,[4]Prices!$J$3:$K$17,2,FALSE)*R335)+(VLOOKUP($S$2,[4]Prices!$J$3:$K$17,2,FALSE)*S335)+(VLOOKUP($T$2,[4]Prices!$J$3:$K$17,2,FALSE)*T335)+(VLOOKUP($U$2,[4]Prices!$J$3:$K$17,2,FALSE)*U335)+(VLOOKUP($V$2,[4]Prices!$J$3:$K$17,2,FALSE)*V335)+(VLOOKUP($W$2,[4]Prices!$J$3:$K$17,2,FALSE)*W335)+(VLOOKUP($X$2,[4]Prices!$J$3:$K$17,2,FALSE)*X335)+(VLOOKUP($Y$2,[4]Prices!$J$3:$K$17,2,FALSE)*Y335)+(VLOOKUP($Z$2,[4]Prices!$J$3:$K$17,2,FALSE)*Z335)+(VLOOKUP($AA$2,[4]Prices!$J$3:$K$17,2,FALSE)*AA335)+(VLOOKUP($AB$2,[4]Prices!$J$3:$K$17,2,FALSE)*AB335)+M335</f>
        <v>6132500</v>
      </c>
      <c r="AD335" s="18"/>
      <c r="AE335" s="18"/>
      <c r="AF335" s="4">
        <f t="shared" si="20"/>
        <v>0</v>
      </c>
      <c r="AG335" s="4"/>
      <c r="AH335" s="16">
        <f t="shared" si="21"/>
        <v>0</v>
      </c>
      <c r="AI335" s="21">
        <f t="shared" si="22"/>
        <v>0</v>
      </c>
      <c r="AJ335" s="20">
        <f t="shared" si="23"/>
        <v>0</v>
      </c>
      <c r="AK335" s="9"/>
    </row>
    <row r="336" spans="1:37" hidden="1">
      <c r="A336" s="77">
        <v>334</v>
      </c>
      <c r="B336" s="78"/>
      <c r="C336" s="79"/>
      <c r="D336" s="79"/>
      <c r="E336" s="79"/>
      <c r="F336" s="79"/>
      <c r="G336" s="79"/>
      <c r="H336" s="80"/>
      <c r="I336" s="45" t="s">
        <v>835</v>
      </c>
      <c r="J336" s="45" t="s">
        <v>1390</v>
      </c>
      <c r="K336" s="46" t="s">
        <v>670</v>
      </c>
      <c r="L336" s="47" t="s">
        <v>1169</v>
      </c>
      <c r="M336" s="81">
        <f>IFERROR(VLOOKUP($L336,[3]Consolidated!$C$9:$AC$452,27,0),0)</f>
        <v>1885000</v>
      </c>
      <c r="N336" s="81">
        <f>IFERROR(VLOOKUP($L336,[3]Consolidated!$C$9:$AC$452,5,0),0)</f>
        <v>10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4">
        <f>(VLOOKUP($O$2,[4]Prices!$E$3:$K$17,2,FALSE)*O336)+(VLOOKUP($P$2,[4]Prices!$J$3:$K$17,2,FALSE)*P336)+(VLOOKUP($Q$2,[4]Prices!$J$3:$K$17,2,FALSE)*Q336)+(VLOOKUP($R$2,[4]Prices!$J$3:$K$17,2,FALSE)*R336)+(VLOOKUP($S$2,[4]Prices!$J$3:$K$17,2,FALSE)*S336)+(VLOOKUP($T$2,[4]Prices!$J$3:$K$17,2,FALSE)*T336)+(VLOOKUP($U$2,[4]Prices!$J$3:$K$17,2,FALSE)*U336)+(VLOOKUP($V$2,[4]Prices!$J$3:$K$17,2,FALSE)*V336)+(VLOOKUP($W$2,[4]Prices!$J$3:$K$17,2,FALSE)*W336)+(VLOOKUP($X$2,[4]Prices!$J$3:$K$17,2,FALSE)*X336)+(VLOOKUP($Y$2,[4]Prices!$J$3:$K$17,2,FALSE)*Y336)+(VLOOKUP($Z$2,[4]Prices!$J$3:$K$17,2,FALSE)*Z336)+(VLOOKUP($AA$2,[4]Prices!$J$3:$K$17,2,FALSE)*AA336)+(VLOOKUP($AB$2,[4]Prices!$J$3:$K$17,2,FALSE)*AB336)+M336</f>
        <v>1885000</v>
      </c>
      <c r="AD336" s="18"/>
      <c r="AE336" s="18"/>
      <c r="AF336" s="4">
        <f t="shared" si="20"/>
        <v>0</v>
      </c>
      <c r="AG336" s="4"/>
      <c r="AH336" s="16">
        <f t="shared" si="21"/>
        <v>0</v>
      </c>
      <c r="AI336" s="21">
        <f t="shared" si="22"/>
        <v>0</v>
      </c>
      <c r="AJ336" s="20">
        <f t="shared" si="23"/>
        <v>0</v>
      </c>
      <c r="AK336" s="9"/>
    </row>
    <row r="337" spans="1:37" hidden="1">
      <c r="A337" s="77">
        <v>335</v>
      </c>
      <c r="B337" s="78"/>
      <c r="C337" s="79"/>
      <c r="D337" s="79"/>
      <c r="E337" s="79"/>
      <c r="F337" s="79"/>
      <c r="G337" s="79"/>
      <c r="H337" s="80"/>
      <c r="I337" s="45" t="s">
        <v>858</v>
      </c>
      <c r="J337" s="45" t="s">
        <v>1390</v>
      </c>
      <c r="K337" s="46" t="s">
        <v>672</v>
      </c>
      <c r="L337" s="47" t="s">
        <v>1202</v>
      </c>
      <c r="M337" s="81">
        <f>IFERROR(VLOOKUP($L337,[3]Consolidated!$C$9:$AC$452,27,0),0)</f>
        <v>1879000</v>
      </c>
      <c r="N337" s="81">
        <f>IFERROR(VLOOKUP($L337,[3]Consolidated!$C$9:$AC$452,5,0),0)</f>
        <v>10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4">
        <f>(VLOOKUP($O$2,[4]Prices!$E$3:$K$17,2,FALSE)*O337)+(VLOOKUP($P$2,[4]Prices!$J$3:$K$17,2,FALSE)*P337)+(VLOOKUP($Q$2,[4]Prices!$J$3:$K$17,2,FALSE)*Q337)+(VLOOKUP($R$2,[4]Prices!$J$3:$K$17,2,FALSE)*R337)+(VLOOKUP($S$2,[4]Prices!$J$3:$K$17,2,FALSE)*S337)+(VLOOKUP($T$2,[4]Prices!$J$3:$K$17,2,FALSE)*T337)+(VLOOKUP($U$2,[4]Prices!$J$3:$K$17,2,FALSE)*U337)+(VLOOKUP($V$2,[4]Prices!$J$3:$K$17,2,FALSE)*V337)+(VLOOKUP($W$2,[4]Prices!$J$3:$K$17,2,FALSE)*W337)+(VLOOKUP($X$2,[4]Prices!$J$3:$K$17,2,FALSE)*X337)+(VLOOKUP($Y$2,[4]Prices!$J$3:$K$17,2,FALSE)*Y337)+(VLOOKUP($Z$2,[4]Prices!$J$3:$K$17,2,FALSE)*Z337)+(VLOOKUP($AA$2,[4]Prices!$J$3:$K$17,2,FALSE)*AA337)+(VLOOKUP($AB$2,[4]Prices!$J$3:$K$17,2,FALSE)*AB337)+M337</f>
        <v>1879000</v>
      </c>
      <c r="AD337" s="18"/>
      <c r="AE337" s="18"/>
      <c r="AF337" s="4">
        <f t="shared" si="20"/>
        <v>0</v>
      </c>
      <c r="AG337" s="4"/>
      <c r="AH337" s="16">
        <f t="shared" si="21"/>
        <v>0</v>
      </c>
      <c r="AI337" s="21">
        <f t="shared" si="22"/>
        <v>0</v>
      </c>
      <c r="AJ337" s="20">
        <f t="shared" si="23"/>
        <v>0</v>
      </c>
      <c r="AK337" s="9"/>
    </row>
    <row r="338" spans="1:37" hidden="1">
      <c r="A338" s="77">
        <v>336</v>
      </c>
      <c r="B338" s="78"/>
      <c r="C338" s="79"/>
      <c r="D338" s="79"/>
      <c r="E338" s="79"/>
      <c r="F338" s="79"/>
      <c r="G338" s="79"/>
      <c r="H338" s="80"/>
      <c r="I338" s="45" t="s">
        <v>854</v>
      </c>
      <c r="J338" s="45" t="s">
        <v>1390</v>
      </c>
      <c r="K338" s="46" t="s">
        <v>672</v>
      </c>
      <c r="L338" s="47" t="s">
        <v>1198</v>
      </c>
      <c r="M338" s="81">
        <f>IFERROR(VLOOKUP($L338,[3]Consolidated!$C$9:$AC$452,27,0),0)</f>
        <v>6087500</v>
      </c>
      <c r="N338" s="81">
        <f>IFERROR(VLOOKUP($L338,[3]Consolidated!$C$9:$AC$452,5,0),0)</f>
        <v>35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4">
        <f>(VLOOKUP($O$2,[4]Prices!$E$3:$K$17,2,FALSE)*O338)+(VLOOKUP($P$2,[4]Prices!$J$3:$K$17,2,FALSE)*P338)+(VLOOKUP($Q$2,[4]Prices!$J$3:$K$17,2,FALSE)*Q338)+(VLOOKUP($R$2,[4]Prices!$J$3:$K$17,2,FALSE)*R338)+(VLOOKUP($S$2,[4]Prices!$J$3:$K$17,2,FALSE)*S338)+(VLOOKUP($T$2,[4]Prices!$J$3:$K$17,2,FALSE)*T338)+(VLOOKUP($U$2,[4]Prices!$J$3:$K$17,2,FALSE)*U338)+(VLOOKUP($V$2,[4]Prices!$J$3:$K$17,2,FALSE)*V338)+(VLOOKUP($W$2,[4]Prices!$J$3:$K$17,2,FALSE)*W338)+(VLOOKUP($X$2,[4]Prices!$J$3:$K$17,2,FALSE)*X338)+(VLOOKUP($Y$2,[4]Prices!$J$3:$K$17,2,FALSE)*Y338)+(VLOOKUP($Z$2,[4]Prices!$J$3:$K$17,2,FALSE)*Z338)+(VLOOKUP($AA$2,[4]Prices!$J$3:$K$17,2,FALSE)*AA338)+(VLOOKUP($AB$2,[4]Prices!$J$3:$K$17,2,FALSE)*AB338)+M338</f>
        <v>6087500</v>
      </c>
      <c r="AD338" s="18"/>
      <c r="AE338" s="18"/>
      <c r="AF338" s="4">
        <f t="shared" si="20"/>
        <v>0</v>
      </c>
      <c r="AG338" s="4"/>
      <c r="AH338" s="16">
        <f t="shared" si="21"/>
        <v>0</v>
      </c>
      <c r="AI338" s="21">
        <f t="shared" si="22"/>
        <v>0</v>
      </c>
      <c r="AJ338" s="20">
        <f t="shared" si="23"/>
        <v>0</v>
      </c>
      <c r="AK338" s="9"/>
    </row>
    <row r="339" spans="1:37" hidden="1">
      <c r="A339" s="77">
        <v>337</v>
      </c>
      <c r="B339" s="78"/>
      <c r="C339" s="79"/>
      <c r="D339" s="79"/>
      <c r="E339" s="79"/>
      <c r="F339" s="79"/>
      <c r="G339" s="79"/>
      <c r="H339" s="80"/>
      <c r="I339" s="45" t="s">
        <v>824</v>
      </c>
      <c r="J339" s="45" t="s">
        <v>1390</v>
      </c>
      <c r="K339" s="46" t="s">
        <v>669</v>
      </c>
      <c r="L339" s="47" t="s">
        <v>1155</v>
      </c>
      <c r="M339" s="81">
        <f>IFERROR(VLOOKUP($L339,[3]Consolidated!$C$9:$AC$452,27,0),0)</f>
        <v>6381000</v>
      </c>
      <c r="N339" s="81">
        <f>IFERROR(VLOOKUP($L339,[3]Consolidated!$C$9:$AC$452,5,0),0)</f>
        <v>40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4">
        <f>(VLOOKUP($O$2,[4]Prices!$E$3:$K$17,2,FALSE)*O339)+(VLOOKUP($P$2,[4]Prices!$J$3:$K$17,2,FALSE)*P339)+(VLOOKUP($Q$2,[4]Prices!$J$3:$K$17,2,FALSE)*Q339)+(VLOOKUP($R$2,[4]Prices!$J$3:$K$17,2,FALSE)*R339)+(VLOOKUP($S$2,[4]Prices!$J$3:$K$17,2,FALSE)*S339)+(VLOOKUP($T$2,[4]Prices!$J$3:$K$17,2,FALSE)*T339)+(VLOOKUP($U$2,[4]Prices!$J$3:$K$17,2,FALSE)*U339)+(VLOOKUP($V$2,[4]Prices!$J$3:$K$17,2,FALSE)*V339)+(VLOOKUP($W$2,[4]Prices!$J$3:$K$17,2,FALSE)*W339)+(VLOOKUP($X$2,[4]Prices!$J$3:$K$17,2,FALSE)*X339)+(VLOOKUP($Y$2,[4]Prices!$J$3:$K$17,2,FALSE)*Y339)+(VLOOKUP($Z$2,[4]Prices!$J$3:$K$17,2,FALSE)*Z339)+(VLOOKUP($AA$2,[4]Prices!$J$3:$K$17,2,FALSE)*AA339)+(VLOOKUP($AB$2,[4]Prices!$J$3:$K$17,2,FALSE)*AB339)+M339</f>
        <v>6381000</v>
      </c>
      <c r="AD339" s="18"/>
      <c r="AE339" s="18"/>
      <c r="AF339" s="4">
        <f t="shared" si="20"/>
        <v>0</v>
      </c>
      <c r="AG339" s="4"/>
      <c r="AH339" s="16">
        <f t="shared" si="21"/>
        <v>0</v>
      </c>
      <c r="AI339" s="21">
        <f t="shared" si="22"/>
        <v>0</v>
      </c>
      <c r="AJ339" s="20">
        <f t="shared" si="23"/>
        <v>0</v>
      </c>
      <c r="AK339" s="9"/>
    </row>
    <row r="340" spans="1:37" hidden="1">
      <c r="A340" s="77">
        <v>338</v>
      </c>
      <c r="B340" s="78"/>
      <c r="C340" s="79"/>
      <c r="D340" s="79"/>
      <c r="E340" s="79"/>
      <c r="F340" s="79"/>
      <c r="G340" s="79"/>
      <c r="H340" s="80"/>
      <c r="I340" s="45" t="s">
        <v>832</v>
      </c>
      <c r="J340" s="45" t="s">
        <v>1390</v>
      </c>
      <c r="K340" s="46" t="s">
        <v>670</v>
      </c>
      <c r="L340" s="47" t="s">
        <v>1166</v>
      </c>
      <c r="M340" s="81">
        <f>IFERROR(VLOOKUP($L340,[3]Consolidated!$C$9:$AC$452,27,0),0)</f>
        <v>4378500</v>
      </c>
      <c r="N340" s="81">
        <f>IFERROR(VLOOKUP($L340,[3]Consolidated!$C$9:$AC$452,5,0),0)</f>
        <v>35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4">
        <f>(VLOOKUP($O$2,[4]Prices!$E$3:$K$17,2,FALSE)*O340)+(VLOOKUP($P$2,[4]Prices!$J$3:$K$17,2,FALSE)*P340)+(VLOOKUP($Q$2,[4]Prices!$J$3:$K$17,2,FALSE)*Q340)+(VLOOKUP($R$2,[4]Prices!$J$3:$K$17,2,FALSE)*R340)+(VLOOKUP($S$2,[4]Prices!$J$3:$K$17,2,FALSE)*S340)+(VLOOKUP($T$2,[4]Prices!$J$3:$K$17,2,FALSE)*T340)+(VLOOKUP($U$2,[4]Prices!$J$3:$K$17,2,FALSE)*U340)+(VLOOKUP($V$2,[4]Prices!$J$3:$K$17,2,FALSE)*V340)+(VLOOKUP($W$2,[4]Prices!$J$3:$K$17,2,FALSE)*W340)+(VLOOKUP($X$2,[4]Prices!$J$3:$K$17,2,FALSE)*X340)+(VLOOKUP($Y$2,[4]Prices!$J$3:$K$17,2,FALSE)*Y340)+(VLOOKUP($Z$2,[4]Prices!$J$3:$K$17,2,FALSE)*Z340)+(VLOOKUP($AA$2,[4]Prices!$J$3:$K$17,2,FALSE)*AA340)+(VLOOKUP($AB$2,[4]Prices!$J$3:$K$17,2,FALSE)*AB340)+M340</f>
        <v>4378500</v>
      </c>
      <c r="AD340" s="18"/>
      <c r="AE340" s="18"/>
      <c r="AF340" s="4">
        <f t="shared" si="20"/>
        <v>0</v>
      </c>
      <c r="AG340" s="4"/>
      <c r="AH340" s="16">
        <f t="shared" si="21"/>
        <v>0</v>
      </c>
      <c r="AI340" s="21">
        <f t="shared" si="22"/>
        <v>0</v>
      </c>
      <c r="AJ340" s="20">
        <f t="shared" si="23"/>
        <v>0</v>
      </c>
      <c r="AK340" s="9"/>
    </row>
    <row r="341" spans="1:37" hidden="1">
      <c r="A341" s="77">
        <v>339</v>
      </c>
      <c r="B341" s="78"/>
      <c r="C341" s="79"/>
      <c r="D341" s="79"/>
      <c r="E341" s="79"/>
      <c r="F341" s="79"/>
      <c r="G341" s="79"/>
      <c r="H341" s="80"/>
      <c r="I341" s="45" t="s">
        <v>849</v>
      </c>
      <c r="J341" s="45" t="s">
        <v>1390</v>
      </c>
      <c r="K341" s="46" t="s">
        <v>671</v>
      </c>
      <c r="L341" s="47" t="s">
        <v>1188</v>
      </c>
      <c r="M341" s="81">
        <f>IFERROR(VLOOKUP($L341,[3]Consolidated!$C$9:$AC$452,27,0),0)</f>
        <v>5918000</v>
      </c>
      <c r="N341" s="81">
        <f>IFERROR(VLOOKUP($L341,[3]Consolidated!$C$9:$AC$452,5,0),0)</f>
        <v>40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4">
        <f>(VLOOKUP($O$2,[4]Prices!$E$3:$K$17,2,FALSE)*O341)+(VLOOKUP($P$2,[4]Prices!$J$3:$K$17,2,FALSE)*P341)+(VLOOKUP($Q$2,[4]Prices!$J$3:$K$17,2,FALSE)*Q341)+(VLOOKUP($R$2,[4]Prices!$J$3:$K$17,2,FALSE)*R341)+(VLOOKUP($S$2,[4]Prices!$J$3:$K$17,2,FALSE)*S341)+(VLOOKUP($T$2,[4]Prices!$J$3:$K$17,2,FALSE)*T341)+(VLOOKUP($U$2,[4]Prices!$J$3:$K$17,2,FALSE)*U341)+(VLOOKUP($V$2,[4]Prices!$J$3:$K$17,2,FALSE)*V341)+(VLOOKUP($W$2,[4]Prices!$J$3:$K$17,2,FALSE)*W341)+(VLOOKUP($X$2,[4]Prices!$J$3:$K$17,2,FALSE)*X341)+(VLOOKUP($Y$2,[4]Prices!$J$3:$K$17,2,FALSE)*Y341)+(VLOOKUP($Z$2,[4]Prices!$J$3:$K$17,2,FALSE)*Z341)+(VLOOKUP($AA$2,[4]Prices!$J$3:$K$17,2,FALSE)*AA341)+(VLOOKUP($AB$2,[4]Prices!$J$3:$K$17,2,FALSE)*AB341)+M341</f>
        <v>5918000</v>
      </c>
      <c r="AD341" s="18"/>
      <c r="AE341" s="18"/>
      <c r="AF341" s="4">
        <f t="shared" si="20"/>
        <v>0</v>
      </c>
      <c r="AG341" s="4"/>
      <c r="AH341" s="16">
        <f t="shared" si="21"/>
        <v>0</v>
      </c>
      <c r="AI341" s="21">
        <f t="shared" si="22"/>
        <v>0</v>
      </c>
      <c r="AJ341" s="20">
        <f t="shared" si="23"/>
        <v>0</v>
      </c>
      <c r="AK341" s="9"/>
    </row>
    <row r="342" spans="1:37" hidden="1">
      <c r="A342" s="77">
        <v>340</v>
      </c>
      <c r="B342" s="78"/>
      <c r="C342" s="79"/>
      <c r="D342" s="79"/>
      <c r="E342" s="79"/>
      <c r="F342" s="79"/>
      <c r="G342" s="79"/>
      <c r="H342" s="80"/>
      <c r="I342" s="45" t="s">
        <v>857</v>
      </c>
      <c r="J342" s="45" t="s">
        <v>1390</v>
      </c>
      <c r="K342" s="46" t="s">
        <v>672</v>
      </c>
      <c r="L342" s="46" t="s">
        <v>1201</v>
      </c>
      <c r="M342" s="81">
        <f>IFERROR(VLOOKUP($L342,[3]Consolidated!$C$9:$AC$452,27,0),0)</f>
        <v>6087500</v>
      </c>
      <c r="N342" s="81">
        <f>IFERROR(VLOOKUP($L342,[3]Consolidated!$C$9:$AC$452,5,0),0)</f>
        <v>35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4">
        <f>(VLOOKUP($O$2,[4]Prices!$E$3:$K$17,2,FALSE)*O342)+(VLOOKUP($P$2,[4]Prices!$J$3:$K$17,2,FALSE)*P342)+(VLOOKUP($Q$2,[4]Prices!$J$3:$K$17,2,FALSE)*Q342)+(VLOOKUP($R$2,[4]Prices!$J$3:$K$17,2,FALSE)*R342)+(VLOOKUP($S$2,[4]Prices!$J$3:$K$17,2,FALSE)*S342)+(VLOOKUP($T$2,[4]Prices!$J$3:$K$17,2,FALSE)*T342)+(VLOOKUP($U$2,[4]Prices!$J$3:$K$17,2,FALSE)*U342)+(VLOOKUP($V$2,[4]Prices!$J$3:$K$17,2,FALSE)*V342)+(VLOOKUP($W$2,[4]Prices!$J$3:$K$17,2,FALSE)*W342)+(VLOOKUP($X$2,[4]Prices!$J$3:$K$17,2,FALSE)*X342)+(VLOOKUP($Y$2,[4]Prices!$J$3:$K$17,2,FALSE)*Y342)+(VLOOKUP($Z$2,[4]Prices!$J$3:$K$17,2,FALSE)*Z342)+(VLOOKUP($AA$2,[4]Prices!$J$3:$K$17,2,FALSE)*AA342)+(VLOOKUP($AB$2,[4]Prices!$J$3:$K$17,2,FALSE)*AB342)+M342</f>
        <v>6087500</v>
      </c>
      <c r="AD342" s="18"/>
      <c r="AE342" s="18"/>
      <c r="AF342" s="4">
        <f t="shared" si="20"/>
        <v>0</v>
      </c>
      <c r="AG342" s="4"/>
      <c r="AH342" s="16">
        <f t="shared" si="21"/>
        <v>0</v>
      </c>
      <c r="AI342" s="21">
        <f t="shared" si="22"/>
        <v>0</v>
      </c>
      <c r="AJ342" s="20">
        <f t="shared" si="23"/>
        <v>0</v>
      </c>
      <c r="AK342" s="9"/>
    </row>
    <row r="343" spans="1:37" hidden="1">
      <c r="A343" s="77">
        <v>341</v>
      </c>
      <c r="B343" s="78"/>
      <c r="C343" s="79"/>
      <c r="D343" s="79"/>
      <c r="E343" s="79"/>
      <c r="F343" s="79"/>
      <c r="G343" s="79"/>
      <c r="H343" s="80"/>
      <c r="I343" s="45" t="s">
        <v>834</v>
      </c>
      <c r="J343" s="45" t="s">
        <v>1390</v>
      </c>
      <c r="K343" s="46" t="s">
        <v>670</v>
      </c>
      <c r="L343" s="46" t="s">
        <v>1168</v>
      </c>
      <c r="M343" s="81">
        <f>IFERROR(VLOOKUP($L343,[3]Consolidated!$C$9:$AC$452,27,0),0)</f>
        <v>2282500</v>
      </c>
      <c r="N343" s="81">
        <f>IFERROR(VLOOKUP($L343,[3]Consolidated!$C$9:$AC$452,5,0),0)</f>
        <v>13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4">
        <f>(VLOOKUP($O$2,[4]Prices!$E$3:$K$17,2,FALSE)*O343)+(VLOOKUP($P$2,[4]Prices!$J$3:$K$17,2,FALSE)*P343)+(VLOOKUP($Q$2,[4]Prices!$J$3:$K$17,2,FALSE)*Q343)+(VLOOKUP($R$2,[4]Prices!$J$3:$K$17,2,FALSE)*R343)+(VLOOKUP($S$2,[4]Prices!$J$3:$K$17,2,FALSE)*S343)+(VLOOKUP($T$2,[4]Prices!$J$3:$K$17,2,FALSE)*T343)+(VLOOKUP($U$2,[4]Prices!$J$3:$K$17,2,FALSE)*U343)+(VLOOKUP($V$2,[4]Prices!$J$3:$K$17,2,FALSE)*V343)+(VLOOKUP($W$2,[4]Prices!$J$3:$K$17,2,FALSE)*W343)+(VLOOKUP($X$2,[4]Prices!$J$3:$K$17,2,FALSE)*X343)+(VLOOKUP($Y$2,[4]Prices!$J$3:$K$17,2,FALSE)*Y343)+(VLOOKUP($Z$2,[4]Prices!$J$3:$K$17,2,FALSE)*Z343)+(VLOOKUP($AA$2,[4]Prices!$J$3:$K$17,2,FALSE)*AA343)+(VLOOKUP($AB$2,[4]Prices!$J$3:$K$17,2,FALSE)*AB343)+M343</f>
        <v>2282500</v>
      </c>
      <c r="AD343" s="18"/>
      <c r="AE343" s="18"/>
      <c r="AF343" s="4">
        <f t="shared" si="20"/>
        <v>0</v>
      </c>
      <c r="AG343" s="4"/>
      <c r="AH343" s="16">
        <f t="shared" si="21"/>
        <v>0</v>
      </c>
      <c r="AI343" s="21">
        <f t="shared" si="22"/>
        <v>0</v>
      </c>
      <c r="AJ343" s="20">
        <f t="shared" si="23"/>
        <v>0</v>
      </c>
      <c r="AK343" s="9"/>
    </row>
    <row r="344" spans="1:37" hidden="1">
      <c r="A344" s="77">
        <v>342</v>
      </c>
      <c r="B344" s="78"/>
      <c r="C344" s="79"/>
      <c r="D344" s="79"/>
      <c r="E344" s="79"/>
      <c r="F344" s="79"/>
      <c r="G344" s="79"/>
      <c r="H344" s="80"/>
      <c r="I344" s="45" t="s">
        <v>847</v>
      </c>
      <c r="J344" s="45" t="s">
        <v>1390</v>
      </c>
      <c r="K344" s="46" t="s">
        <v>671</v>
      </c>
      <c r="L344" s="46" t="s">
        <v>1186</v>
      </c>
      <c r="M344" s="81">
        <f>IFERROR(VLOOKUP($L344,[3]Consolidated!$C$9:$AC$452,27,0),0)</f>
        <v>5472500</v>
      </c>
      <c r="N344" s="81">
        <f>IFERROR(VLOOKUP($L344,[3]Consolidated!$C$9:$AC$452,5,0),0)</f>
        <v>35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4">
        <f>(VLOOKUP($O$2,[4]Prices!$E$3:$K$17,2,FALSE)*O344)+(VLOOKUP($P$2,[4]Prices!$J$3:$K$17,2,FALSE)*P344)+(VLOOKUP($Q$2,[4]Prices!$J$3:$K$17,2,FALSE)*Q344)+(VLOOKUP($R$2,[4]Prices!$J$3:$K$17,2,FALSE)*R344)+(VLOOKUP($S$2,[4]Prices!$J$3:$K$17,2,FALSE)*S344)+(VLOOKUP($T$2,[4]Prices!$J$3:$K$17,2,FALSE)*T344)+(VLOOKUP($U$2,[4]Prices!$J$3:$K$17,2,FALSE)*U344)+(VLOOKUP($V$2,[4]Prices!$J$3:$K$17,2,FALSE)*V344)+(VLOOKUP($W$2,[4]Prices!$J$3:$K$17,2,FALSE)*W344)+(VLOOKUP($X$2,[4]Prices!$J$3:$K$17,2,FALSE)*X344)+(VLOOKUP($Y$2,[4]Prices!$J$3:$K$17,2,FALSE)*Y344)+(VLOOKUP($Z$2,[4]Prices!$J$3:$K$17,2,FALSE)*Z344)+(VLOOKUP($AA$2,[4]Prices!$J$3:$K$17,2,FALSE)*AA344)+(VLOOKUP($AB$2,[4]Prices!$J$3:$K$17,2,FALSE)*AB344)+M344</f>
        <v>5472500</v>
      </c>
      <c r="AD344" s="18"/>
      <c r="AE344" s="18"/>
      <c r="AF344" s="4">
        <f t="shared" si="20"/>
        <v>0</v>
      </c>
      <c r="AG344" s="4"/>
      <c r="AH344" s="16">
        <f t="shared" si="21"/>
        <v>0</v>
      </c>
      <c r="AI344" s="21">
        <f t="shared" si="22"/>
        <v>0</v>
      </c>
      <c r="AJ344" s="20">
        <f t="shared" si="23"/>
        <v>0</v>
      </c>
      <c r="AK344" s="9"/>
    </row>
    <row r="345" spans="1:37" hidden="1">
      <c r="A345" s="77">
        <v>343</v>
      </c>
      <c r="B345" s="78"/>
      <c r="C345" s="79"/>
      <c r="D345" s="79"/>
      <c r="E345" s="79"/>
      <c r="F345" s="79"/>
      <c r="G345" s="79"/>
      <c r="H345" s="80"/>
      <c r="I345" s="45" t="s">
        <v>827</v>
      </c>
      <c r="J345" s="45" t="s">
        <v>1390</v>
      </c>
      <c r="K345" s="46" t="s">
        <v>669</v>
      </c>
      <c r="L345" s="46" t="s">
        <v>1158</v>
      </c>
      <c r="M345" s="81">
        <f>IFERROR(VLOOKUP($L345,[3]Consolidated!$C$9:$AC$452,27,0),0)</f>
        <v>6381000</v>
      </c>
      <c r="N345" s="81">
        <f>IFERROR(VLOOKUP($L345,[3]Consolidated!$C$9:$AC$452,5,0),0)</f>
        <v>40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4">
        <f>(VLOOKUP($O$2,[4]Prices!$E$3:$K$17,2,FALSE)*O345)+(VLOOKUP($P$2,[4]Prices!$J$3:$K$17,2,FALSE)*P345)+(VLOOKUP($Q$2,[4]Prices!$J$3:$K$17,2,FALSE)*Q345)+(VLOOKUP($R$2,[4]Prices!$J$3:$K$17,2,FALSE)*R345)+(VLOOKUP($S$2,[4]Prices!$J$3:$K$17,2,FALSE)*S345)+(VLOOKUP($T$2,[4]Prices!$J$3:$K$17,2,FALSE)*T345)+(VLOOKUP($U$2,[4]Prices!$J$3:$K$17,2,FALSE)*U345)+(VLOOKUP($V$2,[4]Prices!$J$3:$K$17,2,FALSE)*V345)+(VLOOKUP($W$2,[4]Prices!$J$3:$K$17,2,FALSE)*W345)+(VLOOKUP($X$2,[4]Prices!$J$3:$K$17,2,FALSE)*X345)+(VLOOKUP($Y$2,[4]Prices!$J$3:$K$17,2,FALSE)*Y345)+(VLOOKUP($Z$2,[4]Prices!$J$3:$K$17,2,FALSE)*Z345)+(VLOOKUP($AA$2,[4]Prices!$J$3:$K$17,2,FALSE)*AA345)+(VLOOKUP($AB$2,[4]Prices!$J$3:$K$17,2,FALSE)*AB345)+M345</f>
        <v>6381000</v>
      </c>
      <c r="AD345" s="18"/>
      <c r="AE345" s="18"/>
      <c r="AF345" s="4">
        <f t="shared" si="20"/>
        <v>0</v>
      </c>
      <c r="AG345" s="4"/>
      <c r="AH345" s="16">
        <f t="shared" si="21"/>
        <v>0</v>
      </c>
      <c r="AI345" s="21">
        <f t="shared" si="22"/>
        <v>0</v>
      </c>
      <c r="AJ345" s="20">
        <f t="shared" si="23"/>
        <v>0</v>
      </c>
      <c r="AK345" s="19"/>
    </row>
    <row r="346" spans="1:37" hidden="1">
      <c r="A346" s="77">
        <v>344</v>
      </c>
      <c r="B346" s="78"/>
      <c r="C346" s="79"/>
      <c r="D346" s="79"/>
      <c r="E346" s="79"/>
      <c r="F346" s="79"/>
      <c r="G346" s="79"/>
      <c r="H346" s="80"/>
      <c r="I346" s="45" t="s">
        <v>861</v>
      </c>
      <c r="J346" s="45" t="s">
        <v>1390</v>
      </c>
      <c r="K346" s="46" t="s">
        <v>672</v>
      </c>
      <c r="L346" s="47" t="s">
        <v>1205</v>
      </c>
      <c r="M346" s="81">
        <f>IFERROR(VLOOKUP($L346,[3]Consolidated!$C$9:$AC$452,27,0),0)</f>
        <v>6087500</v>
      </c>
      <c r="N346" s="81">
        <f>IFERROR(VLOOKUP($L346,[3]Consolidated!$C$9:$AC$452,5,0),0)</f>
        <v>35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4">
        <f>(VLOOKUP($O$2,[4]Prices!$E$3:$K$17,2,FALSE)*O346)+(VLOOKUP($P$2,[4]Prices!$J$3:$K$17,2,FALSE)*P346)+(VLOOKUP($Q$2,[4]Prices!$J$3:$K$17,2,FALSE)*Q346)+(VLOOKUP($R$2,[4]Prices!$J$3:$K$17,2,FALSE)*R346)+(VLOOKUP($S$2,[4]Prices!$J$3:$K$17,2,FALSE)*S346)+(VLOOKUP($T$2,[4]Prices!$J$3:$K$17,2,FALSE)*T346)+(VLOOKUP($U$2,[4]Prices!$J$3:$K$17,2,FALSE)*U346)+(VLOOKUP($V$2,[4]Prices!$J$3:$K$17,2,FALSE)*V346)+(VLOOKUP($W$2,[4]Prices!$J$3:$K$17,2,FALSE)*W346)+(VLOOKUP($X$2,[4]Prices!$J$3:$K$17,2,FALSE)*X346)+(VLOOKUP($Y$2,[4]Prices!$J$3:$K$17,2,FALSE)*Y346)+(VLOOKUP($Z$2,[4]Prices!$J$3:$K$17,2,FALSE)*Z346)+(VLOOKUP($AA$2,[4]Prices!$J$3:$K$17,2,FALSE)*AA346)+(VLOOKUP($AB$2,[4]Prices!$J$3:$K$17,2,FALSE)*AB346)+M346</f>
        <v>6087500</v>
      </c>
      <c r="AD346" s="18"/>
      <c r="AE346" s="18"/>
      <c r="AF346" s="4">
        <f t="shared" si="20"/>
        <v>0</v>
      </c>
      <c r="AG346" s="4"/>
      <c r="AH346" s="16">
        <f t="shared" si="21"/>
        <v>0</v>
      </c>
      <c r="AI346" s="21">
        <f t="shared" si="22"/>
        <v>0</v>
      </c>
      <c r="AJ346" s="20">
        <f t="shared" si="23"/>
        <v>0</v>
      </c>
      <c r="AK346" s="9"/>
    </row>
    <row r="347" spans="1:37" hidden="1">
      <c r="A347" s="77">
        <v>345</v>
      </c>
      <c r="B347" s="78"/>
      <c r="C347" s="79"/>
      <c r="D347" s="79"/>
      <c r="E347" s="79"/>
      <c r="F347" s="79"/>
      <c r="G347" s="79"/>
      <c r="H347" s="80"/>
      <c r="I347" s="45" t="s">
        <v>846</v>
      </c>
      <c r="J347" s="45" t="s">
        <v>1390</v>
      </c>
      <c r="K347" s="46" t="s">
        <v>671</v>
      </c>
      <c r="L347" s="47" t="s">
        <v>1185</v>
      </c>
      <c r="M347" s="81">
        <f>IFERROR(VLOOKUP($L347,[3]Consolidated!$C$9:$AC$452,27,0),0)</f>
        <v>6933500</v>
      </c>
      <c r="N347" s="81">
        <f>IFERROR(VLOOKUP($L347,[3]Consolidated!$C$9:$AC$452,5,0),0)</f>
        <v>45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4">
        <f>(VLOOKUP($O$2,[4]Prices!$E$3:$K$17,2,FALSE)*O347)+(VLOOKUP($P$2,[4]Prices!$J$3:$K$17,2,FALSE)*P347)+(VLOOKUP($Q$2,[4]Prices!$J$3:$K$17,2,FALSE)*Q347)+(VLOOKUP($R$2,[4]Prices!$J$3:$K$17,2,FALSE)*R347)+(VLOOKUP($S$2,[4]Prices!$J$3:$K$17,2,FALSE)*S347)+(VLOOKUP($T$2,[4]Prices!$J$3:$K$17,2,FALSE)*T347)+(VLOOKUP($U$2,[4]Prices!$J$3:$K$17,2,FALSE)*U347)+(VLOOKUP($V$2,[4]Prices!$J$3:$K$17,2,FALSE)*V347)+(VLOOKUP($W$2,[4]Prices!$J$3:$K$17,2,FALSE)*W347)+(VLOOKUP($X$2,[4]Prices!$J$3:$K$17,2,FALSE)*X347)+(VLOOKUP($Y$2,[4]Prices!$J$3:$K$17,2,FALSE)*Y347)+(VLOOKUP($Z$2,[4]Prices!$J$3:$K$17,2,FALSE)*Z347)+(VLOOKUP($AA$2,[4]Prices!$J$3:$K$17,2,FALSE)*AA347)+(VLOOKUP($AB$2,[4]Prices!$J$3:$K$17,2,FALSE)*AB347)+M347</f>
        <v>6933500</v>
      </c>
      <c r="AD347" s="18"/>
      <c r="AE347" s="18"/>
      <c r="AF347" s="4">
        <f t="shared" si="20"/>
        <v>0</v>
      </c>
      <c r="AG347" s="4"/>
      <c r="AH347" s="16">
        <f t="shared" si="21"/>
        <v>0</v>
      </c>
      <c r="AI347" s="21">
        <f t="shared" si="22"/>
        <v>0</v>
      </c>
      <c r="AJ347" s="20">
        <f t="shared" si="23"/>
        <v>0</v>
      </c>
      <c r="AK347" s="9"/>
    </row>
    <row r="348" spans="1:37" hidden="1">
      <c r="A348" s="77">
        <v>346</v>
      </c>
      <c r="B348" s="78"/>
      <c r="C348" s="79"/>
      <c r="D348" s="79"/>
      <c r="E348" s="79"/>
      <c r="F348" s="79"/>
      <c r="G348" s="79"/>
      <c r="H348" s="80"/>
      <c r="I348" s="45" t="s">
        <v>837</v>
      </c>
      <c r="J348" s="45" t="s">
        <v>1390</v>
      </c>
      <c r="K348" s="46" t="s">
        <v>670</v>
      </c>
      <c r="L348" s="47" t="s">
        <v>1171</v>
      </c>
      <c r="M348" s="81">
        <f>IFERROR(VLOOKUP($L348,[3]Consolidated!$C$9:$AC$452,27,0),0)</f>
        <v>1255000</v>
      </c>
      <c r="N348" s="81">
        <f>IFERROR(VLOOKUP($L348,[3]Consolidated!$C$9:$AC$452,5,0),0)</f>
        <v>10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4">
        <f>(VLOOKUP($O$2,[4]Prices!$E$3:$K$17,2,FALSE)*O348)+(VLOOKUP($P$2,[4]Prices!$J$3:$K$17,2,FALSE)*P348)+(VLOOKUP($Q$2,[4]Prices!$J$3:$K$17,2,FALSE)*Q348)+(VLOOKUP($R$2,[4]Prices!$J$3:$K$17,2,FALSE)*R348)+(VLOOKUP($S$2,[4]Prices!$J$3:$K$17,2,FALSE)*S348)+(VLOOKUP($T$2,[4]Prices!$J$3:$K$17,2,FALSE)*T348)+(VLOOKUP($U$2,[4]Prices!$J$3:$K$17,2,FALSE)*U348)+(VLOOKUP($V$2,[4]Prices!$J$3:$K$17,2,FALSE)*V348)+(VLOOKUP($W$2,[4]Prices!$J$3:$K$17,2,FALSE)*W348)+(VLOOKUP($X$2,[4]Prices!$J$3:$K$17,2,FALSE)*X348)+(VLOOKUP($Y$2,[4]Prices!$J$3:$K$17,2,FALSE)*Y348)+(VLOOKUP($Z$2,[4]Prices!$J$3:$K$17,2,FALSE)*Z348)+(VLOOKUP($AA$2,[4]Prices!$J$3:$K$17,2,FALSE)*AA348)+(VLOOKUP($AB$2,[4]Prices!$J$3:$K$17,2,FALSE)*AB348)+M348</f>
        <v>1255000</v>
      </c>
      <c r="AD348" s="18"/>
      <c r="AE348" s="18"/>
      <c r="AF348" s="4">
        <f t="shared" si="20"/>
        <v>0</v>
      </c>
      <c r="AG348" s="4"/>
      <c r="AH348" s="16">
        <f t="shared" si="21"/>
        <v>0</v>
      </c>
      <c r="AI348" s="21">
        <f t="shared" si="22"/>
        <v>0</v>
      </c>
      <c r="AJ348" s="20">
        <f t="shared" si="23"/>
        <v>0</v>
      </c>
      <c r="AK348" s="9"/>
    </row>
    <row r="349" spans="1:37" hidden="1">
      <c r="A349" s="77">
        <v>347</v>
      </c>
      <c r="B349" s="78"/>
      <c r="C349" s="79"/>
      <c r="D349" s="79"/>
      <c r="E349" s="79"/>
      <c r="F349" s="79"/>
      <c r="G349" s="79"/>
      <c r="H349" s="80"/>
      <c r="I349" s="45" t="s">
        <v>836</v>
      </c>
      <c r="J349" s="45" t="s">
        <v>1390</v>
      </c>
      <c r="K349" s="46" t="s">
        <v>670</v>
      </c>
      <c r="L349" s="47" t="s">
        <v>1170</v>
      </c>
      <c r="M349" s="81">
        <f>IFERROR(VLOOKUP($L349,[3]Consolidated!$C$9:$AC$452,27,0),0)</f>
        <v>1255000</v>
      </c>
      <c r="N349" s="81">
        <f>IFERROR(VLOOKUP($L349,[3]Consolidated!$C$9:$AC$452,5,0),0)</f>
        <v>10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4">
        <f>(VLOOKUP($O$2,[4]Prices!$E$3:$K$17,2,FALSE)*O349)+(VLOOKUP($P$2,[4]Prices!$J$3:$K$17,2,FALSE)*P349)+(VLOOKUP($Q$2,[4]Prices!$J$3:$K$17,2,FALSE)*Q349)+(VLOOKUP($R$2,[4]Prices!$J$3:$K$17,2,FALSE)*R349)+(VLOOKUP($S$2,[4]Prices!$J$3:$K$17,2,FALSE)*S349)+(VLOOKUP($T$2,[4]Prices!$J$3:$K$17,2,FALSE)*T349)+(VLOOKUP($U$2,[4]Prices!$J$3:$K$17,2,FALSE)*U349)+(VLOOKUP($V$2,[4]Prices!$J$3:$K$17,2,FALSE)*V349)+(VLOOKUP($W$2,[4]Prices!$J$3:$K$17,2,FALSE)*W349)+(VLOOKUP($X$2,[4]Prices!$J$3:$K$17,2,FALSE)*X349)+(VLOOKUP($Y$2,[4]Prices!$J$3:$K$17,2,FALSE)*Y349)+(VLOOKUP($Z$2,[4]Prices!$J$3:$K$17,2,FALSE)*Z349)+(VLOOKUP($AA$2,[4]Prices!$J$3:$K$17,2,FALSE)*AA349)+(VLOOKUP($AB$2,[4]Prices!$J$3:$K$17,2,FALSE)*AB349)+M349</f>
        <v>1255000</v>
      </c>
      <c r="AD349" s="18"/>
      <c r="AE349" s="18"/>
      <c r="AF349" s="4">
        <f t="shared" si="20"/>
        <v>0</v>
      </c>
      <c r="AG349" s="4"/>
      <c r="AH349" s="16">
        <f t="shared" si="21"/>
        <v>0</v>
      </c>
      <c r="AI349" s="21">
        <f t="shared" si="22"/>
        <v>0</v>
      </c>
      <c r="AJ349" s="20">
        <f t="shared" si="23"/>
        <v>0</v>
      </c>
      <c r="AK349" s="9"/>
    </row>
    <row r="350" spans="1:37" hidden="1">
      <c r="A350" s="77">
        <v>348</v>
      </c>
      <c r="B350" s="78"/>
      <c r="C350" s="79"/>
      <c r="D350" s="79"/>
      <c r="E350" s="79"/>
      <c r="F350" s="79"/>
      <c r="G350" s="79"/>
      <c r="H350" s="80"/>
      <c r="I350" s="45" t="s">
        <v>838</v>
      </c>
      <c r="J350" s="45" t="s">
        <v>1390</v>
      </c>
      <c r="K350" s="46" t="s">
        <v>670</v>
      </c>
      <c r="L350" s="47" t="s">
        <v>1172</v>
      </c>
      <c r="M350" s="81">
        <f>IFERROR(VLOOKUP($L350,[3]Consolidated!$C$9:$AC$452,27,0),0)</f>
        <v>6909500</v>
      </c>
      <c r="N350" s="81">
        <f>IFERROR(VLOOKUP($L350,[3]Consolidated!$C$9:$AC$452,5,0),0)</f>
        <v>35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4">
        <f>(VLOOKUP($O$2,[4]Prices!$E$3:$K$17,2,FALSE)*O350)+(VLOOKUP($P$2,[4]Prices!$J$3:$K$17,2,FALSE)*P350)+(VLOOKUP($Q$2,[4]Prices!$J$3:$K$17,2,FALSE)*Q350)+(VLOOKUP($R$2,[4]Prices!$J$3:$K$17,2,FALSE)*R350)+(VLOOKUP($S$2,[4]Prices!$J$3:$K$17,2,FALSE)*S350)+(VLOOKUP($T$2,[4]Prices!$J$3:$K$17,2,FALSE)*T350)+(VLOOKUP($U$2,[4]Prices!$J$3:$K$17,2,FALSE)*U350)+(VLOOKUP($V$2,[4]Prices!$J$3:$K$17,2,FALSE)*V350)+(VLOOKUP($W$2,[4]Prices!$J$3:$K$17,2,FALSE)*W350)+(VLOOKUP($X$2,[4]Prices!$J$3:$K$17,2,FALSE)*X350)+(VLOOKUP($Y$2,[4]Prices!$J$3:$K$17,2,FALSE)*Y350)+(VLOOKUP($Z$2,[4]Prices!$J$3:$K$17,2,FALSE)*Z350)+(VLOOKUP($AA$2,[4]Prices!$J$3:$K$17,2,FALSE)*AA350)+(VLOOKUP($AB$2,[4]Prices!$J$3:$K$17,2,FALSE)*AB350)+M350</f>
        <v>6909500</v>
      </c>
      <c r="AD350" s="18"/>
      <c r="AE350" s="18"/>
      <c r="AF350" s="4">
        <f t="shared" si="20"/>
        <v>0</v>
      </c>
      <c r="AG350" s="4"/>
      <c r="AH350" s="16">
        <f t="shared" si="21"/>
        <v>0</v>
      </c>
      <c r="AI350" s="21">
        <f t="shared" si="22"/>
        <v>0</v>
      </c>
      <c r="AJ350" s="20">
        <f t="shared" si="23"/>
        <v>0</v>
      </c>
      <c r="AK350" s="9"/>
    </row>
    <row r="351" spans="1:37" hidden="1">
      <c r="A351" s="77">
        <v>349</v>
      </c>
      <c r="B351" s="78"/>
      <c r="C351" s="79"/>
      <c r="D351" s="79"/>
      <c r="E351" s="79"/>
      <c r="F351" s="79"/>
      <c r="G351" s="79"/>
      <c r="H351" s="80"/>
      <c r="I351" s="45" t="s">
        <v>831</v>
      </c>
      <c r="J351" s="45" t="s">
        <v>1390</v>
      </c>
      <c r="K351" s="46" t="s">
        <v>670</v>
      </c>
      <c r="L351" s="47" t="s">
        <v>1165</v>
      </c>
      <c r="M351" s="81">
        <f>IFERROR(VLOOKUP($L351,[3]Consolidated!$C$9:$AC$452,27,0),0)</f>
        <v>1255000</v>
      </c>
      <c r="N351" s="81">
        <f>IFERROR(VLOOKUP($L351,[3]Consolidated!$C$9:$AC$452,5,0),0)</f>
        <v>10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4">
        <f>(VLOOKUP($O$2,[4]Prices!$E$3:$K$17,2,FALSE)*O351)+(VLOOKUP($P$2,[4]Prices!$J$3:$K$17,2,FALSE)*P351)+(VLOOKUP($Q$2,[4]Prices!$J$3:$K$17,2,FALSE)*Q351)+(VLOOKUP($R$2,[4]Prices!$J$3:$K$17,2,FALSE)*R351)+(VLOOKUP($S$2,[4]Prices!$J$3:$K$17,2,FALSE)*S351)+(VLOOKUP($T$2,[4]Prices!$J$3:$K$17,2,FALSE)*T351)+(VLOOKUP($U$2,[4]Prices!$J$3:$K$17,2,FALSE)*U351)+(VLOOKUP($V$2,[4]Prices!$J$3:$K$17,2,FALSE)*V351)+(VLOOKUP($W$2,[4]Prices!$J$3:$K$17,2,FALSE)*W351)+(VLOOKUP($X$2,[4]Prices!$J$3:$K$17,2,FALSE)*X351)+(VLOOKUP($Y$2,[4]Prices!$J$3:$K$17,2,FALSE)*Y351)+(VLOOKUP($Z$2,[4]Prices!$J$3:$K$17,2,FALSE)*Z351)+(VLOOKUP($AA$2,[4]Prices!$J$3:$K$17,2,FALSE)*AA351)+(VLOOKUP($AB$2,[4]Prices!$J$3:$K$17,2,FALSE)*AB351)+M351</f>
        <v>1255000</v>
      </c>
      <c r="AD351" s="18"/>
      <c r="AE351" s="18"/>
      <c r="AF351" s="4">
        <f t="shared" si="20"/>
        <v>0</v>
      </c>
      <c r="AG351" s="4"/>
      <c r="AH351" s="16">
        <f t="shared" si="21"/>
        <v>0</v>
      </c>
      <c r="AI351" s="21">
        <f t="shared" si="22"/>
        <v>0</v>
      </c>
      <c r="AJ351" s="20">
        <f t="shared" si="23"/>
        <v>0</v>
      </c>
      <c r="AK351" s="9"/>
    </row>
    <row r="352" spans="1:37" hidden="1">
      <c r="A352" s="77">
        <v>350</v>
      </c>
      <c r="B352" s="78"/>
      <c r="C352" s="79"/>
      <c r="D352" s="79"/>
      <c r="E352" s="79"/>
      <c r="F352" s="79"/>
      <c r="G352" s="79"/>
      <c r="H352" s="80"/>
      <c r="I352" s="45" t="s">
        <v>842</v>
      </c>
      <c r="J352" s="45" t="s">
        <v>1390</v>
      </c>
      <c r="K352" s="46" t="s">
        <v>671</v>
      </c>
      <c r="L352" s="47" t="s">
        <v>1181</v>
      </c>
      <c r="M352" s="81">
        <f>IFERROR(VLOOKUP($L352,[3]Consolidated!$C$9:$AC$452,27,0),0)</f>
        <v>5104500</v>
      </c>
      <c r="N352" s="81">
        <f>IFERROR(VLOOKUP($L352,[3]Consolidated!$C$9:$AC$452,5,0),0)</f>
        <v>35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4">
        <f>(VLOOKUP($O$2,[4]Prices!$E$3:$K$17,2,FALSE)*O352)+(VLOOKUP($P$2,[4]Prices!$J$3:$K$17,2,FALSE)*P352)+(VLOOKUP($Q$2,[4]Prices!$J$3:$K$17,2,FALSE)*Q352)+(VLOOKUP($R$2,[4]Prices!$J$3:$K$17,2,FALSE)*R352)+(VLOOKUP($S$2,[4]Prices!$J$3:$K$17,2,FALSE)*S352)+(VLOOKUP($T$2,[4]Prices!$J$3:$K$17,2,FALSE)*T352)+(VLOOKUP($U$2,[4]Prices!$J$3:$K$17,2,FALSE)*U352)+(VLOOKUP($V$2,[4]Prices!$J$3:$K$17,2,FALSE)*V352)+(VLOOKUP($W$2,[4]Prices!$J$3:$K$17,2,FALSE)*W352)+(VLOOKUP($X$2,[4]Prices!$J$3:$K$17,2,FALSE)*X352)+(VLOOKUP($Y$2,[4]Prices!$J$3:$K$17,2,FALSE)*Y352)+(VLOOKUP($Z$2,[4]Prices!$J$3:$K$17,2,FALSE)*Z352)+(VLOOKUP($AA$2,[4]Prices!$J$3:$K$17,2,FALSE)*AA352)+(VLOOKUP($AB$2,[4]Prices!$J$3:$K$17,2,FALSE)*AB352)+M352</f>
        <v>5104500</v>
      </c>
      <c r="AD352" s="18"/>
      <c r="AE352" s="18"/>
      <c r="AF352" s="4">
        <f t="shared" si="20"/>
        <v>0</v>
      </c>
      <c r="AG352" s="4"/>
      <c r="AH352" s="16">
        <f t="shared" si="21"/>
        <v>0</v>
      </c>
      <c r="AI352" s="21">
        <f t="shared" si="22"/>
        <v>0</v>
      </c>
      <c r="AJ352" s="20">
        <f t="shared" si="23"/>
        <v>0</v>
      </c>
      <c r="AK352" s="9"/>
    </row>
    <row r="353" spans="1:37" hidden="1">
      <c r="A353" s="77">
        <v>351</v>
      </c>
      <c r="B353" s="78"/>
      <c r="C353" s="79"/>
      <c r="D353" s="79"/>
      <c r="E353" s="79"/>
      <c r="F353" s="79"/>
      <c r="G353" s="79"/>
      <c r="H353" s="80"/>
      <c r="I353" s="45" t="s">
        <v>1451</v>
      </c>
      <c r="J353" s="45" t="s">
        <v>1390</v>
      </c>
      <c r="K353" s="46" t="s">
        <v>669</v>
      </c>
      <c r="L353" s="47" t="s">
        <v>1148</v>
      </c>
      <c r="M353" s="81">
        <f>IFERROR(VLOOKUP($L353,[3]Consolidated!$C$9:$AC$452,27,0),0)</f>
        <v>2381500</v>
      </c>
      <c r="N353" s="81">
        <f>IFERROR(VLOOKUP($L353,[3]Consolidated!$C$9:$AC$452,5,0),0)</f>
        <v>15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4">
        <f>(VLOOKUP($O$2,[4]Prices!$E$3:$K$17,2,FALSE)*O353)+(VLOOKUP($P$2,[4]Prices!$J$3:$K$17,2,FALSE)*P353)+(VLOOKUP($Q$2,[4]Prices!$J$3:$K$17,2,FALSE)*Q353)+(VLOOKUP($R$2,[4]Prices!$J$3:$K$17,2,FALSE)*R353)+(VLOOKUP($S$2,[4]Prices!$J$3:$K$17,2,FALSE)*S353)+(VLOOKUP($T$2,[4]Prices!$J$3:$K$17,2,FALSE)*T353)+(VLOOKUP($U$2,[4]Prices!$J$3:$K$17,2,FALSE)*U353)+(VLOOKUP($V$2,[4]Prices!$J$3:$K$17,2,FALSE)*V353)+(VLOOKUP($W$2,[4]Prices!$J$3:$K$17,2,FALSE)*W353)+(VLOOKUP($X$2,[4]Prices!$J$3:$K$17,2,FALSE)*X353)+(VLOOKUP($Y$2,[4]Prices!$J$3:$K$17,2,FALSE)*Y353)+(VLOOKUP($Z$2,[4]Prices!$J$3:$K$17,2,FALSE)*Z353)+(VLOOKUP($AA$2,[4]Prices!$J$3:$K$17,2,FALSE)*AA353)+(VLOOKUP($AB$2,[4]Prices!$J$3:$K$17,2,FALSE)*AB353)+M353</f>
        <v>2381500</v>
      </c>
      <c r="AD353" s="18"/>
      <c r="AE353" s="18"/>
      <c r="AF353" s="4">
        <f t="shared" si="20"/>
        <v>0</v>
      </c>
      <c r="AG353" s="4"/>
      <c r="AH353" s="16">
        <f t="shared" si="21"/>
        <v>0</v>
      </c>
      <c r="AI353" s="21">
        <f t="shared" si="22"/>
        <v>0</v>
      </c>
      <c r="AJ353" s="20">
        <f t="shared" si="23"/>
        <v>0</v>
      </c>
      <c r="AK353" s="9"/>
    </row>
    <row r="354" spans="1:37" hidden="1">
      <c r="A354" s="77">
        <v>352</v>
      </c>
      <c r="B354" s="78"/>
      <c r="C354" s="79"/>
      <c r="D354" s="79"/>
      <c r="E354" s="79"/>
      <c r="F354" s="79"/>
      <c r="G354" s="79"/>
      <c r="H354" s="80"/>
      <c r="I354" s="45" t="s">
        <v>829</v>
      </c>
      <c r="J354" s="45" t="s">
        <v>1390</v>
      </c>
      <c r="K354" s="46" t="s">
        <v>670</v>
      </c>
      <c r="L354" s="47" t="s">
        <v>1163</v>
      </c>
      <c r="M354" s="81">
        <f>IFERROR(VLOOKUP($L354,[3]Consolidated!$C$9:$AC$452,27,0),0)</f>
        <v>1255000</v>
      </c>
      <c r="N354" s="81">
        <f>IFERROR(VLOOKUP($L354,[3]Consolidated!$C$9:$AC$452,5,0),0)</f>
        <v>10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4">
        <f>(VLOOKUP($O$2,[4]Prices!$E$3:$K$17,2,FALSE)*O354)+(VLOOKUP($P$2,[4]Prices!$J$3:$K$17,2,FALSE)*P354)+(VLOOKUP($Q$2,[4]Prices!$J$3:$K$17,2,FALSE)*Q354)+(VLOOKUP($R$2,[4]Prices!$J$3:$K$17,2,FALSE)*R354)+(VLOOKUP($S$2,[4]Prices!$J$3:$K$17,2,FALSE)*S354)+(VLOOKUP($T$2,[4]Prices!$J$3:$K$17,2,FALSE)*T354)+(VLOOKUP($U$2,[4]Prices!$J$3:$K$17,2,FALSE)*U354)+(VLOOKUP($V$2,[4]Prices!$J$3:$K$17,2,FALSE)*V354)+(VLOOKUP($W$2,[4]Prices!$J$3:$K$17,2,FALSE)*W354)+(VLOOKUP($X$2,[4]Prices!$J$3:$K$17,2,FALSE)*X354)+(VLOOKUP($Y$2,[4]Prices!$J$3:$K$17,2,FALSE)*Y354)+(VLOOKUP($Z$2,[4]Prices!$J$3:$K$17,2,FALSE)*Z354)+(VLOOKUP($AA$2,[4]Prices!$J$3:$K$17,2,FALSE)*AA354)+(VLOOKUP($AB$2,[4]Prices!$J$3:$K$17,2,FALSE)*AB354)+M354</f>
        <v>1255000</v>
      </c>
      <c r="AD354" s="18"/>
      <c r="AE354" s="18"/>
      <c r="AF354" s="4">
        <f t="shared" si="20"/>
        <v>0</v>
      </c>
      <c r="AG354" s="4"/>
      <c r="AH354" s="16">
        <f t="shared" si="21"/>
        <v>0</v>
      </c>
      <c r="AI354" s="21">
        <f t="shared" si="22"/>
        <v>0</v>
      </c>
      <c r="AJ354" s="20">
        <f t="shared" si="23"/>
        <v>0</v>
      </c>
      <c r="AK354" s="19"/>
    </row>
    <row r="355" spans="1:37" hidden="1">
      <c r="A355" s="77">
        <v>353</v>
      </c>
      <c r="B355" s="78"/>
      <c r="C355" s="79"/>
      <c r="D355" s="79"/>
      <c r="E355" s="79"/>
      <c r="F355" s="79"/>
      <c r="G355" s="79"/>
      <c r="H355" s="80"/>
      <c r="I355" s="45" t="s">
        <v>817</v>
      </c>
      <c r="J355" s="45" t="s">
        <v>1390</v>
      </c>
      <c r="K355" s="46" t="s">
        <v>669</v>
      </c>
      <c r="L355" s="47" t="s">
        <v>1147</v>
      </c>
      <c r="M355" s="81">
        <f>IFERROR(VLOOKUP($L355,[3]Consolidated!$C$9:$AC$452,27,0),0)</f>
        <v>2381500</v>
      </c>
      <c r="N355" s="81">
        <f>IFERROR(VLOOKUP($L355,[3]Consolidated!$C$9:$AC$452,5,0),0)</f>
        <v>15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4">
        <f>(VLOOKUP($O$2,[4]Prices!$E$3:$K$17,2,FALSE)*O355)+(VLOOKUP($P$2,[4]Prices!$J$3:$K$17,2,FALSE)*P355)+(VLOOKUP($Q$2,[4]Prices!$J$3:$K$17,2,FALSE)*Q355)+(VLOOKUP($R$2,[4]Prices!$J$3:$K$17,2,FALSE)*R355)+(VLOOKUP($S$2,[4]Prices!$J$3:$K$17,2,FALSE)*S355)+(VLOOKUP($T$2,[4]Prices!$J$3:$K$17,2,FALSE)*T355)+(VLOOKUP($U$2,[4]Prices!$J$3:$K$17,2,FALSE)*U355)+(VLOOKUP($V$2,[4]Prices!$J$3:$K$17,2,FALSE)*V355)+(VLOOKUP($W$2,[4]Prices!$J$3:$K$17,2,FALSE)*W355)+(VLOOKUP($X$2,[4]Prices!$J$3:$K$17,2,FALSE)*X355)+(VLOOKUP($Y$2,[4]Prices!$J$3:$K$17,2,FALSE)*Y355)+(VLOOKUP($Z$2,[4]Prices!$J$3:$K$17,2,FALSE)*Z355)+(VLOOKUP($AA$2,[4]Prices!$J$3:$K$17,2,FALSE)*AA355)+(VLOOKUP($AB$2,[4]Prices!$J$3:$K$17,2,FALSE)*AB355)+M355</f>
        <v>2381500</v>
      </c>
      <c r="AD355" s="18"/>
      <c r="AE355" s="18"/>
      <c r="AF355" s="4">
        <f t="shared" si="20"/>
        <v>0</v>
      </c>
      <c r="AG355" s="4"/>
      <c r="AH355" s="16">
        <f t="shared" si="21"/>
        <v>0</v>
      </c>
      <c r="AI355" s="21">
        <f t="shared" si="22"/>
        <v>0</v>
      </c>
      <c r="AJ355" s="20">
        <f t="shared" si="23"/>
        <v>0</v>
      </c>
      <c r="AK355" s="9"/>
    </row>
    <row r="356" spans="1:37" hidden="1">
      <c r="A356" s="77">
        <v>354</v>
      </c>
      <c r="B356" s="78"/>
      <c r="C356" s="79"/>
      <c r="D356" s="79"/>
      <c r="E356" s="79"/>
      <c r="F356" s="79"/>
      <c r="G356" s="79"/>
      <c r="H356" s="80"/>
      <c r="I356" s="45" t="s">
        <v>1452</v>
      </c>
      <c r="J356" s="45" t="s">
        <v>1390</v>
      </c>
      <c r="K356" s="46" t="s">
        <v>670</v>
      </c>
      <c r="L356" s="47" t="s">
        <v>1162</v>
      </c>
      <c r="M356" s="81">
        <f>IFERROR(VLOOKUP($L356,[3]Consolidated!$C$9:$AC$452,27,0),0)</f>
        <v>1675000</v>
      </c>
      <c r="N356" s="81">
        <f>IFERROR(VLOOKUP($L356,[3]Consolidated!$C$9:$AC$452,5,0),0)</f>
        <v>10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4">
        <f>(VLOOKUP($O$2,[4]Prices!$E$3:$K$17,2,FALSE)*O356)+(VLOOKUP($P$2,[4]Prices!$J$3:$K$17,2,FALSE)*P356)+(VLOOKUP($Q$2,[4]Prices!$J$3:$K$17,2,FALSE)*Q356)+(VLOOKUP($R$2,[4]Prices!$J$3:$K$17,2,FALSE)*R356)+(VLOOKUP($S$2,[4]Prices!$J$3:$K$17,2,FALSE)*S356)+(VLOOKUP($T$2,[4]Prices!$J$3:$K$17,2,FALSE)*T356)+(VLOOKUP($U$2,[4]Prices!$J$3:$K$17,2,FALSE)*U356)+(VLOOKUP($V$2,[4]Prices!$J$3:$K$17,2,FALSE)*V356)+(VLOOKUP($W$2,[4]Prices!$J$3:$K$17,2,FALSE)*W356)+(VLOOKUP($X$2,[4]Prices!$J$3:$K$17,2,FALSE)*X356)+(VLOOKUP($Y$2,[4]Prices!$J$3:$K$17,2,FALSE)*Y356)+(VLOOKUP($Z$2,[4]Prices!$J$3:$K$17,2,FALSE)*Z356)+(VLOOKUP($AA$2,[4]Prices!$J$3:$K$17,2,FALSE)*AA356)+(VLOOKUP($AB$2,[4]Prices!$J$3:$K$17,2,FALSE)*AB356)+M356</f>
        <v>1675000</v>
      </c>
      <c r="AD356" s="18"/>
      <c r="AE356" s="18"/>
      <c r="AF356" s="4">
        <f t="shared" si="20"/>
        <v>0</v>
      </c>
      <c r="AG356" s="4"/>
      <c r="AH356" s="16">
        <f t="shared" si="21"/>
        <v>0</v>
      </c>
      <c r="AI356" s="21">
        <f t="shared" si="22"/>
        <v>0</v>
      </c>
      <c r="AJ356" s="20">
        <f t="shared" si="23"/>
        <v>0</v>
      </c>
      <c r="AK356" s="9"/>
    </row>
    <row r="357" spans="1:37" hidden="1">
      <c r="A357" s="77">
        <v>355</v>
      </c>
      <c r="B357" s="78"/>
      <c r="C357" s="79"/>
      <c r="D357" s="79"/>
      <c r="E357" s="79"/>
      <c r="F357" s="79"/>
      <c r="G357" s="79"/>
      <c r="H357" s="80"/>
      <c r="I357" s="45" t="s">
        <v>1453</v>
      </c>
      <c r="J357" s="45" t="s">
        <v>1390</v>
      </c>
      <c r="K357" s="46" t="s">
        <v>670</v>
      </c>
      <c r="L357" s="47" t="s">
        <v>1161</v>
      </c>
      <c r="M357" s="81">
        <f>IFERROR(VLOOKUP($L357,[3]Consolidated!$C$9:$AC$452,27,0),0)</f>
        <v>1675000</v>
      </c>
      <c r="N357" s="81">
        <f>IFERROR(VLOOKUP($L357,[3]Consolidated!$C$9:$AC$452,5,0),0)</f>
        <v>10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4">
        <f>(VLOOKUP($O$2,[4]Prices!$E$3:$K$17,2,FALSE)*O357)+(VLOOKUP($P$2,[4]Prices!$J$3:$K$17,2,FALSE)*P357)+(VLOOKUP($Q$2,[4]Prices!$J$3:$K$17,2,FALSE)*Q357)+(VLOOKUP($R$2,[4]Prices!$J$3:$K$17,2,FALSE)*R357)+(VLOOKUP($S$2,[4]Prices!$J$3:$K$17,2,FALSE)*S357)+(VLOOKUP($T$2,[4]Prices!$J$3:$K$17,2,FALSE)*T357)+(VLOOKUP($U$2,[4]Prices!$J$3:$K$17,2,FALSE)*U357)+(VLOOKUP($V$2,[4]Prices!$J$3:$K$17,2,FALSE)*V357)+(VLOOKUP($W$2,[4]Prices!$J$3:$K$17,2,FALSE)*W357)+(VLOOKUP($X$2,[4]Prices!$J$3:$K$17,2,FALSE)*X357)+(VLOOKUP($Y$2,[4]Prices!$J$3:$K$17,2,FALSE)*Y357)+(VLOOKUP($Z$2,[4]Prices!$J$3:$K$17,2,FALSE)*Z357)+(VLOOKUP($AA$2,[4]Prices!$J$3:$K$17,2,FALSE)*AA357)+(VLOOKUP($AB$2,[4]Prices!$J$3:$K$17,2,FALSE)*AB357)+M357</f>
        <v>1675000</v>
      </c>
      <c r="AD357" s="18"/>
      <c r="AE357" s="18"/>
      <c r="AF357" s="4">
        <f t="shared" si="20"/>
        <v>0</v>
      </c>
      <c r="AG357" s="4"/>
      <c r="AH357" s="16">
        <f t="shared" si="21"/>
        <v>0</v>
      </c>
      <c r="AI357" s="21">
        <f t="shared" si="22"/>
        <v>0</v>
      </c>
      <c r="AJ357" s="20">
        <f t="shared" si="23"/>
        <v>0</v>
      </c>
      <c r="AK357" s="9"/>
    </row>
    <row r="358" spans="1:37" hidden="1">
      <c r="A358" s="77">
        <v>356</v>
      </c>
      <c r="B358" s="78"/>
      <c r="C358" s="79"/>
      <c r="D358" s="79"/>
      <c r="E358" s="79"/>
      <c r="F358" s="79"/>
      <c r="G358" s="79"/>
      <c r="H358" s="80"/>
      <c r="I358" s="45" t="s">
        <v>816</v>
      </c>
      <c r="J358" s="45" t="s">
        <v>1390</v>
      </c>
      <c r="K358" s="46" t="s">
        <v>669</v>
      </c>
      <c r="L358" s="47" t="s">
        <v>1146</v>
      </c>
      <c r="M358" s="81">
        <f>IFERROR(VLOOKUP($L358,[3]Consolidated!$C$9:$AC$452,27,0),0)</f>
        <v>1625000</v>
      </c>
      <c r="N358" s="81">
        <f>IFERROR(VLOOKUP($L358,[3]Consolidated!$C$9:$AC$452,5,0),0)</f>
        <v>10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4">
        <f>(VLOOKUP($O$2,[4]Prices!$E$3:$K$17,2,FALSE)*O358)+(VLOOKUP($P$2,[4]Prices!$J$3:$K$17,2,FALSE)*P358)+(VLOOKUP($Q$2,[4]Prices!$J$3:$K$17,2,FALSE)*Q358)+(VLOOKUP($R$2,[4]Prices!$J$3:$K$17,2,FALSE)*R358)+(VLOOKUP($S$2,[4]Prices!$J$3:$K$17,2,FALSE)*S358)+(VLOOKUP($T$2,[4]Prices!$J$3:$K$17,2,FALSE)*T358)+(VLOOKUP($U$2,[4]Prices!$J$3:$K$17,2,FALSE)*U358)+(VLOOKUP($V$2,[4]Prices!$J$3:$K$17,2,FALSE)*V358)+(VLOOKUP($W$2,[4]Prices!$J$3:$K$17,2,FALSE)*W358)+(VLOOKUP($X$2,[4]Prices!$J$3:$K$17,2,FALSE)*X358)+(VLOOKUP($Y$2,[4]Prices!$J$3:$K$17,2,FALSE)*Y358)+(VLOOKUP($Z$2,[4]Prices!$J$3:$K$17,2,FALSE)*Z358)+(VLOOKUP($AA$2,[4]Prices!$J$3:$K$17,2,FALSE)*AA358)+(VLOOKUP($AB$2,[4]Prices!$J$3:$K$17,2,FALSE)*AB358)+M358</f>
        <v>1625000</v>
      </c>
      <c r="AD358" s="18"/>
      <c r="AE358" s="18"/>
      <c r="AF358" s="4">
        <f t="shared" si="20"/>
        <v>0</v>
      </c>
      <c r="AG358" s="4"/>
      <c r="AH358" s="16">
        <f t="shared" si="21"/>
        <v>0</v>
      </c>
      <c r="AI358" s="21">
        <f t="shared" si="22"/>
        <v>0</v>
      </c>
      <c r="AJ358" s="20">
        <f t="shared" si="23"/>
        <v>0</v>
      </c>
      <c r="AK358" s="9"/>
    </row>
    <row r="359" spans="1:37" hidden="1">
      <c r="A359" s="77">
        <v>357</v>
      </c>
      <c r="B359" s="78"/>
      <c r="C359" s="79"/>
      <c r="D359" s="79"/>
      <c r="E359" s="79"/>
      <c r="F359" s="79"/>
      <c r="G359" s="79"/>
      <c r="H359" s="80"/>
      <c r="I359" s="45" t="s">
        <v>1454</v>
      </c>
      <c r="J359" s="45" t="s">
        <v>1390</v>
      </c>
      <c r="K359" s="46" t="s">
        <v>670</v>
      </c>
      <c r="L359" s="47" t="s">
        <v>1173</v>
      </c>
      <c r="M359" s="81">
        <f>IFERROR(VLOOKUP($L359,[3]Consolidated!$C$9:$AC$452,27,0),0)</f>
        <v>6143500</v>
      </c>
      <c r="N359" s="81">
        <f>IFERROR(VLOOKUP($L359,[3]Consolidated!$C$9:$AC$452,5,0),0)</f>
        <v>35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4">
        <f>(VLOOKUP($O$2,[4]Prices!$E$3:$K$17,2,FALSE)*O359)+(VLOOKUP($P$2,[4]Prices!$J$3:$K$17,2,FALSE)*P359)+(VLOOKUP($Q$2,[4]Prices!$J$3:$K$17,2,FALSE)*Q359)+(VLOOKUP($R$2,[4]Prices!$J$3:$K$17,2,FALSE)*R359)+(VLOOKUP($S$2,[4]Prices!$J$3:$K$17,2,FALSE)*S359)+(VLOOKUP($T$2,[4]Prices!$J$3:$K$17,2,FALSE)*T359)+(VLOOKUP($U$2,[4]Prices!$J$3:$K$17,2,FALSE)*U359)+(VLOOKUP($V$2,[4]Prices!$J$3:$K$17,2,FALSE)*V359)+(VLOOKUP($W$2,[4]Prices!$J$3:$K$17,2,FALSE)*W359)+(VLOOKUP($X$2,[4]Prices!$J$3:$K$17,2,FALSE)*X359)+(VLOOKUP($Y$2,[4]Prices!$J$3:$K$17,2,FALSE)*Y359)+(VLOOKUP($Z$2,[4]Prices!$J$3:$K$17,2,FALSE)*Z359)+(VLOOKUP($AA$2,[4]Prices!$J$3:$K$17,2,FALSE)*AA359)+(VLOOKUP($AB$2,[4]Prices!$J$3:$K$17,2,FALSE)*AB359)+M359</f>
        <v>6143500</v>
      </c>
      <c r="AD359" s="18"/>
      <c r="AE359" s="18"/>
      <c r="AF359" s="4">
        <f t="shared" si="20"/>
        <v>0</v>
      </c>
      <c r="AG359" s="4"/>
      <c r="AH359" s="16">
        <f t="shared" si="21"/>
        <v>0</v>
      </c>
      <c r="AI359" s="21">
        <f t="shared" si="22"/>
        <v>0</v>
      </c>
      <c r="AJ359" s="20">
        <f t="shared" si="23"/>
        <v>0</v>
      </c>
      <c r="AK359" s="9"/>
    </row>
    <row r="360" spans="1:37" hidden="1">
      <c r="A360" s="77">
        <v>358</v>
      </c>
      <c r="B360" s="78"/>
      <c r="C360" s="79"/>
      <c r="D360" s="79"/>
      <c r="E360" s="79"/>
      <c r="F360" s="79"/>
      <c r="G360" s="79"/>
      <c r="H360" s="80"/>
      <c r="I360" s="45" t="s">
        <v>1455</v>
      </c>
      <c r="J360" s="45" t="s">
        <v>1390</v>
      </c>
      <c r="K360" s="46" t="s">
        <v>670</v>
      </c>
      <c r="L360" s="47" t="s">
        <v>1175</v>
      </c>
      <c r="M360" s="81">
        <f>IFERROR(VLOOKUP($L360,[3]Consolidated!$C$9:$AC$452,27,0),0)</f>
        <v>6758500</v>
      </c>
      <c r="N360" s="81">
        <f>IFERROR(VLOOKUP($L360,[3]Consolidated!$C$9:$AC$452,5,0),0)</f>
        <v>35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4">
        <f>(VLOOKUP($O$2,[4]Prices!$E$3:$K$17,2,FALSE)*O360)+(VLOOKUP($P$2,[4]Prices!$J$3:$K$17,2,FALSE)*P360)+(VLOOKUP($Q$2,[4]Prices!$J$3:$K$17,2,FALSE)*Q360)+(VLOOKUP($R$2,[4]Prices!$J$3:$K$17,2,FALSE)*R360)+(VLOOKUP($S$2,[4]Prices!$J$3:$K$17,2,FALSE)*S360)+(VLOOKUP($T$2,[4]Prices!$J$3:$K$17,2,FALSE)*T360)+(VLOOKUP($U$2,[4]Prices!$J$3:$K$17,2,FALSE)*U360)+(VLOOKUP($V$2,[4]Prices!$J$3:$K$17,2,FALSE)*V360)+(VLOOKUP($W$2,[4]Prices!$J$3:$K$17,2,FALSE)*W360)+(VLOOKUP($X$2,[4]Prices!$J$3:$K$17,2,FALSE)*X360)+(VLOOKUP($Y$2,[4]Prices!$J$3:$K$17,2,FALSE)*Y360)+(VLOOKUP($Z$2,[4]Prices!$J$3:$K$17,2,FALSE)*Z360)+(VLOOKUP($AA$2,[4]Prices!$J$3:$K$17,2,FALSE)*AA360)+(VLOOKUP($AB$2,[4]Prices!$J$3:$K$17,2,FALSE)*AB360)+M360</f>
        <v>6758500</v>
      </c>
      <c r="AD360" s="18"/>
      <c r="AE360" s="18"/>
      <c r="AF360" s="4">
        <f t="shared" si="20"/>
        <v>0</v>
      </c>
      <c r="AG360" s="4"/>
      <c r="AH360" s="16">
        <f t="shared" si="21"/>
        <v>0</v>
      </c>
      <c r="AI360" s="21">
        <f t="shared" si="22"/>
        <v>0</v>
      </c>
      <c r="AJ360" s="20">
        <f t="shared" si="23"/>
        <v>0</v>
      </c>
      <c r="AK360" s="9"/>
    </row>
    <row r="361" spans="1:37" hidden="1">
      <c r="A361" s="77">
        <v>359</v>
      </c>
      <c r="B361" s="78"/>
      <c r="C361" s="79"/>
      <c r="D361" s="79"/>
      <c r="E361" s="79"/>
      <c r="F361" s="79"/>
      <c r="G361" s="79"/>
      <c r="H361" s="80"/>
      <c r="I361" s="45" t="s">
        <v>1456</v>
      </c>
      <c r="J361" s="45" t="s">
        <v>1390</v>
      </c>
      <c r="K361" s="46" t="s">
        <v>672</v>
      </c>
      <c r="L361" s="47" t="s">
        <v>1194</v>
      </c>
      <c r="M361" s="81">
        <f>IFERROR(VLOOKUP($L361,[3]Consolidated!$C$9:$AC$452,27,0),0)</f>
        <v>1879000</v>
      </c>
      <c r="N361" s="81">
        <f>IFERROR(VLOOKUP($L361,[3]Consolidated!$C$9:$AC$452,5,0),0)</f>
        <v>10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4">
        <f>(VLOOKUP($O$2,[4]Prices!$E$3:$K$17,2,FALSE)*O361)+(VLOOKUP($P$2,[4]Prices!$J$3:$K$17,2,FALSE)*P361)+(VLOOKUP($Q$2,[4]Prices!$J$3:$K$17,2,FALSE)*Q361)+(VLOOKUP($R$2,[4]Prices!$J$3:$K$17,2,FALSE)*R361)+(VLOOKUP($S$2,[4]Prices!$J$3:$K$17,2,FALSE)*S361)+(VLOOKUP($T$2,[4]Prices!$J$3:$K$17,2,FALSE)*T361)+(VLOOKUP($U$2,[4]Prices!$J$3:$K$17,2,FALSE)*U361)+(VLOOKUP($V$2,[4]Prices!$J$3:$K$17,2,FALSE)*V361)+(VLOOKUP($W$2,[4]Prices!$J$3:$K$17,2,FALSE)*W361)+(VLOOKUP($X$2,[4]Prices!$J$3:$K$17,2,FALSE)*X361)+(VLOOKUP($Y$2,[4]Prices!$J$3:$K$17,2,FALSE)*Y361)+(VLOOKUP($Z$2,[4]Prices!$J$3:$K$17,2,FALSE)*Z361)+(VLOOKUP($AA$2,[4]Prices!$J$3:$K$17,2,FALSE)*AA361)+(VLOOKUP($AB$2,[4]Prices!$J$3:$K$17,2,FALSE)*AB361)+M361</f>
        <v>1879000</v>
      </c>
      <c r="AD361" s="18"/>
      <c r="AE361" s="18"/>
      <c r="AF361" s="4">
        <f t="shared" si="20"/>
        <v>0</v>
      </c>
      <c r="AG361" s="4"/>
      <c r="AH361" s="16">
        <f t="shared" si="21"/>
        <v>0</v>
      </c>
      <c r="AI361" s="21">
        <f t="shared" si="22"/>
        <v>0</v>
      </c>
      <c r="AJ361" s="20">
        <f t="shared" si="23"/>
        <v>0</v>
      </c>
      <c r="AK361" s="9"/>
    </row>
    <row r="362" spans="1:37" hidden="1">
      <c r="A362" s="77">
        <v>360</v>
      </c>
      <c r="B362" s="78"/>
      <c r="C362" s="79"/>
      <c r="D362" s="79"/>
      <c r="E362" s="79"/>
      <c r="F362" s="79"/>
      <c r="G362" s="79"/>
      <c r="H362" s="80"/>
      <c r="I362" s="45" t="s">
        <v>1457</v>
      </c>
      <c r="J362" s="45" t="s">
        <v>1390</v>
      </c>
      <c r="K362" s="46" t="s">
        <v>670</v>
      </c>
      <c r="L362" s="47" t="s">
        <v>1174</v>
      </c>
      <c r="M362" s="81">
        <f>IFERROR(VLOOKUP($L362,[3]Consolidated!$C$9:$AC$452,27,0),0)</f>
        <v>1330000</v>
      </c>
      <c r="N362" s="81">
        <f>IFERROR(VLOOKUP($L362,[3]Consolidated!$C$9:$AC$452,5,0),0)</f>
        <v>10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4">
        <f>(VLOOKUP($O$2,[4]Prices!$E$3:$K$17,2,FALSE)*O362)+(VLOOKUP($P$2,[4]Prices!$J$3:$K$17,2,FALSE)*P362)+(VLOOKUP($Q$2,[4]Prices!$J$3:$K$17,2,FALSE)*Q362)+(VLOOKUP($R$2,[4]Prices!$J$3:$K$17,2,FALSE)*R362)+(VLOOKUP($S$2,[4]Prices!$J$3:$K$17,2,FALSE)*S362)+(VLOOKUP($T$2,[4]Prices!$J$3:$K$17,2,FALSE)*T362)+(VLOOKUP($U$2,[4]Prices!$J$3:$K$17,2,FALSE)*U362)+(VLOOKUP($V$2,[4]Prices!$J$3:$K$17,2,FALSE)*V362)+(VLOOKUP($W$2,[4]Prices!$J$3:$K$17,2,FALSE)*W362)+(VLOOKUP($X$2,[4]Prices!$J$3:$K$17,2,FALSE)*X362)+(VLOOKUP($Y$2,[4]Prices!$J$3:$K$17,2,FALSE)*Y362)+(VLOOKUP($Z$2,[4]Prices!$J$3:$K$17,2,FALSE)*Z362)+(VLOOKUP($AA$2,[4]Prices!$J$3:$K$17,2,FALSE)*AA362)+(VLOOKUP($AB$2,[4]Prices!$J$3:$K$17,2,FALSE)*AB362)+M362</f>
        <v>1330000</v>
      </c>
      <c r="AD362" s="18"/>
      <c r="AE362" s="18"/>
      <c r="AF362" s="4">
        <f t="shared" si="20"/>
        <v>0</v>
      </c>
      <c r="AG362" s="4"/>
      <c r="AH362" s="16">
        <f t="shared" si="21"/>
        <v>0</v>
      </c>
      <c r="AI362" s="21">
        <f t="shared" si="22"/>
        <v>0</v>
      </c>
      <c r="AJ362" s="20">
        <f t="shared" si="23"/>
        <v>0</v>
      </c>
      <c r="AK362" s="9"/>
    </row>
    <row r="363" spans="1:37" hidden="1">
      <c r="A363" s="77">
        <v>361</v>
      </c>
      <c r="B363" s="78"/>
      <c r="C363" s="79"/>
      <c r="D363" s="79"/>
      <c r="E363" s="79"/>
      <c r="F363" s="79"/>
      <c r="G363" s="79"/>
      <c r="H363" s="80"/>
      <c r="I363" s="45" t="s">
        <v>1458</v>
      </c>
      <c r="J363" s="45" t="s">
        <v>1390</v>
      </c>
      <c r="K363" s="46" t="s">
        <v>671</v>
      </c>
      <c r="L363" s="46" t="s">
        <v>1192</v>
      </c>
      <c r="M363" s="81">
        <f>IFERROR(VLOOKUP($L363,[3]Consolidated!$C$9:$AC$452,27,0),0)</f>
        <v>1636000</v>
      </c>
      <c r="N363" s="81">
        <f>IFERROR(VLOOKUP($L363,[3]Consolidated!$C$9:$AC$452,5,0),0)</f>
        <v>10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4">
        <f>(VLOOKUP($O$2,[4]Prices!$E$3:$K$17,2,FALSE)*O363)+(VLOOKUP($P$2,[4]Prices!$J$3:$K$17,2,FALSE)*P363)+(VLOOKUP($Q$2,[4]Prices!$J$3:$K$17,2,FALSE)*Q363)+(VLOOKUP($R$2,[4]Prices!$J$3:$K$17,2,FALSE)*R363)+(VLOOKUP($S$2,[4]Prices!$J$3:$K$17,2,FALSE)*S363)+(VLOOKUP($T$2,[4]Prices!$J$3:$K$17,2,FALSE)*T363)+(VLOOKUP($U$2,[4]Prices!$J$3:$K$17,2,FALSE)*U363)+(VLOOKUP($V$2,[4]Prices!$J$3:$K$17,2,FALSE)*V363)+(VLOOKUP($W$2,[4]Prices!$J$3:$K$17,2,FALSE)*W363)+(VLOOKUP($X$2,[4]Prices!$J$3:$K$17,2,FALSE)*X363)+(VLOOKUP($Y$2,[4]Prices!$J$3:$K$17,2,FALSE)*Y363)+(VLOOKUP($Z$2,[4]Prices!$J$3:$K$17,2,FALSE)*Z363)+(VLOOKUP($AA$2,[4]Prices!$J$3:$K$17,2,FALSE)*AA363)+(VLOOKUP($AB$2,[4]Prices!$J$3:$K$17,2,FALSE)*AB363)+M363</f>
        <v>1636000</v>
      </c>
      <c r="AD363" s="18"/>
      <c r="AE363" s="18"/>
      <c r="AF363" s="4">
        <f t="shared" si="20"/>
        <v>0</v>
      </c>
      <c r="AG363" s="4"/>
      <c r="AH363" s="16">
        <f t="shared" si="21"/>
        <v>0</v>
      </c>
      <c r="AI363" s="21">
        <f t="shared" si="22"/>
        <v>0</v>
      </c>
      <c r="AJ363" s="20">
        <f t="shared" si="23"/>
        <v>0</v>
      </c>
      <c r="AK363" s="9"/>
    </row>
    <row r="364" spans="1:37" hidden="1">
      <c r="A364" s="77">
        <v>362</v>
      </c>
      <c r="B364" s="78"/>
      <c r="C364" s="79"/>
      <c r="D364" s="79"/>
      <c r="E364" s="79"/>
      <c r="F364" s="79"/>
      <c r="G364" s="79"/>
      <c r="H364" s="80"/>
      <c r="I364" s="45" t="s">
        <v>1459</v>
      </c>
      <c r="J364" s="45" t="s">
        <v>1390</v>
      </c>
      <c r="K364" s="46" t="s">
        <v>672</v>
      </c>
      <c r="L364" s="46" t="s">
        <v>1207</v>
      </c>
      <c r="M364" s="81">
        <f>IFERROR(VLOOKUP($L364,[3]Consolidated!$C$9:$AC$452,27,0),0)</f>
        <v>6087500</v>
      </c>
      <c r="N364" s="81">
        <f>IFERROR(VLOOKUP($L364,[3]Consolidated!$C$9:$AC$452,5,0),0)</f>
        <v>35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4">
        <f>(VLOOKUP($O$2,[4]Prices!$E$3:$K$17,2,FALSE)*O364)+(VLOOKUP($P$2,[4]Prices!$J$3:$K$17,2,FALSE)*P364)+(VLOOKUP($Q$2,[4]Prices!$J$3:$K$17,2,FALSE)*Q364)+(VLOOKUP($R$2,[4]Prices!$J$3:$K$17,2,FALSE)*R364)+(VLOOKUP($S$2,[4]Prices!$J$3:$K$17,2,FALSE)*S364)+(VLOOKUP($T$2,[4]Prices!$J$3:$K$17,2,FALSE)*T364)+(VLOOKUP($U$2,[4]Prices!$J$3:$K$17,2,FALSE)*U364)+(VLOOKUP($V$2,[4]Prices!$J$3:$K$17,2,FALSE)*V364)+(VLOOKUP($W$2,[4]Prices!$J$3:$K$17,2,FALSE)*W364)+(VLOOKUP($X$2,[4]Prices!$J$3:$K$17,2,FALSE)*X364)+(VLOOKUP($Y$2,[4]Prices!$J$3:$K$17,2,FALSE)*Y364)+(VLOOKUP($Z$2,[4]Prices!$J$3:$K$17,2,FALSE)*Z364)+(VLOOKUP($AA$2,[4]Prices!$J$3:$K$17,2,FALSE)*AA364)+(VLOOKUP($AB$2,[4]Prices!$J$3:$K$17,2,FALSE)*AB364)+M364</f>
        <v>6087500</v>
      </c>
      <c r="AD364" s="18"/>
      <c r="AE364" s="18"/>
      <c r="AF364" s="4">
        <f t="shared" si="20"/>
        <v>0</v>
      </c>
      <c r="AG364" s="4"/>
      <c r="AH364" s="16">
        <f t="shared" si="21"/>
        <v>0</v>
      </c>
      <c r="AI364" s="21">
        <f t="shared" si="22"/>
        <v>0</v>
      </c>
      <c r="AJ364" s="20">
        <f t="shared" si="23"/>
        <v>0</v>
      </c>
      <c r="AK364" s="9"/>
    </row>
    <row r="365" spans="1:37" hidden="1">
      <c r="A365" s="77">
        <v>363</v>
      </c>
      <c r="B365" s="78"/>
      <c r="C365" s="79"/>
      <c r="D365" s="79"/>
      <c r="E365" s="79"/>
      <c r="F365" s="79"/>
      <c r="G365" s="79"/>
      <c r="H365" s="80"/>
      <c r="I365" s="45" t="s">
        <v>1460</v>
      </c>
      <c r="J365" s="45" t="s">
        <v>1390</v>
      </c>
      <c r="K365" s="46" t="s">
        <v>670</v>
      </c>
      <c r="L365" s="46" t="s">
        <v>1176</v>
      </c>
      <c r="M365" s="81">
        <f>IFERROR(VLOOKUP($L365,[3]Consolidated!$C$9:$AC$452,27,0),0)</f>
        <v>8000000</v>
      </c>
      <c r="N365" s="81">
        <f>IFERROR(VLOOKUP($L365,[3]Consolidated!$C$9:$AC$452,5,0),0)</f>
        <v>40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4">
        <f>(VLOOKUP($O$2,[4]Prices!$E$3:$K$17,2,FALSE)*O365)+(VLOOKUP($P$2,[4]Prices!$J$3:$K$17,2,FALSE)*P365)+(VLOOKUP($Q$2,[4]Prices!$J$3:$K$17,2,FALSE)*Q365)+(VLOOKUP($R$2,[4]Prices!$J$3:$K$17,2,FALSE)*R365)+(VLOOKUP($S$2,[4]Prices!$J$3:$K$17,2,FALSE)*S365)+(VLOOKUP($T$2,[4]Prices!$J$3:$K$17,2,FALSE)*T365)+(VLOOKUP($U$2,[4]Prices!$J$3:$K$17,2,FALSE)*U365)+(VLOOKUP($V$2,[4]Prices!$J$3:$K$17,2,FALSE)*V365)+(VLOOKUP($W$2,[4]Prices!$J$3:$K$17,2,FALSE)*W365)+(VLOOKUP($X$2,[4]Prices!$J$3:$K$17,2,FALSE)*X365)+(VLOOKUP($Y$2,[4]Prices!$J$3:$K$17,2,FALSE)*Y365)+(VLOOKUP($Z$2,[4]Prices!$J$3:$K$17,2,FALSE)*Z365)+(VLOOKUP($AA$2,[4]Prices!$J$3:$K$17,2,FALSE)*AA365)+(VLOOKUP($AB$2,[4]Prices!$J$3:$K$17,2,FALSE)*AB365)+M365</f>
        <v>8000000</v>
      </c>
      <c r="AD365" s="18"/>
      <c r="AE365" s="18"/>
      <c r="AF365" s="4">
        <f t="shared" si="20"/>
        <v>0</v>
      </c>
      <c r="AG365" s="4"/>
      <c r="AH365" s="16">
        <f t="shared" si="21"/>
        <v>0</v>
      </c>
      <c r="AI365" s="21">
        <f t="shared" si="22"/>
        <v>0</v>
      </c>
      <c r="AJ365" s="20">
        <f t="shared" si="23"/>
        <v>0</v>
      </c>
      <c r="AK365" s="9"/>
    </row>
    <row r="366" spans="1:37" hidden="1">
      <c r="A366" s="77">
        <v>364</v>
      </c>
      <c r="B366" s="78"/>
      <c r="C366" s="79"/>
      <c r="D366" s="79"/>
      <c r="E366" s="79"/>
      <c r="F366" s="79"/>
      <c r="G366" s="79"/>
      <c r="H366" s="80"/>
      <c r="I366" s="45" t="s">
        <v>1461</v>
      </c>
      <c r="J366" s="45" t="s">
        <v>1390</v>
      </c>
      <c r="K366" s="46" t="s">
        <v>672</v>
      </c>
      <c r="L366" s="46" t="s">
        <v>1208</v>
      </c>
      <c r="M366" s="81">
        <f>IFERROR(VLOOKUP($L366,[3]Consolidated!$C$9:$AC$452,27,0),0)</f>
        <v>2173000</v>
      </c>
      <c r="N366" s="81">
        <f>IFERROR(VLOOKUP($L366,[3]Consolidated!$C$9:$AC$452,5,0),0)</f>
        <v>10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4">
        <f>(VLOOKUP($O$2,[4]Prices!$E$3:$K$17,2,FALSE)*O366)+(VLOOKUP($P$2,[4]Prices!$J$3:$K$17,2,FALSE)*P366)+(VLOOKUP($Q$2,[4]Prices!$J$3:$K$17,2,FALSE)*Q366)+(VLOOKUP($R$2,[4]Prices!$J$3:$K$17,2,FALSE)*R366)+(VLOOKUP($S$2,[4]Prices!$J$3:$K$17,2,FALSE)*S366)+(VLOOKUP($T$2,[4]Prices!$J$3:$K$17,2,FALSE)*T366)+(VLOOKUP($U$2,[4]Prices!$J$3:$K$17,2,FALSE)*U366)+(VLOOKUP($V$2,[4]Prices!$J$3:$K$17,2,FALSE)*V366)+(VLOOKUP($W$2,[4]Prices!$J$3:$K$17,2,FALSE)*W366)+(VLOOKUP($X$2,[4]Prices!$J$3:$K$17,2,FALSE)*X366)+(VLOOKUP($Y$2,[4]Prices!$J$3:$K$17,2,FALSE)*Y366)+(VLOOKUP($Z$2,[4]Prices!$J$3:$K$17,2,FALSE)*Z366)+(VLOOKUP($AA$2,[4]Prices!$J$3:$K$17,2,FALSE)*AA366)+(VLOOKUP($AB$2,[4]Prices!$J$3:$K$17,2,FALSE)*AB366)+M366</f>
        <v>2173000</v>
      </c>
      <c r="AD366" s="18"/>
      <c r="AE366" s="18"/>
      <c r="AF366" s="4">
        <f t="shared" si="20"/>
        <v>0</v>
      </c>
      <c r="AG366" s="4"/>
      <c r="AH366" s="16">
        <f t="shared" si="21"/>
        <v>0</v>
      </c>
      <c r="AI366" s="21">
        <f t="shared" si="22"/>
        <v>0</v>
      </c>
      <c r="AJ366" s="20">
        <f t="shared" si="23"/>
        <v>0</v>
      </c>
      <c r="AK366" s="19"/>
    </row>
    <row r="367" spans="1:37" hidden="1">
      <c r="A367" s="77">
        <v>365</v>
      </c>
      <c r="B367" s="78"/>
      <c r="C367" s="79"/>
      <c r="D367" s="79"/>
      <c r="E367" s="79"/>
      <c r="F367" s="79"/>
      <c r="G367" s="79"/>
      <c r="H367" s="80"/>
      <c r="I367" s="45" t="s">
        <v>1462</v>
      </c>
      <c r="J367" s="45" t="s">
        <v>1390</v>
      </c>
      <c r="K367" s="46" t="s">
        <v>670</v>
      </c>
      <c r="L367" s="47" t="s">
        <v>1362</v>
      </c>
      <c r="M367" s="81">
        <f>IFERROR(VLOOKUP($L367,[3]Consolidated!$C$9:$AC$452,27,0),0)</f>
        <v>5475500</v>
      </c>
      <c r="N367" s="81">
        <f>IFERROR(VLOOKUP($L367,[3]Consolidated!$C$9:$AC$452,5,0),0)</f>
        <v>35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4">
        <f>(VLOOKUP($O$2,[4]Prices!$E$3:$K$17,2,FALSE)*O367)+(VLOOKUP($P$2,[4]Prices!$J$3:$K$17,2,FALSE)*P367)+(VLOOKUP($Q$2,[4]Prices!$J$3:$K$17,2,FALSE)*Q367)+(VLOOKUP($R$2,[4]Prices!$J$3:$K$17,2,FALSE)*R367)+(VLOOKUP($S$2,[4]Prices!$J$3:$K$17,2,FALSE)*S367)+(VLOOKUP($T$2,[4]Prices!$J$3:$K$17,2,FALSE)*T367)+(VLOOKUP($U$2,[4]Prices!$J$3:$K$17,2,FALSE)*U367)+(VLOOKUP($V$2,[4]Prices!$J$3:$K$17,2,FALSE)*V367)+(VLOOKUP($W$2,[4]Prices!$J$3:$K$17,2,FALSE)*W367)+(VLOOKUP($X$2,[4]Prices!$J$3:$K$17,2,FALSE)*X367)+(VLOOKUP($Y$2,[4]Prices!$J$3:$K$17,2,FALSE)*Y367)+(VLOOKUP($Z$2,[4]Prices!$J$3:$K$17,2,FALSE)*Z367)+(VLOOKUP($AA$2,[4]Prices!$J$3:$K$17,2,FALSE)*AA367)+(VLOOKUP($AB$2,[4]Prices!$J$3:$K$17,2,FALSE)*AB367)+M367</f>
        <v>5475500</v>
      </c>
      <c r="AD367" s="18"/>
      <c r="AE367" s="18"/>
      <c r="AF367" s="4">
        <f t="shared" si="20"/>
        <v>0</v>
      </c>
      <c r="AG367" s="4"/>
      <c r="AH367" s="16">
        <f t="shared" si="21"/>
        <v>0</v>
      </c>
      <c r="AI367" s="21">
        <f t="shared" si="22"/>
        <v>0</v>
      </c>
      <c r="AJ367" s="20">
        <f t="shared" si="23"/>
        <v>0</v>
      </c>
      <c r="AK367" s="9"/>
    </row>
    <row r="368" spans="1:37" hidden="1">
      <c r="A368" s="77">
        <v>366</v>
      </c>
      <c r="B368" s="78"/>
      <c r="C368" s="79"/>
      <c r="D368" s="79"/>
      <c r="E368" s="79"/>
      <c r="F368" s="79"/>
      <c r="G368" s="79"/>
      <c r="H368" s="80"/>
      <c r="I368" s="45" t="s">
        <v>1463</v>
      </c>
      <c r="J368" s="45" t="s">
        <v>1390</v>
      </c>
      <c r="K368" s="46" t="s">
        <v>670</v>
      </c>
      <c r="L368" s="47" t="s">
        <v>1363</v>
      </c>
      <c r="M368" s="81">
        <f>IFERROR(VLOOKUP($L368,[3]Consolidated!$C$9:$AC$452,27,0),0)</f>
        <v>1255000</v>
      </c>
      <c r="N368" s="81">
        <f>IFERROR(VLOOKUP($L368,[3]Consolidated!$C$9:$AC$452,5,0),0)</f>
        <v>10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4">
        <f>(VLOOKUP($O$2,[4]Prices!$E$3:$K$17,2,FALSE)*O368)+(VLOOKUP($P$2,[4]Prices!$J$3:$K$17,2,FALSE)*P368)+(VLOOKUP($Q$2,[4]Prices!$J$3:$K$17,2,FALSE)*Q368)+(VLOOKUP($R$2,[4]Prices!$J$3:$K$17,2,FALSE)*R368)+(VLOOKUP($S$2,[4]Prices!$J$3:$K$17,2,FALSE)*S368)+(VLOOKUP($T$2,[4]Prices!$J$3:$K$17,2,FALSE)*T368)+(VLOOKUP($U$2,[4]Prices!$J$3:$K$17,2,FALSE)*U368)+(VLOOKUP($V$2,[4]Prices!$J$3:$K$17,2,FALSE)*V368)+(VLOOKUP($W$2,[4]Prices!$J$3:$K$17,2,FALSE)*W368)+(VLOOKUP($X$2,[4]Prices!$J$3:$K$17,2,FALSE)*X368)+(VLOOKUP($Y$2,[4]Prices!$J$3:$K$17,2,FALSE)*Y368)+(VLOOKUP($Z$2,[4]Prices!$J$3:$K$17,2,FALSE)*Z368)+(VLOOKUP($AA$2,[4]Prices!$J$3:$K$17,2,FALSE)*AA368)+(VLOOKUP($AB$2,[4]Prices!$J$3:$K$17,2,FALSE)*AB368)+M368</f>
        <v>1255000</v>
      </c>
      <c r="AD368" s="18"/>
      <c r="AE368" s="18"/>
      <c r="AF368" s="4">
        <f t="shared" si="20"/>
        <v>0</v>
      </c>
      <c r="AG368" s="4"/>
      <c r="AH368" s="16">
        <f t="shared" si="21"/>
        <v>0</v>
      </c>
      <c r="AI368" s="21">
        <f t="shared" si="22"/>
        <v>0</v>
      </c>
      <c r="AJ368" s="20">
        <f t="shared" si="23"/>
        <v>0</v>
      </c>
      <c r="AK368" s="9"/>
    </row>
    <row r="369" spans="1:37" hidden="1">
      <c r="A369" s="77">
        <v>367</v>
      </c>
      <c r="B369" s="78"/>
      <c r="C369" s="79"/>
      <c r="D369" s="79"/>
      <c r="E369" s="79"/>
      <c r="F369" s="79"/>
      <c r="G369" s="79"/>
      <c r="H369" s="80"/>
      <c r="I369" s="45" t="s">
        <v>1464</v>
      </c>
      <c r="J369" s="45" t="s">
        <v>1390</v>
      </c>
      <c r="K369" s="46" t="s">
        <v>669</v>
      </c>
      <c r="L369" s="47" t="s">
        <v>1209</v>
      </c>
      <c r="M369" s="81">
        <f>IFERROR(VLOOKUP($L369,[3]Consolidated!$C$9:$AC$452,27,0),0)</f>
        <v>1676000</v>
      </c>
      <c r="N369" s="81">
        <f>IFERROR(VLOOKUP($L369,[3]Consolidated!$C$9:$AC$452,5,0),0)</f>
        <v>10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4">
        <f>(VLOOKUP($O$2,[4]Prices!$E$3:$K$17,2,FALSE)*O369)+(VLOOKUP($P$2,[4]Prices!$J$3:$K$17,2,FALSE)*P369)+(VLOOKUP($Q$2,[4]Prices!$J$3:$K$17,2,FALSE)*Q369)+(VLOOKUP($R$2,[4]Prices!$J$3:$K$17,2,FALSE)*R369)+(VLOOKUP($S$2,[4]Prices!$J$3:$K$17,2,FALSE)*S369)+(VLOOKUP($T$2,[4]Prices!$J$3:$K$17,2,FALSE)*T369)+(VLOOKUP($U$2,[4]Prices!$J$3:$K$17,2,FALSE)*U369)+(VLOOKUP($V$2,[4]Prices!$J$3:$K$17,2,FALSE)*V369)+(VLOOKUP($W$2,[4]Prices!$J$3:$K$17,2,FALSE)*W369)+(VLOOKUP($X$2,[4]Prices!$J$3:$K$17,2,FALSE)*X369)+(VLOOKUP($Y$2,[4]Prices!$J$3:$K$17,2,FALSE)*Y369)+(VLOOKUP($Z$2,[4]Prices!$J$3:$K$17,2,FALSE)*Z369)+(VLOOKUP($AA$2,[4]Prices!$J$3:$K$17,2,FALSE)*AA369)+(VLOOKUP($AB$2,[4]Prices!$J$3:$K$17,2,FALSE)*AB369)+M369</f>
        <v>1676000</v>
      </c>
      <c r="AD369" s="18"/>
      <c r="AE369" s="18"/>
      <c r="AF369" s="4">
        <f t="shared" si="20"/>
        <v>0</v>
      </c>
      <c r="AG369" s="4"/>
      <c r="AH369" s="16">
        <f t="shared" si="21"/>
        <v>0</v>
      </c>
      <c r="AI369" s="21">
        <f t="shared" si="22"/>
        <v>0</v>
      </c>
      <c r="AJ369" s="20">
        <f t="shared" si="23"/>
        <v>0</v>
      </c>
      <c r="AK369" s="9"/>
    </row>
    <row r="370" spans="1:37" hidden="1">
      <c r="A370" s="77">
        <v>368</v>
      </c>
      <c r="B370" s="78"/>
      <c r="C370" s="79"/>
      <c r="D370" s="79"/>
      <c r="E370" s="79"/>
      <c r="F370" s="79"/>
      <c r="G370" s="79"/>
      <c r="H370" s="80"/>
      <c r="I370" s="45" t="s">
        <v>1465</v>
      </c>
      <c r="J370" s="45" t="s">
        <v>1390</v>
      </c>
      <c r="K370" s="46" t="s">
        <v>669</v>
      </c>
      <c r="L370" s="47" t="s">
        <v>1210</v>
      </c>
      <c r="M370" s="81">
        <f>IFERROR(VLOOKUP($L370,[3]Consolidated!$C$9:$AC$452,27,0),0)</f>
        <v>1676000</v>
      </c>
      <c r="N370" s="81">
        <f>IFERROR(VLOOKUP($L370,[3]Consolidated!$C$9:$AC$452,5,0),0)</f>
        <v>10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4">
        <f>(VLOOKUP($O$2,[4]Prices!$E$3:$K$17,2,FALSE)*O370)+(VLOOKUP($P$2,[4]Prices!$J$3:$K$17,2,FALSE)*P370)+(VLOOKUP($Q$2,[4]Prices!$J$3:$K$17,2,FALSE)*Q370)+(VLOOKUP($R$2,[4]Prices!$J$3:$K$17,2,FALSE)*R370)+(VLOOKUP($S$2,[4]Prices!$J$3:$K$17,2,FALSE)*S370)+(VLOOKUP($T$2,[4]Prices!$J$3:$K$17,2,FALSE)*T370)+(VLOOKUP($U$2,[4]Prices!$J$3:$K$17,2,FALSE)*U370)+(VLOOKUP($V$2,[4]Prices!$J$3:$K$17,2,FALSE)*V370)+(VLOOKUP($W$2,[4]Prices!$J$3:$K$17,2,FALSE)*W370)+(VLOOKUP($X$2,[4]Prices!$J$3:$K$17,2,FALSE)*X370)+(VLOOKUP($Y$2,[4]Prices!$J$3:$K$17,2,FALSE)*Y370)+(VLOOKUP($Z$2,[4]Prices!$J$3:$K$17,2,FALSE)*Z370)+(VLOOKUP($AA$2,[4]Prices!$J$3:$K$17,2,FALSE)*AA370)+(VLOOKUP($AB$2,[4]Prices!$J$3:$K$17,2,FALSE)*AB370)+M370</f>
        <v>1676000</v>
      </c>
      <c r="AD370" s="18"/>
      <c r="AE370" s="18"/>
      <c r="AF370" s="4">
        <f t="shared" si="20"/>
        <v>0</v>
      </c>
      <c r="AG370" s="4"/>
      <c r="AH370" s="16">
        <f t="shared" si="21"/>
        <v>0</v>
      </c>
      <c r="AI370" s="21">
        <f t="shared" si="22"/>
        <v>0</v>
      </c>
      <c r="AJ370" s="20">
        <f t="shared" si="23"/>
        <v>0</v>
      </c>
      <c r="AK370" s="9"/>
    </row>
    <row r="371" spans="1:37" hidden="1">
      <c r="A371" s="77">
        <v>369</v>
      </c>
      <c r="B371" s="78"/>
      <c r="C371" s="79"/>
      <c r="D371" s="79"/>
      <c r="E371" s="79"/>
      <c r="F371" s="79"/>
      <c r="G371" s="79"/>
      <c r="H371" s="80"/>
      <c r="I371" s="45" t="s">
        <v>1466</v>
      </c>
      <c r="J371" s="45" t="s">
        <v>1390</v>
      </c>
      <c r="K371" s="46" t="s">
        <v>671</v>
      </c>
      <c r="L371" s="47" t="s">
        <v>1333</v>
      </c>
      <c r="M371" s="81">
        <f>IFERROR(VLOOKUP($L371,[3]Consolidated!$C$9:$AC$452,27,0),0)</f>
        <v>1242600</v>
      </c>
      <c r="N371" s="81">
        <f>IFERROR(VLOOKUP($L371,[3]Consolidated!$C$9:$AC$452,5,0),0)</f>
        <v>10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4">
        <f>(VLOOKUP($O$2,[4]Prices!$E$3:$K$17,2,FALSE)*O371)+(VLOOKUP($P$2,[4]Prices!$J$3:$K$17,2,FALSE)*P371)+(VLOOKUP($Q$2,[4]Prices!$J$3:$K$17,2,FALSE)*Q371)+(VLOOKUP($R$2,[4]Prices!$J$3:$K$17,2,FALSE)*R371)+(VLOOKUP($S$2,[4]Prices!$J$3:$K$17,2,FALSE)*S371)+(VLOOKUP($T$2,[4]Prices!$J$3:$K$17,2,FALSE)*T371)+(VLOOKUP($U$2,[4]Prices!$J$3:$K$17,2,FALSE)*U371)+(VLOOKUP($V$2,[4]Prices!$J$3:$K$17,2,FALSE)*V371)+(VLOOKUP($W$2,[4]Prices!$J$3:$K$17,2,FALSE)*W371)+(VLOOKUP($X$2,[4]Prices!$J$3:$K$17,2,FALSE)*X371)+(VLOOKUP($Y$2,[4]Prices!$J$3:$K$17,2,FALSE)*Y371)+(VLOOKUP($Z$2,[4]Prices!$J$3:$K$17,2,FALSE)*Z371)+(VLOOKUP($AA$2,[4]Prices!$J$3:$K$17,2,FALSE)*AA371)+(VLOOKUP($AB$2,[4]Prices!$J$3:$K$17,2,FALSE)*AB371)+M371</f>
        <v>1242600</v>
      </c>
      <c r="AD371" s="18"/>
      <c r="AE371" s="18"/>
      <c r="AF371" s="4">
        <f t="shared" si="20"/>
        <v>0</v>
      </c>
      <c r="AG371" s="4"/>
      <c r="AH371" s="16">
        <f t="shared" si="21"/>
        <v>0</v>
      </c>
      <c r="AI371" s="21">
        <f t="shared" si="22"/>
        <v>0</v>
      </c>
      <c r="AJ371" s="20">
        <f t="shared" si="23"/>
        <v>0</v>
      </c>
      <c r="AK371" s="9"/>
    </row>
    <row r="372" spans="1:37" hidden="1">
      <c r="A372" s="77">
        <v>370</v>
      </c>
      <c r="B372" s="78"/>
      <c r="C372" s="79"/>
      <c r="D372" s="79"/>
      <c r="E372" s="79"/>
      <c r="F372" s="79"/>
      <c r="G372" s="79"/>
      <c r="H372" s="80"/>
      <c r="I372" s="45" t="s">
        <v>1467</v>
      </c>
      <c r="J372" s="45" t="s">
        <v>1390</v>
      </c>
      <c r="K372" s="46" t="s">
        <v>671</v>
      </c>
      <c r="L372" s="47" t="s">
        <v>1334</v>
      </c>
      <c r="M372" s="81">
        <f>IFERROR(VLOOKUP($L372,[3]Consolidated!$C$9:$AC$452,27,0),0)</f>
        <v>5942500</v>
      </c>
      <c r="N372" s="81">
        <f>IFERROR(VLOOKUP($L372,[3]Consolidated!$C$9:$AC$452,5,0),0)</f>
        <v>35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4">
        <f>(VLOOKUP($O$2,[4]Prices!$E$3:$K$17,2,FALSE)*O372)+(VLOOKUP($P$2,[4]Prices!$J$3:$K$17,2,FALSE)*P372)+(VLOOKUP($Q$2,[4]Prices!$J$3:$K$17,2,FALSE)*Q372)+(VLOOKUP($R$2,[4]Prices!$J$3:$K$17,2,FALSE)*R372)+(VLOOKUP($S$2,[4]Prices!$J$3:$K$17,2,FALSE)*S372)+(VLOOKUP($T$2,[4]Prices!$J$3:$K$17,2,FALSE)*T372)+(VLOOKUP($U$2,[4]Prices!$J$3:$K$17,2,FALSE)*U372)+(VLOOKUP($V$2,[4]Prices!$J$3:$K$17,2,FALSE)*V372)+(VLOOKUP($W$2,[4]Prices!$J$3:$K$17,2,FALSE)*W372)+(VLOOKUP($X$2,[4]Prices!$J$3:$K$17,2,FALSE)*X372)+(VLOOKUP($Y$2,[4]Prices!$J$3:$K$17,2,FALSE)*Y372)+(VLOOKUP($Z$2,[4]Prices!$J$3:$K$17,2,FALSE)*Z372)+(VLOOKUP($AA$2,[4]Prices!$J$3:$K$17,2,FALSE)*AA372)+(VLOOKUP($AB$2,[4]Prices!$J$3:$K$17,2,FALSE)*AB372)+M372</f>
        <v>5942500</v>
      </c>
      <c r="AD372" s="18"/>
      <c r="AE372" s="18"/>
      <c r="AF372" s="4">
        <f t="shared" si="20"/>
        <v>0</v>
      </c>
      <c r="AG372" s="4"/>
      <c r="AH372" s="16">
        <f t="shared" si="21"/>
        <v>0</v>
      </c>
      <c r="AI372" s="21">
        <f t="shared" si="22"/>
        <v>0</v>
      </c>
      <c r="AJ372" s="20">
        <f t="shared" si="23"/>
        <v>0</v>
      </c>
      <c r="AK372" s="9"/>
    </row>
    <row r="373" spans="1:37" hidden="1">
      <c r="A373" s="77">
        <v>371</v>
      </c>
      <c r="B373" s="78"/>
      <c r="C373" s="79"/>
      <c r="D373" s="79"/>
      <c r="E373" s="79"/>
      <c r="F373" s="79"/>
      <c r="G373" s="79"/>
      <c r="H373" s="80"/>
      <c r="I373" s="45" t="s">
        <v>823</v>
      </c>
      <c r="J373" s="45" t="s">
        <v>1390</v>
      </c>
      <c r="K373" s="46" t="s">
        <v>669</v>
      </c>
      <c r="L373" s="47" t="s">
        <v>1154</v>
      </c>
      <c r="M373" s="81">
        <f>IFERROR(VLOOKUP($L373,[3]Consolidated!$C$9:$AC$452,27,0),0)</f>
        <v>5805500</v>
      </c>
      <c r="N373" s="81">
        <f>IFERROR(VLOOKUP($L373,[3]Consolidated!$C$9:$AC$452,5,0),0)</f>
        <v>35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4">
        <f>(VLOOKUP($O$2,[4]Prices!$E$3:$K$17,2,FALSE)*O373)+(VLOOKUP($P$2,[4]Prices!$J$3:$K$17,2,FALSE)*P373)+(VLOOKUP($Q$2,[4]Prices!$J$3:$K$17,2,FALSE)*Q373)+(VLOOKUP($R$2,[4]Prices!$J$3:$K$17,2,FALSE)*R373)+(VLOOKUP($S$2,[4]Prices!$J$3:$K$17,2,FALSE)*S373)+(VLOOKUP($T$2,[4]Prices!$J$3:$K$17,2,FALSE)*T373)+(VLOOKUP($U$2,[4]Prices!$J$3:$K$17,2,FALSE)*U373)+(VLOOKUP($V$2,[4]Prices!$J$3:$K$17,2,FALSE)*V373)+(VLOOKUP($W$2,[4]Prices!$J$3:$K$17,2,FALSE)*W373)+(VLOOKUP($X$2,[4]Prices!$J$3:$K$17,2,FALSE)*X373)+(VLOOKUP($Y$2,[4]Prices!$J$3:$K$17,2,FALSE)*Y373)+(VLOOKUP($Z$2,[4]Prices!$J$3:$K$17,2,FALSE)*Z373)+(VLOOKUP($AA$2,[4]Prices!$J$3:$K$17,2,FALSE)*AA373)+(VLOOKUP($AB$2,[4]Prices!$J$3:$K$17,2,FALSE)*AB373)+M373</f>
        <v>5805500</v>
      </c>
      <c r="AD373" s="18"/>
      <c r="AE373" s="18"/>
      <c r="AF373" s="4">
        <f t="shared" si="20"/>
        <v>0</v>
      </c>
      <c r="AG373" s="4"/>
      <c r="AH373" s="16">
        <f t="shared" si="21"/>
        <v>0</v>
      </c>
      <c r="AI373" s="21">
        <f t="shared" si="22"/>
        <v>0</v>
      </c>
      <c r="AJ373" s="20">
        <f t="shared" si="23"/>
        <v>0</v>
      </c>
      <c r="AK373" s="9"/>
    </row>
    <row r="374" spans="1:37" hidden="1">
      <c r="A374" s="77">
        <v>372</v>
      </c>
      <c r="B374" s="78"/>
      <c r="C374" s="79"/>
      <c r="D374" s="79"/>
      <c r="E374" s="79"/>
      <c r="F374" s="79"/>
      <c r="G374" s="79"/>
      <c r="H374" s="80"/>
      <c r="I374" s="45" t="s">
        <v>852</v>
      </c>
      <c r="J374" s="45" t="s">
        <v>1390</v>
      </c>
      <c r="K374" s="46" t="s">
        <v>672</v>
      </c>
      <c r="L374" s="47" t="s">
        <v>1196</v>
      </c>
      <c r="M374" s="81">
        <f>IFERROR(VLOOKUP($L374,[3]Consolidated!$C$9:$AC$452,27,0),0)</f>
        <v>6087500</v>
      </c>
      <c r="N374" s="81">
        <f>IFERROR(VLOOKUP($L374,[3]Consolidated!$C$9:$AC$452,5,0),0)</f>
        <v>35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4">
        <f>(VLOOKUP($O$2,[4]Prices!$E$3:$K$17,2,FALSE)*O374)+(VLOOKUP($P$2,[4]Prices!$J$3:$K$17,2,FALSE)*P374)+(VLOOKUP($Q$2,[4]Prices!$J$3:$K$17,2,FALSE)*Q374)+(VLOOKUP($R$2,[4]Prices!$J$3:$K$17,2,FALSE)*R374)+(VLOOKUP($S$2,[4]Prices!$J$3:$K$17,2,FALSE)*S374)+(VLOOKUP($T$2,[4]Prices!$J$3:$K$17,2,FALSE)*T374)+(VLOOKUP($U$2,[4]Prices!$J$3:$K$17,2,FALSE)*U374)+(VLOOKUP($V$2,[4]Prices!$J$3:$K$17,2,FALSE)*V374)+(VLOOKUP($W$2,[4]Prices!$J$3:$K$17,2,FALSE)*W374)+(VLOOKUP($X$2,[4]Prices!$J$3:$K$17,2,FALSE)*X374)+(VLOOKUP($Y$2,[4]Prices!$J$3:$K$17,2,FALSE)*Y374)+(VLOOKUP($Z$2,[4]Prices!$J$3:$K$17,2,FALSE)*Z374)+(VLOOKUP($AA$2,[4]Prices!$J$3:$K$17,2,FALSE)*AA374)+(VLOOKUP($AB$2,[4]Prices!$J$3:$K$17,2,FALSE)*AB374)+M374</f>
        <v>6087500</v>
      </c>
      <c r="AD374" s="18"/>
      <c r="AE374" s="18"/>
      <c r="AF374" s="4">
        <f t="shared" si="20"/>
        <v>0</v>
      </c>
      <c r="AG374" s="4"/>
      <c r="AH374" s="16">
        <f t="shared" si="21"/>
        <v>0</v>
      </c>
      <c r="AI374" s="21">
        <f t="shared" si="22"/>
        <v>0</v>
      </c>
      <c r="AJ374" s="20">
        <f t="shared" si="23"/>
        <v>0</v>
      </c>
      <c r="AK374" s="9"/>
    </row>
    <row r="375" spans="1:37" hidden="1">
      <c r="A375" s="77">
        <v>373</v>
      </c>
      <c r="B375" s="78"/>
      <c r="C375" s="79"/>
      <c r="D375" s="79"/>
      <c r="E375" s="79"/>
      <c r="F375" s="79"/>
      <c r="G375" s="79"/>
      <c r="H375" s="80"/>
      <c r="I375" s="45" t="s">
        <v>856</v>
      </c>
      <c r="J375" s="45" t="s">
        <v>1390</v>
      </c>
      <c r="K375" s="46" t="s">
        <v>672</v>
      </c>
      <c r="L375" s="47" t="s">
        <v>1200</v>
      </c>
      <c r="M375" s="81">
        <f>IFERROR(VLOOKUP($L375,[3]Consolidated!$C$9:$AC$452,27,0),0)</f>
        <v>6087500</v>
      </c>
      <c r="N375" s="81">
        <f>IFERROR(VLOOKUP($L375,[3]Consolidated!$C$9:$AC$452,5,0),0)</f>
        <v>35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4">
        <f>(VLOOKUP($O$2,[4]Prices!$E$3:$K$17,2,FALSE)*O375)+(VLOOKUP($P$2,[4]Prices!$J$3:$K$17,2,FALSE)*P375)+(VLOOKUP($Q$2,[4]Prices!$J$3:$K$17,2,FALSE)*Q375)+(VLOOKUP($R$2,[4]Prices!$J$3:$K$17,2,FALSE)*R375)+(VLOOKUP($S$2,[4]Prices!$J$3:$K$17,2,FALSE)*S375)+(VLOOKUP($T$2,[4]Prices!$J$3:$K$17,2,FALSE)*T375)+(VLOOKUP($U$2,[4]Prices!$J$3:$K$17,2,FALSE)*U375)+(VLOOKUP($V$2,[4]Prices!$J$3:$K$17,2,FALSE)*V375)+(VLOOKUP($W$2,[4]Prices!$J$3:$K$17,2,FALSE)*W375)+(VLOOKUP($X$2,[4]Prices!$J$3:$K$17,2,FALSE)*X375)+(VLOOKUP($Y$2,[4]Prices!$J$3:$K$17,2,FALSE)*Y375)+(VLOOKUP($Z$2,[4]Prices!$J$3:$K$17,2,FALSE)*Z375)+(VLOOKUP($AA$2,[4]Prices!$J$3:$K$17,2,FALSE)*AA375)+(VLOOKUP($AB$2,[4]Prices!$J$3:$K$17,2,FALSE)*AB375)+M375</f>
        <v>6087500</v>
      </c>
      <c r="AD375" s="18"/>
      <c r="AE375" s="18"/>
      <c r="AF375" s="4">
        <f t="shared" si="20"/>
        <v>0</v>
      </c>
      <c r="AG375" s="4"/>
      <c r="AH375" s="16">
        <f t="shared" si="21"/>
        <v>0</v>
      </c>
      <c r="AI375" s="21">
        <f t="shared" si="22"/>
        <v>0</v>
      </c>
      <c r="AJ375" s="20">
        <f t="shared" si="23"/>
        <v>0</v>
      </c>
      <c r="AK375" s="19"/>
    </row>
    <row r="376" spans="1:37" hidden="1">
      <c r="A376" s="77">
        <v>374</v>
      </c>
      <c r="B376" s="78"/>
      <c r="C376" s="79"/>
      <c r="D376" s="79"/>
      <c r="E376" s="79"/>
      <c r="F376" s="79"/>
      <c r="G376" s="79"/>
      <c r="H376" s="80"/>
      <c r="I376" s="45" t="s">
        <v>822</v>
      </c>
      <c r="J376" s="45" t="s">
        <v>1390</v>
      </c>
      <c r="K376" s="46" t="s">
        <v>669</v>
      </c>
      <c r="L376" s="47" t="s">
        <v>1153</v>
      </c>
      <c r="M376" s="81">
        <f>IFERROR(VLOOKUP($L376,[3]Consolidated!$C$9:$AC$452,27,0),0)</f>
        <v>5805500</v>
      </c>
      <c r="N376" s="81">
        <f>IFERROR(VLOOKUP($L376,[3]Consolidated!$C$9:$AC$452,5,0),0)</f>
        <v>35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4">
        <f>(VLOOKUP($O$2,[4]Prices!$E$3:$K$17,2,FALSE)*O376)+(VLOOKUP($P$2,[4]Prices!$J$3:$K$17,2,FALSE)*P376)+(VLOOKUP($Q$2,[4]Prices!$J$3:$K$17,2,FALSE)*Q376)+(VLOOKUP($R$2,[4]Prices!$J$3:$K$17,2,FALSE)*R376)+(VLOOKUP($S$2,[4]Prices!$J$3:$K$17,2,FALSE)*S376)+(VLOOKUP($T$2,[4]Prices!$J$3:$K$17,2,FALSE)*T376)+(VLOOKUP($U$2,[4]Prices!$J$3:$K$17,2,FALSE)*U376)+(VLOOKUP($V$2,[4]Prices!$J$3:$K$17,2,FALSE)*V376)+(VLOOKUP($W$2,[4]Prices!$J$3:$K$17,2,FALSE)*W376)+(VLOOKUP($X$2,[4]Prices!$J$3:$K$17,2,FALSE)*X376)+(VLOOKUP($Y$2,[4]Prices!$J$3:$K$17,2,FALSE)*Y376)+(VLOOKUP($Z$2,[4]Prices!$J$3:$K$17,2,FALSE)*Z376)+(VLOOKUP($AA$2,[4]Prices!$J$3:$K$17,2,FALSE)*AA376)+(VLOOKUP($AB$2,[4]Prices!$J$3:$K$17,2,FALSE)*AB376)+M376</f>
        <v>5805500</v>
      </c>
      <c r="AD376" s="18"/>
      <c r="AE376" s="18"/>
      <c r="AF376" s="4">
        <f t="shared" si="20"/>
        <v>0</v>
      </c>
      <c r="AG376" s="4"/>
      <c r="AH376" s="16">
        <f t="shared" si="21"/>
        <v>0</v>
      </c>
      <c r="AI376" s="21">
        <f t="shared" si="22"/>
        <v>0</v>
      </c>
      <c r="AJ376" s="20">
        <f t="shared" si="23"/>
        <v>0</v>
      </c>
      <c r="AK376" s="9"/>
    </row>
    <row r="377" spans="1:37" hidden="1">
      <c r="A377" s="77">
        <v>375</v>
      </c>
      <c r="B377" s="78"/>
      <c r="C377" s="79"/>
      <c r="D377" s="79"/>
      <c r="E377" s="79"/>
      <c r="F377" s="79"/>
      <c r="G377" s="79"/>
      <c r="H377" s="80"/>
      <c r="I377" s="45" t="s">
        <v>853</v>
      </c>
      <c r="J377" s="45" t="s">
        <v>1390</v>
      </c>
      <c r="K377" s="46" t="s">
        <v>672</v>
      </c>
      <c r="L377" s="47" t="s">
        <v>1197</v>
      </c>
      <c r="M377" s="81">
        <f>IFERROR(VLOOKUP($L377,[3]Consolidated!$C$9:$AC$452,27,0),0)</f>
        <v>2173000</v>
      </c>
      <c r="N377" s="81">
        <f>IFERROR(VLOOKUP($L377,[3]Consolidated!$C$9:$AC$452,5,0),0)</f>
        <v>10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4">
        <f>(VLOOKUP($O$2,[4]Prices!$E$3:$K$17,2,FALSE)*O377)+(VLOOKUP($P$2,[4]Prices!$J$3:$K$17,2,FALSE)*P377)+(VLOOKUP($Q$2,[4]Prices!$J$3:$K$17,2,FALSE)*Q377)+(VLOOKUP($R$2,[4]Prices!$J$3:$K$17,2,FALSE)*R377)+(VLOOKUP($S$2,[4]Prices!$J$3:$K$17,2,FALSE)*S377)+(VLOOKUP($T$2,[4]Prices!$J$3:$K$17,2,FALSE)*T377)+(VLOOKUP($U$2,[4]Prices!$J$3:$K$17,2,FALSE)*U377)+(VLOOKUP($V$2,[4]Prices!$J$3:$K$17,2,FALSE)*V377)+(VLOOKUP($W$2,[4]Prices!$J$3:$K$17,2,FALSE)*W377)+(VLOOKUP($X$2,[4]Prices!$J$3:$K$17,2,FALSE)*X377)+(VLOOKUP($Y$2,[4]Prices!$J$3:$K$17,2,FALSE)*Y377)+(VLOOKUP($Z$2,[4]Prices!$J$3:$K$17,2,FALSE)*Z377)+(VLOOKUP($AA$2,[4]Prices!$J$3:$K$17,2,FALSE)*AA377)+(VLOOKUP($AB$2,[4]Prices!$J$3:$K$17,2,FALSE)*AB377)+M377</f>
        <v>2173000</v>
      </c>
      <c r="AD377" s="18"/>
      <c r="AE377" s="18"/>
      <c r="AF377" s="4">
        <f t="shared" si="20"/>
        <v>0</v>
      </c>
      <c r="AG377" s="4"/>
      <c r="AH377" s="16">
        <f t="shared" si="21"/>
        <v>0</v>
      </c>
      <c r="AI377" s="21">
        <f t="shared" si="22"/>
        <v>0</v>
      </c>
      <c r="AJ377" s="20">
        <f t="shared" si="23"/>
        <v>0</v>
      </c>
      <c r="AK377" s="9"/>
    </row>
    <row r="378" spans="1:37" hidden="1">
      <c r="A378" s="77">
        <v>376</v>
      </c>
      <c r="B378" s="78"/>
      <c r="C378" s="79"/>
      <c r="D378" s="79"/>
      <c r="E378" s="79"/>
      <c r="F378" s="79"/>
      <c r="G378" s="79"/>
      <c r="H378" s="80"/>
      <c r="I378" s="45" t="s">
        <v>851</v>
      </c>
      <c r="J378" s="45" t="s">
        <v>1390</v>
      </c>
      <c r="K378" s="46" t="s">
        <v>672</v>
      </c>
      <c r="L378" s="47" t="s">
        <v>1195</v>
      </c>
      <c r="M378" s="81">
        <f>IFERROR(VLOOKUP($L378,[3]Consolidated!$C$9:$AC$452,27,0),0)</f>
        <v>6087500</v>
      </c>
      <c r="N378" s="81">
        <f>IFERROR(VLOOKUP($L378,[3]Consolidated!$C$9:$AC$452,5,0),0)</f>
        <v>35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4">
        <f>(VLOOKUP($O$2,[4]Prices!$E$3:$K$17,2,FALSE)*O378)+(VLOOKUP($P$2,[4]Prices!$J$3:$K$17,2,FALSE)*P378)+(VLOOKUP($Q$2,[4]Prices!$J$3:$K$17,2,FALSE)*Q378)+(VLOOKUP($R$2,[4]Prices!$J$3:$K$17,2,FALSE)*R378)+(VLOOKUP($S$2,[4]Prices!$J$3:$K$17,2,FALSE)*S378)+(VLOOKUP($T$2,[4]Prices!$J$3:$K$17,2,FALSE)*T378)+(VLOOKUP($U$2,[4]Prices!$J$3:$K$17,2,FALSE)*U378)+(VLOOKUP($V$2,[4]Prices!$J$3:$K$17,2,FALSE)*V378)+(VLOOKUP($W$2,[4]Prices!$J$3:$K$17,2,FALSE)*W378)+(VLOOKUP($X$2,[4]Prices!$J$3:$K$17,2,FALSE)*X378)+(VLOOKUP($Y$2,[4]Prices!$J$3:$K$17,2,FALSE)*Y378)+(VLOOKUP($Z$2,[4]Prices!$J$3:$K$17,2,FALSE)*Z378)+(VLOOKUP($AA$2,[4]Prices!$J$3:$K$17,2,FALSE)*AA378)+(VLOOKUP($AB$2,[4]Prices!$J$3:$K$17,2,FALSE)*AB378)+M378</f>
        <v>6087500</v>
      </c>
      <c r="AD378" s="18"/>
      <c r="AE378" s="18"/>
      <c r="AF378" s="4">
        <f t="shared" si="20"/>
        <v>0</v>
      </c>
      <c r="AG378" s="4"/>
      <c r="AH378" s="16">
        <f t="shared" si="21"/>
        <v>0</v>
      </c>
      <c r="AI378" s="21">
        <f t="shared" si="22"/>
        <v>0</v>
      </c>
      <c r="AJ378" s="20">
        <f t="shared" si="23"/>
        <v>0</v>
      </c>
      <c r="AK378" s="9"/>
    </row>
    <row r="379" spans="1:37" hidden="1">
      <c r="A379" s="77">
        <v>377</v>
      </c>
      <c r="B379" s="78"/>
      <c r="C379" s="79"/>
      <c r="D379" s="79"/>
      <c r="E379" s="79"/>
      <c r="F379" s="79"/>
      <c r="G379" s="79"/>
      <c r="H379" s="80"/>
      <c r="I379" s="45" t="s">
        <v>1468</v>
      </c>
      <c r="J379" s="45" t="s">
        <v>1390</v>
      </c>
      <c r="K379" s="46" t="s">
        <v>669</v>
      </c>
      <c r="L379" s="47" t="s">
        <v>1160</v>
      </c>
      <c r="M379" s="81">
        <f>IFERROR(VLOOKUP($L379,[3]Consolidated!$C$9:$AC$452,27,0),0)</f>
        <v>2683500</v>
      </c>
      <c r="N379" s="81">
        <f>IFERROR(VLOOKUP($L379,[3]Consolidated!$C$9:$AC$452,5,0),0)</f>
        <v>15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4">
        <f>(VLOOKUP($O$2,[4]Prices!$E$3:$K$17,2,FALSE)*O379)+(VLOOKUP($P$2,[4]Prices!$J$3:$K$17,2,FALSE)*P379)+(VLOOKUP($Q$2,[4]Prices!$J$3:$K$17,2,FALSE)*Q379)+(VLOOKUP($R$2,[4]Prices!$J$3:$K$17,2,FALSE)*R379)+(VLOOKUP($S$2,[4]Prices!$J$3:$K$17,2,FALSE)*S379)+(VLOOKUP($T$2,[4]Prices!$J$3:$K$17,2,FALSE)*T379)+(VLOOKUP($U$2,[4]Prices!$J$3:$K$17,2,FALSE)*U379)+(VLOOKUP($V$2,[4]Prices!$J$3:$K$17,2,FALSE)*V379)+(VLOOKUP($W$2,[4]Prices!$J$3:$K$17,2,FALSE)*W379)+(VLOOKUP($X$2,[4]Prices!$J$3:$K$17,2,FALSE)*X379)+(VLOOKUP($Y$2,[4]Prices!$J$3:$K$17,2,FALSE)*Y379)+(VLOOKUP($Z$2,[4]Prices!$J$3:$K$17,2,FALSE)*Z379)+(VLOOKUP($AA$2,[4]Prices!$J$3:$K$17,2,FALSE)*AA379)+(VLOOKUP($AB$2,[4]Prices!$J$3:$K$17,2,FALSE)*AB379)+M379</f>
        <v>2683500</v>
      </c>
      <c r="AD379" s="18"/>
      <c r="AE379" s="18"/>
      <c r="AF379" s="4">
        <f t="shared" si="20"/>
        <v>0</v>
      </c>
      <c r="AG379" s="4"/>
      <c r="AH379" s="16">
        <f t="shared" si="21"/>
        <v>0</v>
      </c>
      <c r="AI379" s="21">
        <f t="shared" si="22"/>
        <v>0</v>
      </c>
      <c r="AJ379" s="20">
        <f t="shared" si="23"/>
        <v>0</v>
      </c>
      <c r="AK379" s="9"/>
    </row>
    <row r="380" spans="1:37" hidden="1">
      <c r="A380" s="77">
        <v>378</v>
      </c>
      <c r="B380" s="78"/>
      <c r="C380" s="79"/>
      <c r="D380" s="79"/>
      <c r="E380" s="79"/>
      <c r="F380" s="79"/>
      <c r="G380" s="79"/>
      <c r="H380" s="80"/>
      <c r="I380" s="45" t="s">
        <v>826</v>
      </c>
      <c r="J380" s="45" t="s">
        <v>1390</v>
      </c>
      <c r="K380" s="46" t="s">
        <v>669</v>
      </c>
      <c r="L380" s="47" t="s">
        <v>1157</v>
      </c>
      <c r="M380" s="81">
        <f>IFERROR(VLOOKUP($L380,[3]Consolidated!$C$9:$AC$452,27,0),0)</f>
        <v>5849500</v>
      </c>
      <c r="N380" s="81">
        <f>IFERROR(VLOOKUP($L380,[3]Consolidated!$C$9:$AC$452,5,0),0)</f>
        <v>35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4">
        <f>(VLOOKUP($O$2,[4]Prices!$E$3:$K$17,2,FALSE)*O380)+(VLOOKUP($P$2,[4]Prices!$J$3:$K$17,2,FALSE)*P380)+(VLOOKUP($Q$2,[4]Prices!$J$3:$K$17,2,FALSE)*Q380)+(VLOOKUP($R$2,[4]Prices!$J$3:$K$17,2,FALSE)*R380)+(VLOOKUP($S$2,[4]Prices!$J$3:$K$17,2,FALSE)*S380)+(VLOOKUP($T$2,[4]Prices!$J$3:$K$17,2,FALSE)*T380)+(VLOOKUP($U$2,[4]Prices!$J$3:$K$17,2,FALSE)*U380)+(VLOOKUP($V$2,[4]Prices!$J$3:$K$17,2,FALSE)*V380)+(VLOOKUP($W$2,[4]Prices!$J$3:$K$17,2,FALSE)*W380)+(VLOOKUP($X$2,[4]Prices!$J$3:$K$17,2,FALSE)*X380)+(VLOOKUP($Y$2,[4]Prices!$J$3:$K$17,2,FALSE)*Y380)+(VLOOKUP($Z$2,[4]Prices!$J$3:$K$17,2,FALSE)*Z380)+(VLOOKUP($AA$2,[4]Prices!$J$3:$K$17,2,FALSE)*AA380)+(VLOOKUP($AB$2,[4]Prices!$J$3:$K$17,2,FALSE)*AB380)+M380</f>
        <v>5849500</v>
      </c>
      <c r="AD380" s="18"/>
      <c r="AE380" s="18"/>
      <c r="AF380" s="4">
        <f t="shared" si="20"/>
        <v>0</v>
      </c>
      <c r="AG380" s="4"/>
      <c r="AH380" s="16">
        <f t="shared" si="21"/>
        <v>0</v>
      </c>
      <c r="AI380" s="21">
        <f t="shared" si="22"/>
        <v>0</v>
      </c>
      <c r="AJ380" s="20">
        <f t="shared" si="23"/>
        <v>0</v>
      </c>
      <c r="AK380" s="9"/>
    </row>
    <row r="381" spans="1:37" hidden="1">
      <c r="A381" s="77">
        <v>379</v>
      </c>
      <c r="B381" s="78"/>
      <c r="C381" s="79"/>
      <c r="D381" s="79"/>
      <c r="E381" s="79"/>
      <c r="F381" s="79"/>
      <c r="G381" s="79"/>
      <c r="H381" s="80"/>
      <c r="I381" s="45" t="s">
        <v>825</v>
      </c>
      <c r="J381" s="45" t="s">
        <v>1390</v>
      </c>
      <c r="K381" s="46" t="s">
        <v>669</v>
      </c>
      <c r="L381" s="47" t="s">
        <v>1156</v>
      </c>
      <c r="M381" s="81">
        <f>IFERROR(VLOOKUP($L381,[3]Consolidated!$C$9:$AC$452,27,0),0)</f>
        <v>0</v>
      </c>
      <c r="N381" s="81">
        <f>IFERROR(VLOOKUP($L381,[3]Consolidated!$C$9:$AC$452,5,0),0)</f>
        <v>0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4">
        <f>(VLOOKUP($O$2,[4]Prices!$E$3:$K$17,2,FALSE)*O381)+(VLOOKUP($P$2,[4]Prices!$J$3:$K$17,2,FALSE)*P381)+(VLOOKUP($Q$2,[4]Prices!$J$3:$K$17,2,FALSE)*Q381)+(VLOOKUP($R$2,[4]Prices!$J$3:$K$17,2,FALSE)*R381)+(VLOOKUP($S$2,[4]Prices!$J$3:$K$17,2,FALSE)*S381)+(VLOOKUP($T$2,[4]Prices!$J$3:$K$17,2,FALSE)*T381)+(VLOOKUP($U$2,[4]Prices!$J$3:$K$17,2,FALSE)*U381)+(VLOOKUP($V$2,[4]Prices!$J$3:$K$17,2,FALSE)*V381)+(VLOOKUP($W$2,[4]Prices!$J$3:$K$17,2,FALSE)*W381)+(VLOOKUP($X$2,[4]Prices!$J$3:$K$17,2,FALSE)*X381)+(VLOOKUP($Y$2,[4]Prices!$J$3:$K$17,2,FALSE)*Y381)+(VLOOKUP($Z$2,[4]Prices!$J$3:$K$17,2,FALSE)*Z381)+(VLOOKUP($AA$2,[4]Prices!$J$3:$K$17,2,FALSE)*AA381)+(VLOOKUP($AB$2,[4]Prices!$J$3:$K$17,2,FALSE)*AB381)+M381</f>
        <v>0</v>
      </c>
      <c r="AD381" s="18"/>
      <c r="AE381" s="18"/>
      <c r="AF381" s="4">
        <f t="shared" si="20"/>
        <v>0</v>
      </c>
      <c r="AG381" s="4"/>
      <c r="AH381" s="16">
        <f t="shared" si="21"/>
        <v>0</v>
      </c>
      <c r="AI381" s="21" t="e">
        <f t="shared" si="22"/>
        <v>#DIV/0!</v>
      </c>
      <c r="AJ381" s="20" t="e">
        <f t="shared" si="23"/>
        <v>#DIV/0!</v>
      </c>
      <c r="AK381" s="9"/>
    </row>
    <row r="382" spans="1:37" hidden="1">
      <c r="A382" s="77">
        <v>380</v>
      </c>
      <c r="B382" s="78"/>
      <c r="C382" s="79"/>
      <c r="D382" s="79"/>
      <c r="E382" s="79"/>
      <c r="F382" s="79"/>
      <c r="G382" s="79"/>
      <c r="H382" s="80"/>
      <c r="I382" s="45" t="s">
        <v>818</v>
      </c>
      <c r="J382" s="45" t="s">
        <v>1390</v>
      </c>
      <c r="K382" s="46" t="s">
        <v>669</v>
      </c>
      <c r="L382" s="47" t="s">
        <v>1149</v>
      </c>
      <c r="M382" s="81">
        <f>IFERROR(VLOOKUP($L382,[3]Consolidated!$C$9:$AC$452,27,0),0)</f>
        <v>5849500</v>
      </c>
      <c r="N382" s="81">
        <f>IFERROR(VLOOKUP($L382,[3]Consolidated!$C$9:$AC$452,5,0),0)</f>
        <v>35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4">
        <f>(VLOOKUP($O$2,[4]Prices!$E$3:$K$17,2,FALSE)*O382)+(VLOOKUP($P$2,[4]Prices!$J$3:$K$17,2,FALSE)*P382)+(VLOOKUP($Q$2,[4]Prices!$J$3:$K$17,2,FALSE)*Q382)+(VLOOKUP($R$2,[4]Prices!$J$3:$K$17,2,FALSE)*R382)+(VLOOKUP($S$2,[4]Prices!$J$3:$K$17,2,FALSE)*S382)+(VLOOKUP($T$2,[4]Prices!$J$3:$K$17,2,FALSE)*T382)+(VLOOKUP($U$2,[4]Prices!$J$3:$K$17,2,FALSE)*U382)+(VLOOKUP($V$2,[4]Prices!$J$3:$K$17,2,FALSE)*V382)+(VLOOKUP($W$2,[4]Prices!$J$3:$K$17,2,FALSE)*W382)+(VLOOKUP($X$2,[4]Prices!$J$3:$K$17,2,FALSE)*X382)+(VLOOKUP($Y$2,[4]Prices!$J$3:$K$17,2,FALSE)*Y382)+(VLOOKUP($Z$2,[4]Prices!$J$3:$K$17,2,FALSE)*Z382)+(VLOOKUP($AA$2,[4]Prices!$J$3:$K$17,2,FALSE)*AA382)+(VLOOKUP($AB$2,[4]Prices!$J$3:$K$17,2,FALSE)*AB382)+M382</f>
        <v>5849500</v>
      </c>
      <c r="AD382" s="18"/>
      <c r="AE382" s="18"/>
      <c r="AF382" s="4">
        <f t="shared" si="20"/>
        <v>0</v>
      </c>
      <c r="AG382" s="4"/>
      <c r="AH382" s="16">
        <f t="shared" si="21"/>
        <v>0</v>
      </c>
      <c r="AI382" s="21">
        <f t="shared" si="22"/>
        <v>0</v>
      </c>
      <c r="AJ382" s="20">
        <f t="shared" si="23"/>
        <v>0</v>
      </c>
      <c r="AK382" s="9"/>
    </row>
    <row r="383" spans="1:37" hidden="1">
      <c r="A383" s="77">
        <v>381</v>
      </c>
      <c r="B383" s="78"/>
      <c r="C383" s="79"/>
      <c r="D383" s="79"/>
      <c r="E383" s="79"/>
      <c r="F383" s="79"/>
      <c r="G383" s="79"/>
      <c r="H383" s="80"/>
      <c r="I383" s="45" t="s">
        <v>848</v>
      </c>
      <c r="J383" s="45" t="s">
        <v>1390</v>
      </c>
      <c r="K383" s="46" t="s">
        <v>671</v>
      </c>
      <c r="L383" s="47" t="s">
        <v>1187</v>
      </c>
      <c r="M383" s="81">
        <f>IFERROR(VLOOKUP($L383,[3]Consolidated!$C$9:$AC$452,27,0),0)</f>
        <v>6820000</v>
      </c>
      <c r="N383" s="81">
        <f>IFERROR(VLOOKUP($L383,[3]Consolidated!$C$9:$AC$452,5,0),0)</f>
        <v>50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4">
        <f>(VLOOKUP($O$2,[4]Prices!$E$3:$K$17,2,FALSE)*O383)+(VLOOKUP($P$2,[4]Prices!$J$3:$K$17,2,FALSE)*P383)+(VLOOKUP($Q$2,[4]Prices!$J$3:$K$17,2,FALSE)*Q383)+(VLOOKUP($R$2,[4]Prices!$J$3:$K$17,2,FALSE)*R383)+(VLOOKUP($S$2,[4]Prices!$J$3:$K$17,2,FALSE)*S383)+(VLOOKUP($T$2,[4]Prices!$J$3:$K$17,2,FALSE)*T383)+(VLOOKUP($U$2,[4]Prices!$J$3:$K$17,2,FALSE)*U383)+(VLOOKUP($V$2,[4]Prices!$J$3:$K$17,2,FALSE)*V383)+(VLOOKUP($W$2,[4]Prices!$J$3:$K$17,2,FALSE)*W383)+(VLOOKUP($X$2,[4]Prices!$J$3:$K$17,2,FALSE)*X383)+(VLOOKUP($Y$2,[4]Prices!$J$3:$K$17,2,FALSE)*Y383)+(VLOOKUP($Z$2,[4]Prices!$J$3:$K$17,2,FALSE)*Z383)+(VLOOKUP($AA$2,[4]Prices!$J$3:$K$17,2,FALSE)*AA383)+(VLOOKUP($AB$2,[4]Prices!$J$3:$K$17,2,FALSE)*AB383)+M383</f>
        <v>6820000</v>
      </c>
      <c r="AD383" s="18"/>
      <c r="AE383" s="18"/>
      <c r="AF383" s="4">
        <f t="shared" si="20"/>
        <v>0</v>
      </c>
      <c r="AG383" s="4"/>
      <c r="AH383" s="16">
        <f t="shared" si="21"/>
        <v>0</v>
      </c>
      <c r="AI383" s="21">
        <f t="shared" si="22"/>
        <v>0</v>
      </c>
      <c r="AJ383" s="20">
        <f t="shared" si="23"/>
        <v>0</v>
      </c>
      <c r="AK383" s="9"/>
    </row>
    <row r="384" spans="1:37" hidden="1">
      <c r="A384" s="77">
        <v>382</v>
      </c>
      <c r="B384" s="78"/>
      <c r="C384" s="79"/>
      <c r="D384" s="79"/>
      <c r="E384" s="79"/>
      <c r="F384" s="79"/>
      <c r="G384" s="79"/>
      <c r="H384" s="80"/>
      <c r="I384" s="45" t="s">
        <v>1469</v>
      </c>
      <c r="J384" s="45" t="s">
        <v>1390</v>
      </c>
      <c r="K384" s="46" t="s">
        <v>671</v>
      </c>
      <c r="L384" s="46" t="s">
        <v>1193</v>
      </c>
      <c r="M384" s="81">
        <f>IFERROR(VLOOKUP($L384,[3]Consolidated!$C$9:$AC$452,27,0),0)</f>
        <v>1173100</v>
      </c>
      <c r="N384" s="81">
        <f>IFERROR(VLOOKUP($L384,[3]Consolidated!$C$9:$AC$452,5,0),0)</f>
        <v>10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4">
        <f>(VLOOKUP($O$2,[4]Prices!$E$3:$K$17,2,FALSE)*O384)+(VLOOKUP($P$2,[4]Prices!$J$3:$K$17,2,FALSE)*P384)+(VLOOKUP($Q$2,[4]Prices!$J$3:$K$17,2,FALSE)*Q384)+(VLOOKUP($R$2,[4]Prices!$J$3:$K$17,2,FALSE)*R384)+(VLOOKUP($S$2,[4]Prices!$J$3:$K$17,2,FALSE)*S384)+(VLOOKUP($T$2,[4]Prices!$J$3:$K$17,2,FALSE)*T384)+(VLOOKUP($U$2,[4]Prices!$J$3:$K$17,2,FALSE)*U384)+(VLOOKUP($V$2,[4]Prices!$J$3:$K$17,2,FALSE)*V384)+(VLOOKUP($W$2,[4]Prices!$J$3:$K$17,2,FALSE)*W384)+(VLOOKUP($X$2,[4]Prices!$J$3:$K$17,2,FALSE)*X384)+(VLOOKUP($Y$2,[4]Prices!$J$3:$K$17,2,FALSE)*Y384)+(VLOOKUP($Z$2,[4]Prices!$J$3:$K$17,2,FALSE)*Z384)+(VLOOKUP($AA$2,[4]Prices!$J$3:$K$17,2,FALSE)*AA384)+(VLOOKUP($AB$2,[4]Prices!$J$3:$K$17,2,FALSE)*AB384)+M384</f>
        <v>1173100</v>
      </c>
      <c r="AD384" s="18"/>
      <c r="AE384" s="18"/>
      <c r="AF384" s="4">
        <f t="shared" si="20"/>
        <v>0</v>
      </c>
      <c r="AG384" s="4"/>
      <c r="AH384" s="16">
        <f t="shared" si="21"/>
        <v>0</v>
      </c>
      <c r="AI384" s="21">
        <f t="shared" si="22"/>
        <v>0</v>
      </c>
      <c r="AJ384" s="20">
        <f t="shared" si="23"/>
        <v>0</v>
      </c>
      <c r="AK384" s="9"/>
    </row>
    <row r="385" spans="1:37" hidden="1">
      <c r="A385" s="77">
        <v>383</v>
      </c>
      <c r="B385" s="78"/>
      <c r="C385" s="79"/>
      <c r="D385" s="79"/>
      <c r="E385" s="79"/>
      <c r="F385" s="79"/>
      <c r="G385" s="79"/>
      <c r="H385" s="80"/>
      <c r="I385" s="45" t="s">
        <v>1470</v>
      </c>
      <c r="J385" s="45" t="s">
        <v>1390</v>
      </c>
      <c r="K385" s="46" t="s">
        <v>672</v>
      </c>
      <c r="L385" s="46" t="s">
        <v>1206</v>
      </c>
      <c r="M385" s="81">
        <f>IFERROR(VLOOKUP($L385,[3]Consolidated!$C$9:$AC$452,27,0),0)</f>
        <v>1879000</v>
      </c>
      <c r="N385" s="81">
        <f>IFERROR(VLOOKUP($L385,[3]Consolidated!$C$9:$AC$452,5,0),0)</f>
        <v>10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4">
        <f>(VLOOKUP($O$2,[4]Prices!$E$3:$K$17,2,FALSE)*O385)+(VLOOKUP($P$2,[4]Prices!$J$3:$K$17,2,FALSE)*P385)+(VLOOKUP($Q$2,[4]Prices!$J$3:$K$17,2,FALSE)*Q385)+(VLOOKUP($R$2,[4]Prices!$J$3:$K$17,2,FALSE)*R385)+(VLOOKUP($S$2,[4]Prices!$J$3:$K$17,2,FALSE)*S385)+(VLOOKUP($T$2,[4]Prices!$J$3:$K$17,2,FALSE)*T385)+(VLOOKUP($U$2,[4]Prices!$J$3:$K$17,2,FALSE)*U385)+(VLOOKUP($V$2,[4]Prices!$J$3:$K$17,2,FALSE)*V385)+(VLOOKUP($W$2,[4]Prices!$J$3:$K$17,2,FALSE)*W385)+(VLOOKUP($X$2,[4]Prices!$J$3:$K$17,2,FALSE)*X385)+(VLOOKUP($Y$2,[4]Prices!$J$3:$K$17,2,FALSE)*Y385)+(VLOOKUP($Z$2,[4]Prices!$J$3:$K$17,2,FALSE)*Z385)+(VLOOKUP($AA$2,[4]Prices!$J$3:$K$17,2,FALSE)*AA385)+(VLOOKUP($AB$2,[4]Prices!$J$3:$K$17,2,FALSE)*AB385)+M385</f>
        <v>1879000</v>
      </c>
      <c r="AD385" s="18"/>
      <c r="AE385" s="18"/>
      <c r="AF385" s="4">
        <f t="shared" si="20"/>
        <v>0</v>
      </c>
      <c r="AG385" s="4"/>
      <c r="AH385" s="16">
        <f t="shared" si="21"/>
        <v>0</v>
      </c>
      <c r="AI385" s="21">
        <f t="shared" si="22"/>
        <v>0</v>
      </c>
      <c r="AJ385" s="20">
        <f t="shared" si="23"/>
        <v>0</v>
      </c>
      <c r="AK385" s="9"/>
    </row>
    <row r="386" spans="1:37" hidden="1">
      <c r="A386" s="77">
        <v>384</v>
      </c>
      <c r="B386" s="78"/>
      <c r="C386" s="79"/>
      <c r="D386" s="79"/>
      <c r="E386" s="79"/>
      <c r="F386" s="79"/>
      <c r="G386" s="79"/>
      <c r="H386" s="80"/>
      <c r="I386" s="45" t="s">
        <v>844</v>
      </c>
      <c r="J386" s="45" t="s">
        <v>1390</v>
      </c>
      <c r="K386" s="46" t="s">
        <v>671</v>
      </c>
      <c r="L386" s="46" t="s">
        <v>1183</v>
      </c>
      <c r="M386" s="81">
        <f>IFERROR(VLOOKUP($L386,[3]Consolidated!$C$9:$AC$452,27,0),0)</f>
        <v>3042500</v>
      </c>
      <c r="N386" s="81">
        <f>IFERROR(VLOOKUP($L386,[3]Consolidated!$C$9:$AC$452,5,0),0)</f>
        <v>20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4">
        <f>(VLOOKUP($O$2,[4]Prices!$E$3:$K$17,2,FALSE)*O386)+(VLOOKUP($P$2,[4]Prices!$J$3:$K$17,2,FALSE)*P386)+(VLOOKUP($Q$2,[4]Prices!$J$3:$K$17,2,FALSE)*Q386)+(VLOOKUP($R$2,[4]Prices!$J$3:$K$17,2,FALSE)*R386)+(VLOOKUP($S$2,[4]Prices!$J$3:$K$17,2,FALSE)*S386)+(VLOOKUP($T$2,[4]Prices!$J$3:$K$17,2,FALSE)*T386)+(VLOOKUP($U$2,[4]Prices!$J$3:$K$17,2,FALSE)*U386)+(VLOOKUP($V$2,[4]Prices!$J$3:$K$17,2,FALSE)*V386)+(VLOOKUP($W$2,[4]Prices!$J$3:$K$17,2,FALSE)*W386)+(VLOOKUP($X$2,[4]Prices!$J$3:$K$17,2,FALSE)*X386)+(VLOOKUP($Y$2,[4]Prices!$J$3:$K$17,2,FALSE)*Y386)+(VLOOKUP($Z$2,[4]Prices!$J$3:$K$17,2,FALSE)*Z386)+(VLOOKUP($AA$2,[4]Prices!$J$3:$K$17,2,FALSE)*AA386)+(VLOOKUP($AB$2,[4]Prices!$J$3:$K$17,2,FALSE)*AB386)+M386</f>
        <v>3042500</v>
      </c>
      <c r="AD386" s="18"/>
      <c r="AE386" s="18"/>
      <c r="AF386" s="4">
        <f t="shared" si="20"/>
        <v>0</v>
      </c>
      <c r="AG386" s="4"/>
      <c r="AH386" s="16">
        <f t="shared" si="21"/>
        <v>0</v>
      </c>
      <c r="AI386" s="21">
        <f t="shared" si="22"/>
        <v>0</v>
      </c>
      <c r="AJ386" s="20">
        <f t="shared" si="23"/>
        <v>0</v>
      </c>
      <c r="AK386" s="9"/>
    </row>
    <row r="387" spans="1:37" hidden="1">
      <c r="A387" s="77">
        <v>385</v>
      </c>
      <c r="B387" s="78"/>
      <c r="C387" s="79"/>
      <c r="D387" s="79"/>
      <c r="E387" s="79"/>
      <c r="F387" s="79"/>
      <c r="G387" s="79"/>
      <c r="H387" s="80"/>
      <c r="I387" s="45" t="s">
        <v>843</v>
      </c>
      <c r="J387" s="45" t="s">
        <v>1390</v>
      </c>
      <c r="K387" s="46" t="s">
        <v>671</v>
      </c>
      <c r="L387" s="46" t="s">
        <v>1182</v>
      </c>
      <c r="M387" s="81">
        <f>IFERROR(VLOOKUP($L387,[3]Consolidated!$C$9:$AC$452,27,0),0)</f>
        <v>1483000</v>
      </c>
      <c r="N387" s="81">
        <f>IFERROR(VLOOKUP($L387,[3]Consolidated!$C$9:$AC$452,5,0),0)</f>
        <v>10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4">
        <f>(VLOOKUP($O$2,[4]Prices!$E$3:$K$17,2,FALSE)*O387)+(VLOOKUP($P$2,[4]Prices!$J$3:$K$17,2,FALSE)*P387)+(VLOOKUP($Q$2,[4]Prices!$J$3:$K$17,2,FALSE)*Q387)+(VLOOKUP($R$2,[4]Prices!$J$3:$K$17,2,FALSE)*R387)+(VLOOKUP($S$2,[4]Prices!$J$3:$K$17,2,FALSE)*S387)+(VLOOKUP($T$2,[4]Prices!$J$3:$K$17,2,FALSE)*T387)+(VLOOKUP($U$2,[4]Prices!$J$3:$K$17,2,FALSE)*U387)+(VLOOKUP($V$2,[4]Prices!$J$3:$K$17,2,FALSE)*V387)+(VLOOKUP($W$2,[4]Prices!$J$3:$K$17,2,FALSE)*W387)+(VLOOKUP($X$2,[4]Prices!$J$3:$K$17,2,FALSE)*X387)+(VLOOKUP($Y$2,[4]Prices!$J$3:$K$17,2,FALSE)*Y387)+(VLOOKUP($Z$2,[4]Prices!$J$3:$K$17,2,FALSE)*Z387)+(VLOOKUP($AA$2,[4]Prices!$J$3:$K$17,2,FALSE)*AA387)+(VLOOKUP($AB$2,[4]Prices!$J$3:$K$17,2,FALSE)*AB387)+M387</f>
        <v>1483000</v>
      </c>
      <c r="AD387" s="18"/>
      <c r="AE387" s="18"/>
      <c r="AF387" s="4">
        <f t="shared" ref="AF387:AF390" si="24">AD387-AE387</f>
        <v>0</v>
      </c>
      <c r="AG387" s="4"/>
      <c r="AH387" s="16">
        <f t="shared" si="21"/>
        <v>0</v>
      </c>
      <c r="AI387" s="21">
        <f t="shared" si="22"/>
        <v>0</v>
      </c>
      <c r="AJ387" s="20">
        <f t="shared" si="23"/>
        <v>0</v>
      </c>
      <c r="AK387" s="19"/>
    </row>
    <row r="388" spans="1:37" hidden="1">
      <c r="A388" s="77">
        <v>386</v>
      </c>
      <c r="B388" s="78"/>
      <c r="C388" s="79"/>
      <c r="D388" s="79"/>
      <c r="E388" s="79"/>
      <c r="F388" s="79"/>
      <c r="G388" s="79"/>
      <c r="H388" s="80"/>
      <c r="I388" s="45" t="s">
        <v>839</v>
      </c>
      <c r="J388" s="45" t="s">
        <v>1390</v>
      </c>
      <c r="K388" s="46" t="s">
        <v>671</v>
      </c>
      <c r="L388" s="47" t="s">
        <v>1177</v>
      </c>
      <c r="M388" s="81">
        <f>IFERROR(VLOOKUP($L388,[3]Consolidated!$C$9:$AC$452,27,0),0)</f>
        <v>1483000</v>
      </c>
      <c r="N388" s="81">
        <f>IFERROR(VLOOKUP($L388,[3]Consolidated!$C$9:$AC$452,5,0),0)</f>
        <v>10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4">
        <f>(VLOOKUP($O$2,[4]Prices!$E$3:$K$17,2,FALSE)*O388)+(VLOOKUP($P$2,[4]Prices!$J$3:$K$17,2,FALSE)*P388)+(VLOOKUP($Q$2,[4]Prices!$J$3:$K$17,2,FALSE)*Q388)+(VLOOKUP($R$2,[4]Prices!$J$3:$K$17,2,FALSE)*R388)+(VLOOKUP($S$2,[4]Prices!$J$3:$K$17,2,FALSE)*S388)+(VLOOKUP($T$2,[4]Prices!$J$3:$K$17,2,FALSE)*T388)+(VLOOKUP($U$2,[4]Prices!$J$3:$K$17,2,FALSE)*U388)+(VLOOKUP($V$2,[4]Prices!$J$3:$K$17,2,FALSE)*V388)+(VLOOKUP($W$2,[4]Prices!$J$3:$K$17,2,FALSE)*W388)+(VLOOKUP($X$2,[4]Prices!$J$3:$K$17,2,FALSE)*X388)+(VLOOKUP($Y$2,[4]Prices!$J$3:$K$17,2,FALSE)*Y388)+(VLOOKUP($Z$2,[4]Prices!$J$3:$K$17,2,FALSE)*Z388)+(VLOOKUP($AA$2,[4]Prices!$J$3:$K$17,2,FALSE)*AA388)+(VLOOKUP($AB$2,[4]Prices!$J$3:$K$17,2,FALSE)*AB388)+M388</f>
        <v>1483000</v>
      </c>
      <c r="AD388" s="18"/>
      <c r="AE388" s="18"/>
      <c r="AF388" s="4">
        <f t="shared" si="24"/>
        <v>0</v>
      </c>
      <c r="AG388" s="4"/>
      <c r="AH388" s="16">
        <f t="shared" ref="AH388:AH390" si="25">AD388+AG388</f>
        <v>0</v>
      </c>
      <c r="AI388" s="21">
        <f t="shared" ref="AI388:AI390" si="26">AH388/M388</f>
        <v>0</v>
      </c>
      <c r="AJ388" s="20">
        <f t="shared" si="23"/>
        <v>0</v>
      </c>
      <c r="AK388" s="9"/>
    </row>
    <row r="389" spans="1:37" hidden="1">
      <c r="A389" s="77">
        <v>387</v>
      </c>
      <c r="B389" s="78"/>
      <c r="C389" s="79"/>
      <c r="D389" s="79"/>
      <c r="E389" s="79"/>
      <c r="F389" s="79"/>
      <c r="G389" s="79"/>
      <c r="H389" s="80"/>
      <c r="I389" s="45" t="s">
        <v>1471</v>
      </c>
      <c r="J389" s="45" t="s">
        <v>1390</v>
      </c>
      <c r="K389" s="46" t="s">
        <v>669</v>
      </c>
      <c r="L389" s="47" t="s">
        <v>1211</v>
      </c>
      <c r="M389" s="81">
        <f>IFERROR(VLOOKUP($L389,[3]Consolidated!$C$9:$AC$452,27,0),0)</f>
        <v>1676000</v>
      </c>
      <c r="N389" s="81">
        <f>IFERROR(VLOOKUP($L389,[3]Consolidated!$C$9:$AC$452,5,0),0)</f>
        <v>10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4">
        <f>(VLOOKUP($O$2,[4]Prices!$E$3:$K$17,2,FALSE)*O389)+(VLOOKUP($P$2,[4]Prices!$J$3:$K$17,2,FALSE)*P389)+(VLOOKUP($Q$2,[4]Prices!$J$3:$K$17,2,FALSE)*Q389)+(VLOOKUP($R$2,[4]Prices!$J$3:$K$17,2,FALSE)*R389)+(VLOOKUP($S$2,[4]Prices!$J$3:$K$17,2,FALSE)*S389)+(VLOOKUP($T$2,[4]Prices!$J$3:$K$17,2,FALSE)*T389)+(VLOOKUP($U$2,[4]Prices!$J$3:$K$17,2,FALSE)*U389)+(VLOOKUP($V$2,[4]Prices!$J$3:$K$17,2,FALSE)*V389)+(VLOOKUP($W$2,[4]Prices!$J$3:$K$17,2,FALSE)*W389)+(VLOOKUP($X$2,[4]Prices!$J$3:$K$17,2,FALSE)*X389)+(VLOOKUP($Y$2,[4]Prices!$J$3:$K$17,2,FALSE)*Y389)+(VLOOKUP($Z$2,[4]Prices!$J$3:$K$17,2,FALSE)*Z389)+(VLOOKUP($AA$2,[4]Prices!$J$3:$K$17,2,FALSE)*AA389)+(VLOOKUP($AB$2,[4]Prices!$J$3:$K$17,2,FALSE)*AB389)+M389</f>
        <v>1676000</v>
      </c>
      <c r="AD389" s="18"/>
      <c r="AE389" s="18"/>
      <c r="AF389" s="4">
        <f t="shared" si="24"/>
        <v>0</v>
      </c>
      <c r="AG389" s="4"/>
      <c r="AH389" s="16">
        <f t="shared" si="25"/>
        <v>0</v>
      </c>
      <c r="AI389" s="21">
        <f t="shared" si="26"/>
        <v>0</v>
      </c>
      <c r="AJ389" s="20">
        <f t="shared" ref="AJ389:AJ390" si="27">AH389/AC389</f>
        <v>0</v>
      </c>
      <c r="AK389" s="9"/>
    </row>
    <row r="390" spans="1:37" hidden="1">
      <c r="A390" s="77">
        <v>388</v>
      </c>
      <c r="B390" s="78"/>
      <c r="C390" s="79"/>
      <c r="D390" s="79"/>
      <c r="E390" s="79"/>
      <c r="F390" s="79"/>
      <c r="G390" s="79"/>
      <c r="H390" s="80"/>
      <c r="I390" s="45" t="s">
        <v>1473</v>
      </c>
      <c r="J390" s="45" t="s">
        <v>1389</v>
      </c>
      <c r="K390" s="46" t="s">
        <v>668</v>
      </c>
      <c r="L390" s="47" t="s">
        <v>1472</v>
      </c>
      <c r="M390" s="81">
        <f>IFERROR(VLOOKUP($L390,[3]Consolidated!$C$9:$AC$452,27,0),0)</f>
        <v>1255000</v>
      </c>
      <c r="N390" s="81">
        <f>IFERROR(VLOOKUP($L390,[3]Consolidated!$C$9:$AC$452,5,0),0)</f>
        <v>10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4">
        <f>(VLOOKUP($O$2,[4]Prices!$E$3:$K$17,2,FALSE)*O390)+(VLOOKUP($P$2,[4]Prices!$J$3:$K$17,2,FALSE)*P390)+(VLOOKUP($Q$2,[4]Prices!$J$3:$K$17,2,FALSE)*Q390)+(VLOOKUP($R$2,[4]Prices!$J$3:$K$17,2,FALSE)*R390)+(VLOOKUP($S$2,[4]Prices!$J$3:$K$17,2,FALSE)*S390)+(VLOOKUP($T$2,[4]Prices!$J$3:$K$17,2,FALSE)*T390)+(VLOOKUP($U$2,[4]Prices!$J$3:$K$17,2,FALSE)*U390)+(VLOOKUP($V$2,[4]Prices!$J$3:$K$17,2,FALSE)*V390)+(VLOOKUP($W$2,[4]Prices!$J$3:$K$17,2,FALSE)*W390)+(VLOOKUP($X$2,[4]Prices!$J$3:$K$17,2,FALSE)*X390)+(VLOOKUP($Y$2,[4]Prices!$J$3:$K$17,2,FALSE)*Y390)+(VLOOKUP($Z$2,[4]Prices!$J$3:$K$17,2,FALSE)*Z390)+(VLOOKUP($AA$2,[4]Prices!$J$3:$K$17,2,FALSE)*AA390)+(VLOOKUP($AB$2,[4]Prices!$J$3:$K$17,2,FALSE)*AB390)+M390</f>
        <v>1255000</v>
      </c>
      <c r="AD390" s="18"/>
      <c r="AE390" s="18"/>
      <c r="AF390" s="4">
        <f t="shared" si="24"/>
        <v>0</v>
      </c>
      <c r="AG390" s="4"/>
      <c r="AH390" s="16">
        <f t="shared" si="25"/>
        <v>0</v>
      </c>
      <c r="AI390" s="21">
        <f t="shared" si="26"/>
        <v>0</v>
      </c>
      <c r="AJ390" s="20">
        <f t="shared" si="27"/>
        <v>0</v>
      </c>
      <c r="AK390" s="9"/>
    </row>
    <row r="391" spans="1:37" hidden="1">
      <c r="I391" s="45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</row>
  </sheetData>
  <autoFilter ref="A2:AK391" xr:uid="{71DB8187-A05E-4EF6-9F5C-27CBBDB3124D}">
    <filterColumn colId="9">
      <filters>
        <filter val="SWR"/>
      </filters>
    </filterColumn>
    <filterColumn colId="32">
      <customFilters>
        <customFilter operator="notEqual" val=" "/>
      </customFilters>
    </filterColumn>
    <sortState xmlns:xlrd2="http://schemas.microsoft.com/office/spreadsheetml/2017/richdata2" ref="A115:AK225">
      <sortCondition sortBy="cellColor" ref="I2:I390" dxfId="17"/>
    </sortState>
  </autoFilter>
  <mergeCells count="1">
    <mergeCell ref="B1:H1"/>
  </mergeCells>
  <conditionalFormatting sqref="AI2:AJ2">
    <cfRule type="duplicateValues" dxfId="16" priority="7"/>
  </conditionalFormatting>
  <conditionalFormatting sqref="I3:I4">
    <cfRule type="duplicateValues" dxfId="15" priority="5"/>
  </conditionalFormatting>
  <conditionalFormatting sqref="I39:I389 I5:I37">
    <cfRule type="duplicateValues" dxfId="14" priority="4"/>
  </conditionalFormatting>
  <conditionalFormatting sqref="I390">
    <cfRule type="duplicateValues" dxfId="13" priority="6"/>
  </conditionalFormatting>
  <conditionalFormatting sqref="I38">
    <cfRule type="duplicateValues" dxfId="12" priority="3"/>
  </conditionalFormatting>
  <conditionalFormatting sqref="I391">
    <cfRule type="duplicateValues" dxfId="11" priority="8"/>
  </conditionalFormatting>
  <conditionalFormatting sqref="AD2 AG2">
    <cfRule type="duplicateValues" dxfId="10" priority="1"/>
  </conditionalFormatting>
  <conditionalFormatting sqref="L2">
    <cfRule type="duplicateValues" dxfId="9" priority="2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K391"/>
  <sheetViews>
    <sheetView topLeftCell="I1" zoomScale="80" zoomScaleNormal="80" workbookViewId="0">
      <selection activeCell="AH394" sqref="AH394"/>
    </sheetView>
  </sheetViews>
  <sheetFormatPr defaultColWidth="9.08984375" defaultRowHeight="14.5" outlineLevelCol="1"/>
  <cols>
    <col min="1" max="1" width="7.36328125" style="7" customWidth="1"/>
    <col min="2" max="2" width="17.6328125" style="1" hidden="1" customWidth="1"/>
    <col min="3" max="3" width="0" style="1" hidden="1" customWidth="1"/>
    <col min="4" max="4" width="15.36328125" style="1" hidden="1" customWidth="1"/>
    <col min="5" max="5" width="14.36328125" style="1" hidden="1" customWidth="1"/>
    <col min="6" max="6" width="13.6328125" style="1" hidden="1" customWidth="1"/>
    <col min="7" max="7" width="16.08984375" style="1" hidden="1" customWidth="1"/>
    <col min="8" max="8" width="15.90625" style="1" hidden="1" customWidth="1"/>
    <col min="9" max="9" width="29.54296875" style="22" customWidth="1"/>
    <col min="10" max="10" width="8.453125" style="22" customWidth="1"/>
    <col min="11" max="11" width="8.36328125" style="1" customWidth="1"/>
    <col min="12" max="12" width="11.54296875" style="1" customWidth="1"/>
    <col min="13" max="13" width="18.08984375" style="2" customWidth="1"/>
    <col min="14" max="14" width="12.54296875" style="2" customWidth="1"/>
    <col min="15" max="28" width="16.08984375" style="2" hidden="1" customWidth="1" outlineLevel="1"/>
    <col min="29" max="29" width="18.08984375" style="2" customWidth="1" collapsed="1"/>
    <col min="30" max="30" width="20.6328125" style="2" customWidth="1"/>
    <col min="31" max="32" width="21.453125" style="2" hidden="1" customWidth="1"/>
    <col min="33" max="33" width="16.08984375" style="1" customWidth="1"/>
    <col min="34" max="34" width="18.453125" style="1" customWidth="1"/>
    <col min="35" max="35" width="12.36328125" style="22" hidden="1" customWidth="1"/>
    <col min="36" max="36" width="13.453125" style="22" customWidth="1"/>
    <col min="37" max="37" width="58.453125" style="1" customWidth="1"/>
    <col min="38" max="16384" width="9.08984375" style="1"/>
  </cols>
  <sheetData>
    <row r="1" spans="1:37" ht="15" thickBot="1">
      <c r="A1" s="8"/>
      <c r="B1" s="95"/>
      <c r="C1" s="96"/>
      <c r="D1" s="96"/>
      <c r="E1" s="96"/>
      <c r="F1" s="96"/>
      <c r="G1" s="96"/>
      <c r="H1" s="9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7" ht="58.5" thickBot="1">
      <c r="A2" s="6" t="s">
        <v>3</v>
      </c>
      <c r="B2" s="11" t="s">
        <v>9</v>
      </c>
      <c r="C2" s="11" t="s">
        <v>10</v>
      </c>
      <c r="D2" s="11" t="s">
        <v>1</v>
      </c>
      <c r="E2" s="11" t="s">
        <v>11</v>
      </c>
      <c r="F2" s="11" t="s">
        <v>12</v>
      </c>
      <c r="G2" s="11" t="s">
        <v>13</v>
      </c>
      <c r="H2" s="11" t="s">
        <v>14</v>
      </c>
      <c r="I2" s="55" t="s">
        <v>2</v>
      </c>
      <c r="J2" s="55" t="s">
        <v>1386</v>
      </c>
      <c r="K2" s="56" t="s">
        <v>0</v>
      </c>
      <c r="L2" s="56" t="s">
        <v>1</v>
      </c>
      <c r="M2" s="57" t="s">
        <v>1503</v>
      </c>
      <c r="N2" s="57" t="s">
        <v>6</v>
      </c>
      <c r="O2" s="58" t="s">
        <v>1480</v>
      </c>
      <c r="P2" s="58" t="s">
        <v>1481</v>
      </c>
      <c r="Q2" s="58" t="s">
        <v>1482</v>
      </c>
      <c r="R2" s="58" t="s">
        <v>1483</v>
      </c>
      <c r="S2" s="58" t="s">
        <v>1484</v>
      </c>
      <c r="T2" s="58" t="s">
        <v>1485</v>
      </c>
      <c r="U2" s="58" t="s">
        <v>1486</v>
      </c>
      <c r="V2" s="58" t="s">
        <v>1487</v>
      </c>
      <c r="W2" s="58" t="s">
        <v>1488</v>
      </c>
      <c r="X2" s="58" t="s">
        <v>1489</v>
      </c>
      <c r="Y2" s="58" t="s">
        <v>1490</v>
      </c>
      <c r="Z2" s="58" t="s">
        <v>1491</v>
      </c>
      <c r="AA2" s="58" t="s">
        <v>1492</v>
      </c>
      <c r="AB2" s="58" t="s">
        <v>1493</v>
      </c>
      <c r="AC2" s="58" t="s">
        <v>1504</v>
      </c>
      <c r="AD2" s="56" t="s">
        <v>1505</v>
      </c>
      <c r="AE2" s="59" t="s">
        <v>1506</v>
      </c>
      <c r="AF2" s="59" t="s">
        <v>17</v>
      </c>
      <c r="AG2" s="56" t="s">
        <v>4</v>
      </c>
      <c r="AH2" s="60" t="s">
        <v>1502</v>
      </c>
      <c r="AI2" s="27" t="s">
        <v>7</v>
      </c>
      <c r="AJ2" s="23" t="s">
        <v>8</v>
      </c>
      <c r="AK2" s="10" t="s">
        <v>5</v>
      </c>
    </row>
    <row r="3" spans="1:37" hidden="1">
      <c r="A3" s="3">
        <v>1</v>
      </c>
      <c r="B3" s="12"/>
      <c r="C3" s="13"/>
      <c r="D3" s="13"/>
      <c r="E3" s="13"/>
      <c r="F3" s="13"/>
      <c r="G3" s="13"/>
      <c r="H3" s="15"/>
      <c r="I3" s="45" t="s">
        <v>673</v>
      </c>
      <c r="J3" s="45" t="s">
        <v>1388</v>
      </c>
      <c r="K3" s="46" t="s">
        <v>660</v>
      </c>
      <c r="L3" s="47" t="s">
        <v>964</v>
      </c>
      <c r="M3" s="66">
        <f>IFERROR(VLOOKUP($L3,[3]Consolidated!$C$9:$AC$452,27,0),0)</f>
        <v>10358900</v>
      </c>
      <c r="N3" s="66">
        <f>IFERROR(VLOOKUP($L3,[3]Consolidated!$C$9:$AC$452,5,0),0)</f>
        <v>50</v>
      </c>
      <c r="O3" s="5">
        <v>0</v>
      </c>
      <c r="P3" s="5"/>
      <c r="Q3" s="5"/>
      <c r="R3" s="5"/>
      <c r="S3" s="5">
        <v>10</v>
      </c>
      <c r="T3" s="5"/>
      <c r="U3" s="5"/>
      <c r="V3" s="5"/>
      <c r="W3" s="5"/>
      <c r="X3" s="5"/>
      <c r="Y3" s="5"/>
      <c r="Z3" s="5"/>
      <c r="AA3" s="5"/>
      <c r="AB3" s="5"/>
      <c r="AC3" s="4">
        <f>(VLOOKUP($O$2,Prices!$E$3:$K$17,2,FALSE)*O3)+(VLOOKUP($P$2,Prices!$J$3:$K$17,2,FALSE)*P3)+(VLOOKUP($Q$2,Prices!$J$3:$K$17,2,FALSE)*Q3)+(VLOOKUP($R$2,Prices!$J$3:$K$17,2,FALSE)*R3)+(VLOOKUP($S$2,Prices!$J$3:$K$17,2,FALSE)*S3)+(VLOOKUP($T$2,Prices!$J$3:$K$17,2,FALSE)*T3)+(VLOOKUP($U$2,Prices!$J$3:$K$17,2,FALSE)*U3)+(VLOOKUP($V$2,Prices!$J$3:$K$17,2,FALSE)*V3)+(VLOOKUP($W$2,Prices!$J$3:$K$17,2,FALSE)*W3)+(VLOOKUP($X$2,Prices!$J$3:$K$17,2,FALSE)*X3)+(VLOOKUP($Y$2,Prices!$J$3:$K$17,2,FALSE)*Y3)+(VLOOKUP($Z$2,Prices!$J$3:$K$17,2,FALSE)*Z3)+(VLOOKUP($AA$2,Prices!$J$3:$K$17,2,FALSE)*AA3)+(VLOOKUP($AB$2,Prices!$J$3:$K$17,2,FALSE)*AB3)+M3</f>
        <v>12663900</v>
      </c>
      <c r="AD3" s="18">
        <v>0</v>
      </c>
      <c r="AE3" s="18"/>
      <c r="AF3" s="4">
        <f t="shared" ref="AF3:AF66" si="0">AD3-AE3</f>
        <v>0</v>
      </c>
      <c r="AG3" s="4">
        <v>0</v>
      </c>
      <c r="AH3" s="16">
        <f>AD3+AG3</f>
        <v>0</v>
      </c>
      <c r="AI3" s="21">
        <f t="shared" ref="AI3:AI66" si="1">AH3/M3</f>
        <v>0</v>
      </c>
      <c r="AJ3" s="20">
        <f>AH3/AC3</f>
        <v>0</v>
      </c>
      <c r="AK3" s="19"/>
    </row>
    <row r="4" spans="1:37" hidden="1">
      <c r="A4" s="3">
        <v>2</v>
      </c>
      <c r="B4" s="12"/>
      <c r="C4" s="13"/>
      <c r="D4" s="13"/>
      <c r="E4" s="13"/>
      <c r="F4" s="13"/>
      <c r="G4" s="13"/>
      <c r="H4" s="15"/>
      <c r="I4" s="45" t="s">
        <v>674</v>
      </c>
      <c r="J4" s="45" t="s">
        <v>1388</v>
      </c>
      <c r="K4" s="46" t="s">
        <v>660</v>
      </c>
      <c r="L4" s="47" t="s">
        <v>965</v>
      </c>
      <c r="M4" s="66">
        <f>IFERROR(VLOOKUP($L4,[3]Consolidated!$C$9:$AC$452,27,0),0)</f>
        <v>9468200</v>
      </c>
      <c r="N4" s="66">
        <f>IFERROR(VLOOKUP($L4,[3]Consolidated!$C$9:$AC$452,5,0),0)</f>
        <v>50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4">
        <f>(VLOOKUP($O$2,Prices!$E$3:$K$17,2,FALSE)*O4)+(VLOOKUP($P$2,Prices!$J$3:$K$17,2,FALSE)*P4)+(VLOOKUP($Q$2,Prices!$J$3:$K$17,2,FALSE)*Q4)+(VLOOKUP($R$2,Prices!$J$3:$K$17,2,FALSE)*R4)+(VLOOKUP($S$2,Prices!$J$3:$K$17,2,FALSE)*S4)+(VLOOKUP($T$2,Prices!$J$3:$K$17,2,FALSE)*T4)+(VLOOKUP($U$2,Prices!$J$3:$K$17,2,FALSE)*U4)+(VLOOKUP($V$2,Prices!$J$3:$K$17,2,FALSE)*V4)+(VLOOKUP($W$2,Prices!$J$3:$K$17,2,FALSE)*W4)+(VLOOKUP($X$2,Prices!$J$3:$K$17,2,FALSE)*X4)+(VLOOKUP($Y$2,Prices!$J$3:$K$17,2,FALSE)*Y4)+(VLOOKUP($Z$2,Prices!$J$3:$K$17,2,FALSE)*Z4)+(VLOOKUP($AA$2,Prices!$J$3:$K$17,2,FALSE)*AA4)+(VLOOKUP($AB$2,Prices!$J$3:$K$17,2,FALSE)*AB4)+M4</f>
        <v>9468200</v>
      </c>
      <c r="AD4" s="18"/>
      <c r="AE4" s="18"/>
      <c r="AF4" s="4">
        <f t="shared" si="0"/>
        <v>0</v>
      </c>
      <c r="AG4" s="4"/>
      <c r="AH4" s="16">
        <f t="shared" ref="AH4:AH67" si="2">AD4+AG4</f>
        <v>0</v>
      </c>
      <c r="AI4" s="21">
        <f t="shared" si="1"/>
        <v>0</v>
      </c>
      <c r="AJ4" s="20">
        <f>AH4/AC4</f>
        <v>0</v>
      </c>
      <c r="AK4" s="9"/>
    </row>
    <row r="5" spans="1:37" hidden="1">
      <c r="A5" s="3">
        <v>3</v>
      </c>
      <c r="B5" s="12"/>
      <c r="C5" s="13"/>
      <c r="D5" s="13"/>
      <c r="E5" s="13"/>
      <c r="F5" s="13"/>
      <c r="G5" s="13"/>
      <c r="H5" s="15"/>
      <c r="I5" s="45" t="s">
        <v>675</v>
      </c>
      <c r="J5" s="45" t="s">
        <v>1388</v>
      </c>
      <c r="K5" s="46" t="s">
        <v>660</v>
      </c>
      <c r="L5" s="47" t="s">
        <v>966</v>
      </c>
      <c r="M5" s="66">
        <f>IFERROR(VLOOKUP($L5,[3]Consolidated!$C$9:$AC$452,27,0),0)</f>
        <v>7420000</v>
      </c>
      <c r="N5" s="66">
        <f>IFERROR(VLOOKUP($L5,[3]Consolidated!$C$9:$AC$452,5,0),0)</f>
        <v>40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4">
        <f>(VLOOKUP($O$2,Prices!$E$3:$K$17,2,FALSE)*O5)+(VLOOKUP($P$2,Prices!$J$3:$K$17,2,FALSE)*P5)+(VLOOKUP($Q$2,Prices!$J$3:$K$17,2,FALSE)*Q5)+(VLOOKUP($R$2,Prices!$J$3:$K$17,2,FALSE)*R5)+(VLOOKUP($S$2,Prices!$J$3:$K$17,2,FALSE)*S5)+(VLOOKUP($T$2,Prices!$J$3:$K$17,2,FALSE)*T5)+(VLOOKUP($U$2,Prices!$J$3:$K$17,2,FALSE)*U5)+(VLOOKUP($V$2,Prices!$J$3:$K$17,2,FALSE)*V5)+(VLOOKUP($W$2,Prices!$J$3:$K$17,2,FALSE)*W5)+(VLOOKUP($X$2,Prices!$J$3:$K$17,2,FALSE)*X5)+(VLOOKUP($Y$2,Prices!$J$3:$K$17,2,FALSE)*Y5)+(VLOOKUP($Z$2,Prices!$J$3:$K$17,2,FALSE)*Z5)+(VLOOKUP($AA$2,Prices!$J$3:$K$17,2,FALSE)*AA5)+(VLOOKUP($AB$2,Prices!$J$3:$K$17,2,FALSE)*AB5)+M5</f>
        <v>7420000</v>
      </c>
      <c r="AD5" s="18"/>
      <c r="AE5" s="18"/>
      <c r="AF5" s="4">
        <f t="shared" si="0"/>
        <v>0</v>
      </c>
      <c r="AG5" s="4"/>
      <c r="AH5" s="16">
        <f t="shared" si="2"/>
        <v>0</v>
      </c>
      <c r="AI5" s="21">
        <f t="shared" si="1"/>
        <v>0</v>
      </c>
      <c r="AJ5" s="20">
        <f t="shared" ref="AJ5:AJ68" si="3">AH5/AC5</f>
        <v>0</v>
      </c>
      <c r="AK5" s="9"/>
    </row>
    <row r="6" spans="1:37" hidden="1">
      <c r="A6" s="3">
        <v>4</v>
      </c>
      <c r="B6" s="12"/>
      <c r="C6" s="13"/>
      <c r="D6" s="13"/>
      <c r="E6" s="13"/>
      <c r="F6" s="13"/>
      <c r="G6" s="13"/>
      <c r="H6" s="15"/>
      <c r="I6" s="45" t="s">
        <v>676</v>
      </c>
      <c r="J6" s="45" t="s">
        <v>1388</v>
      </c>
      <c r="K6" s="46" t="s">
        <v>660</v>
      </c>
      <c r="L6" s="47" t="s">
        <v>967</v>
      </c>
      <c r="M6" s="66">
        <f>IFERROR(VLOOKUP($L6,[3]Consolidated!$C$9:$AC$452,27,0),0)</f>
        <v>5314500</v>
      </c>
      <c r="N6" s="66">
        <f>IFERROR(VLOOKUP($L6,[3]Consolidated!$C$9:$AC$452,5,0),0)</f>
        <v>24.95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4">
        <f>(VLOOKUP($O$2,Prices!$E$3:$K$17,2,FALSE)*O6)+(VLOOKUP($P$2,Prices!$J$3:$K$17,2,FALSE)*P6)+(VLOOKUP($Q$2,Prices!$J$3:$K$17,2,FALSE)*Q6)+(VLOOKUP($R$2,Prices!$J$3:$K$17,2,FALSE)*R6)+(VLOOKUP($S$2,Prices!$J$3:$K$17,2,FALSE)*S6)+(VLOOKUP($T$2,Prices!$J$3:$K$17,2,FALSE)*T6)+(VLOOKUP($U$2,Prices!$J$3:$K$17,2,FALSE)*U6)+(VLOOKUP($V$2,Prices!$J$3:$K$17,2,FALSE)*V6)+(VLOOKUP($W$2,Prices!$J$3:$K$17,2,FALSE)*W6)+(VLOOKUP($X$2,Prices!$J$3:$K$17,2,FALSE)*X6)+(VLOOKUP($Y$2,Prices!$J$3:$K$17,2,FALSE)*Y6)+(VLOOKUP($Z$2,Prices!$J$3:$K$17,2,FALSE)*Z6)+(VLOOKUP($AA$2,Prices!$J$3:$K$17,2,FALSE)*AA6)+(VLOOKUP($AB$2,Prices!$J$3:$K$17,2,FALSE)*AB6)+M6</f>
        <v>5314500</v>
      </c>
      <c r="AD6" s="18"/>
      <c r="AE6" s="18"/>
      <c r="AF6" s="4">
        <f t="shared" si="0"/>
        <v>0</v>
      </c>
      <c r="AG6" s="4"/>
      <c r="AH6" s="16">
        <f t="shared" si="2"/>
        <v>0</v>
      </c>
      <c r="AI6" s="21">
        <f t="shared" si="1"/>
        <v>0</v>
      </c>
      <c r="AJ6" s="20">
        <f t="shared" si="3"/>
        <v>0</v>
      </c>
      <c r="AK6" s="9"/>
    </row>
    <row r="7" spans="1:37" hidden="1">
      <c r="A7" s="3">
        <v>5</v>
      </c>
      <c r="B7" s="12"/>
      <c r="C7" s="13"/>
      <c r="D7" s="13"/>
      <c r="E7" s="13"/>
      <c r="F7" s="13"/>
      <c r="G7" s="13"/>
      <c r="H7" s="15"/>
      <c r="I7" s="45" t="s">
        <v>677</v>
      </c>
      <c r="J7" s="45" t="s">
        <v>1388</v>
      </c>
      <c r="K7" s="46" t="s">
        <v>660</v>
      </c>
      <c r="L7" s="47" t="s">
        <v>968</v>
      </c>
      <c r="M7" s="66">
        <f>IFERROR(VLOOKUP($L7,[3]Consolidated!$C$9:$AC$452,27,0),0)</f>
        <v>13223000</v>
      </c>
      <c r="N7" s="66">
        <f>IFERROR(VLOOKUP($L7,[3]Consolidated!$C$9:$AC$452,5,0),0)</f>
        <v>70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4">
        <f>(VLOOKUP($O$2,Prices!$E$3:$K$17,2,FALSE)*O7)+(VLOOKUP($P$2,Prices!$J$3:$K$17,2,FALSE)*P7)+(VLOOKUP($Q$2,Prices!$J$3:$K$17,2,FALSE)*Q7)+(VLOOKUP($R$2,Prices!$J$3:$K$17,2,FALSE)*R7)+(VLOOKUP($S$2,Prices!$J$3:$K$17,2,FALSE)*S7)+(VLOOKUP($T$2,Prices!$J$3:$K$17,2,FALSE)*T7)+(VLOOKUP($U$2,Prices!$J$3:$K$17,2,FALSE)*U7)+(VLOOKUP($V$2,Prices!$J$3:$K$17,2,FALSE)*V7)+(VLOOKUP($W$2,Prices!$J$3:$K$17,2,FALSE)*W7)+(VLOOKUP($X$2,Prices!$J$3:$K$17,2,FALSE)*X7)+(VLOOKUP($Y$2,Prices!$J$3:$K$17,2,FALSE)*Y7)+(VLOOKUP($Z$2,Prices!$J$3:$K$17,2,FALSE)*Z7)+(VLOOKUP($AA$2,Prices!$J$3:$K$17,2,FALSE)*AA7)+(VLOOKUP($AB$2,Prices!$J$3:$K$17,2,FALSE)*AB7)+M7</f>
        <v>13223000</v>
      </c>
      <c r="AD7" s="18"/>
      <c r="AE7" s="18"/>
      <c r="AF7" s="4">
        <f>AD7-AE7</f>
        <v>0</v>
      </c>
      <c r="AG7" s="4"/>
      <c r="AH7" s="16">
        <f t="shared" si="2"/>
        <v>0</v>
      </c>
      <c r="AI7" s="21">
        <f t="shared" si="1"/>
        <v>0</v>
      </c>
      <c r="AJ7" s="20">
        <f t="shared" si="3"/>
        <v>0</v>
      </c>
      <c r="AK7" s="9"/>
    </row>
    <row r="8" spans="1:37" hidden="1">
      <c r="A8" s="3">
        <v>6</v>
      </c>
      <c r="B8" s="12"/>
      <c r="C8" s="13"/>
      <c r="D8" s="13"/>
      <c r="E8" s="13"/>
      <c r="F8" s="13"/>
      <c r="G8" s="13"/>
      <c r="H8" s="15"/>
      <c r="I8" s="45" t="s">
        <v>678</v>
      </c>
      <c r="J8" s="45" t="s">
        <v>1388</v>
      </c>
      <c r="K8" s="46" t="s">
        <v>660</v>
      </c>
      <c r="L8" s="47" t="s">
        <v>969</v>
      </c>
      <c r="M8" s="66">
        <f>IFERROR(VLOOKUP($L8,[3]Consolidated!$C$9:$AC$452,27,0),0)</f>
        <v>6528900</v>
      </c>
      <c r="N8" s="66">
        <f>IFERROR(VLOOKUP($L8,[3]Consolidated!$C$9:$AC$452,5,0),0)</f>
        <v>35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4">
        <f>(VLOOKUP($O$2,Prices!$E$3:$K$17,2,FALSE)*O8)+(VLOOKUP($P$2,Prices!$J$3:$K$17,2,FALSE)*P8)+(VLOOKUP($Q$2,Prices!$J$3:$K$17,2,FALSE)*Q8)+(VLOOKUP($R$2,Prices!$J$3:$K$17,2,FALSE)*R8)+(VLOOKUP($S$2,Prices!$J$3:$K$17,2,FALSE)*S8)+(VLOOKUP($T$2,Prices!$J$3:$K$17,2,FALSE)*T8)+(VLOOKUP($U$2,Prices!$J$3:$K$17,2,FALSE)*U8)+(VLOOKUP($V$2,Prices!$J$3:$K$17,2,FALSE)*V8)+(VLOOKUP($W$2,Prices!$J$3:$K$17,2,FALSE)*W8)+(VLOOKUP($X$2,Prices!$J$3:$K$17,2,FALSE)*X8)+(VLOOKUP($Y$2,Prices!$J$3:$K$17,2,FALSE)*Y8)+(VLOOKUP($Z$2,Prices!$J$3:$K$17,2,FALSE)*Z8)+(VLOOKUP($AA$2,Prices!$J$3:$K$17,2,FALSE)*AA8)+(VLOOKUP($AB$2,Prices!$J$3:$K$17,2,FALSE)*AB8)+M8</f>
        <v>6528900</v>
      </c>
      <c r="AD8" s="18"/>
      <c r="AE8" s="18"/>
      <c r="AF8" s="4">
        <f t="shared" si="0"/>
        <v>0</v>
      </c>
      <c r="AG8" s="4"/>
      <c r="AH8" s="16">
        <f t="shared" si="2"/>
        <v>0</v>
      </c>
      <c r="AI8" s="21">
        <f t="shared" si="1"/>
        <v>0</v>
      </c>
      <c r="AJ8" s="20">
        <f t="shared" si="3"/>
        <v>0</v>
      </c>
      <c r="AK8" s="9"/>
    </row>
    <row r="9" spans="1:37" hidden="1">
      <c r="A9" s="3">
        <v>7</v>
      </c>
      <c r="B9" s="12"/>
      <c r="C9" s="13"/>
      <c r="D9" s="13"/>
      <c r="E9" s="13"/>
      <c r="F9" s="13"/>
      <c r="G9" s="13"/>
      <c r="H9" s="15"/>
      <c r="I9" s="45" t="s">
        <v>679</v>
      </c>
      <c r="J9" s="45" t="s">
        <v>1388</v>
      </c>
      <c r="K9" s="46" t="s">
        <v>660</v>
      </c>
      <c r="L9" s="47" t="s">
        <v>970</v>
      </c>
      <c r="M9" s="66">
        <f>IFERROR(VLOOKUP($L9,[3]Consolidated!$C$9:$AC$452,27,0),0)</f>
        <v>7289100</v>
      </c>
      <c r="N9" s="66">
        <f>IFERROR(VLOOKUP($L9,[3]Consolidated!$C$9:$AC$452,5,0),0)</f>
        <v>35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4">
        <f>(VLOOKUP($O$2,Prices!$E$3:$K$17,2,FALSE)*O9)+(VLOOKUP($P$2,Prices!$J$3:$K$17,2,FALSE)*P9)+(VLOOKUP($Q$2,Prices!$J$3:$K$17,2,FALSE)*Q9)+(VLOOKUP($R$2,Prices!$J$3:$K$17,2,FALSE)*R9)+(VLOOKUP($S$2,Prices!$J$3:$K$17,2,FALSE)*S9)+(VLOOKUP($T$2,Prices!$J$3:$K$17,2,FALSE)*T9)+(VLOOKUP($U$2,Prices!$J$3:$K$17,2,FALSE)*U9)+(VLOOKUP($V$2,Prices!$J$3:$K$17,2,FALSE)*V9)+(VLOOKUP($W$2,Prices!$J$3:$K$17,2,FALSE)*W9)+(VLOOKUP($X$2,Prices!$J$3:$K$17,2,FALSE)*X9)+(VLOOKUP($Y$2,Prices!$J$3:$K$17,2,FALSE)*Y9)+(VLOOKUP($Z$2,Prices!$J$3:$K$17,2,FALSE)*Z9)+(VLOOKUP($AA$2,Prices!$J$3:$K$17,2,FALSE)*AA9)+(VLOOKUP($AB$2,Prices!$J$3:$K$17,2,FALSE)*AB9)+M9</f>
        <v>7289100</v>
      </c>
      <c r="AD9" s="18"/>
      <c r="AE9" s="18"/>
      <c r="AF9" s="4">
        <f>AD9-AE9</f>
        <v>0</v>
      </c>
      <c r="AG9" s="4"/>
      <c r="AH9" s="16">
        <f t="shared" si="2"/>
        <v>0</v>
      </c>
      <c r="AI9" s="21">
        <f t="shared" si="1"/>
        <v>0</v>
      </c>
      <c r="AJ9" s="20">
        <f t="shared" si="3"/>
        <v>0</v>
      </c>
      <c r="AK9" s="9"/>
    </row>
    <row r="10" spans="1:37" hidden="1">
      <c r="A10" s="3">
        <v>8</v>
      </c>
      <c r="B10" s="12"/>
      <c r="C10" s="13"/>
      <c r="D10" s="13"/>
      <c r="E10" s="13"/>
      <c r="F10" s="13"/>
      <c r="G10" s="13"/>
      <c r="H10" s="15"/>
      <c r="I10" s="45" t="s">
        <v>680</v>
      </c>
      <c r="J10" s="45" t="s">
        <v>1388</v>
      </c>
      <c r="K10" s="46" t="s">
        <v>660</v>
      </c>
      <c r="L10" s="47" t="s">
        <v>971</v>
      </c>
      <c r="M10" s="66">
        <f>IFERROR(VLOOKUP($L10,[3]Consolidated!$C$9:$AC$452,27,0),0)</f>
        <v>7017150</v>
      </c>
      <c r="N10" s="66">
        <f>IFERROR(VLOOKUP($L10,[3]Consolidated!$C$9:$AC$452,5,0),0)</f>
        <v>35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4">
        <f>(VLOOKUP($O$2,Prices!$E$3:$K$17,2,FALSE)*O10)+(VLOOKUP($P$2,Prices!$J$3:$K$17,2,FALSE)*P10)+(VLOOKUP($Q$2,Prices!$J$3:$K$17,2,FALSE)*Q10)+(VLOOKUP($R$2,Prices!$J$3:$K$17,2,FALSE)*R10)+(VLOOKUP($S$2,Prices!$J$3:$K$17,2,FALSE)*S10)+(VLOOKUP($T$2,Prices!$J$3:$K$17,2,FALSE)*T10)+(VLOOKUP($U$2,Prices!$J$3:$K$17,2,FALSE)*U10)+(VLOOKUP($V$2,Prices!$J$3:$K$17,2,FALSE)*V10)+(VLOOKUP($W$2,Prices!$J$3:$K$17,2,FALSE)*W10)+(VLOOKUP($X$2,Prices!$J$3:$K$17,2,FALSE)*X10)+(VLOOKUP($Y$2,Prices!$J$3:$K$17,2,FALSE)*Y10)+(VLOOKUP($Z$2,Prices!$J$3:$K$17,2,FALSE)*Z10)+(VLOOKUP($AA$2,Prices!$J$3:$K$17,2,FALSE)*AA10)+(VLOOKUP($AB$2,Prices!$J$3:$K$17,2,FALSE)*AB10)+M10</f>
        <v>7017150</v>
      </c>
      <c r="AD10" s="18"/>
      <c r="AE10" s="18"/>
      <c r="AF10" s="4">
        <f t="shared" si="0"/>
        <v>0</v>
      </c>
      <c r="AG10" s="4"/>
      <c r="AH10" s="16">
        <f t="shared" si="2"/>
        <v>0</v>
      </c>
      <c r="AI10" s="21">
        <f t="shared" si="1"/>
        <v>0</v>
      </c>
      <c r="AJ10" s="20">
        <f t="shared" si="3"/>
        <v>0</v>
      </c>
      <c r="AK10" s="9"/>
    </row>
    <row r="11" spans="1:37" hidden="1">
      <c r="A11" s="3">
        <v>9</v>
      </c>
      <c r="B11" s="12"/>
      <c r="C11" s="13"/>
      <c r="D11" s="13"/>
      <c r="E11" s="13"/>
      <c r="F11" s="13"/>
      <c r="G11" s="13"/>
      <c r="H11" s="15"/>
      <c r="I11" s="45" t="s">
        <v>681</v>
      </c>
      <c r="J11" s="45" t="s">
        <v>1388</v>
      </c>
      <c r="K11" s="46" t="s">
        <v>660</v>
      </c>
      <c r="L11" s="47" t="s">
        <v>972</v>
      </c>
      <c r="M11" s="66">
        <f>IFERROR(VLOOKUP($L11,[3]Consolidated!$C$9:$AC$452,27,0),0)</f>
        <v>0</v>
      </c>
      <c r="N11" s="66">
        <f>IFERROR(VLOOKUP($L11,[3]Consolidated!$C$9:$AC$452,5,0),0)</f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4">
        <f>(VLOOKUP($O$2,Prices!$E$3:$K$17,2,FALSE)*O11)+(VLOOKUP($P$2,Prices!$J$3:$K$17,2,FALSE)*P11)+(VLOOKUP($Q$2,Prices!$J$3:$K$17,2,FALSE)*Q11)+(VLOOKUP($R$2,Prices!$J$3:$K$17,2,FALSE)*R11)+(VLOOKUP($S$2,Prices!$J$3:$K$17,2,FALSE)*S11)+(VLOOKUP($T$2,Prices!$J$3:$K$17,2,FALSE)*T11)+(VLOOKUP($U$2,Prices!$J$3:$K$17,2,FALSE)*U11)+(VLOOKUP($V$2,Prices!$J$3:$K$17,2,FALSE)*V11)+(VLOOKUP($W$2,Prices!$J$3:$K$17,2,FALSE)*W11)+(VLOOKUP($X$2,Prices!$J$3:$K$17,2,FALSE)*X11)+(VLOOKUP($Y$2,Prices!$J$3:$K$17,2,FALSE)*Y11)+(VLOOKUP($Z$2,Prices!$J$3:$K$17,2,FALSE)*Z11)+(VLOOKUP($AA$2,Prices!$J$3:$K$17,2,FALSE)*AA11)+(VLOOKUP($AB$2,Prices!$J$3:$K$17,2,FALSE)*AB11)+M11</f>
        <v>0</v>
      </c>
      <c r="AD11" s="18"/>
      <c r="AE11" s="18"/>
      <c r="AF11" s="4">
        <f t="shared" si="0"/>
        <v>0</v>
      </c>
      <c r="AG11" s="4"/>
      <c r="AH11" s="16">
        <f t="shared" si="2"/>
        <v>0</v>
      </c>
      <c r="AI11" s="21" t="e">
        <f t="shared" si="1"/>
        <v>#DIV/0!</v>
      </c>
      <c r="AJ11" s="20" t="e">
        <f t="shared" si="3"/>
        <v>#DIV/0!</v>
      </c>
      <c r="AK11" s="9"/>
    </row>
    <row r="12" spans="1:37" hidden="1">
      <c r="A12" s="3">
        <v>10</v>
      </c>
      <c r="B12" s="12"/>
      <c r="C12" s="13"/>
      <c r="D12" s="13"/>
      <c r="E12" s="13"/>
      <c r="F12" s="13"/>
      <c r="G12" s="13"/>
      <c r="H12" s="15"/>
      <c r="I12" s="45" t="s">
        <v>682</v>
      </c>
      <c r="J12" s="45" t="s">
        <v>1388</v>
      </c>
      <c r="K12" s="46" t="s">
        <v>660</v>
      </c>
      <c r="L12" s="47" t="s">
        <v>973</v>
      </c>
      <c r="M12" s="66">
        <f>IFERROR(VLOOKUP($L12,[3]Consolidated!$C$9:$AC$452,27,0),0)</f>
        <v>7123800</v>
      </c>
      <c r="N12" s="66">
        <f>IFERROR(VLOOKUP($L12,[3]Consolidated!$C$9:$AC$452,5,0),0)</f>
        <v>35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4">
        <f>(VLOOKUP($O$2,Prices!$E$3:$K$17,2,FALSE)*O12)+(VLOOKUP($P$2,Prices!$J$3:$K$17,2,FALSE)*P12)+(VLOOKUP($Q$2,Prices!$J$3:$K$17,2,FALSE)*Q12)+(VLOOKUP($R$2,Prices!$J$3:$K$17,2,FALSE)*R12)+(VLOOKUP($S$2,Prices!$J$3:$K$17,2,FALSE)*S12)+(VLOOKUP($T$2,Prices!$J$3:$K$17,2,FALSE)*T12)+(VLOOKUP($U$2,Prices!$J$3:$K$17,2,FALSE)*U12)+(VLOOKUP($V$2,Prices!$J$3:$K$17,2,FALSE)*V12)+(VLOOKUP($W$2,Prices!$J$3:$K$17,2,FALSE)*W12)+(VLOOKUP($X$2,Prices!$J$3:$K$17,2,FALSE)*X12)+(VLOOKUP($Y$2,Prices!$J$3:$K$17,2,FALSE)*Y12)+(VLOOKUP($Z$2,Prices!$J$3:$K$17,2,FALSE)*Z12)+(VLOOKUP($AA$2,Prices!$J$3:$K$17,2,FALSE)*AA12)+(VLOOKUP($AB$2,Prices!$J$3:$K$17,2,FALSE)*AB12)+M12</f>
        <v>7123800</v>
      </c>
      <c r="AD12" s="18"/>
      <c r="AE12" s="18"/>
      <c r="AF12" s="4">
        <f t="shared" si="0"/>
        <v>0</v>
      </c>
      <c r="AG12" s="4"/>
      <c r="AH12" s="16">
        <f t="shared" si="2"/>
        <v>0</v>
      </c>
      <c r="AI12" s="21">
        <f t="shared" si="1"/>
        <v>0</v>
      </c>
      <c r="AJ12" s="20">
        <f t="shared" si="3"/>
        <v>0</v>
      </c>
      <c r="AK12" s="9"/>
    </row>
    <row r="13" spans="1:37" hidden="1">
      <c r="A13" s="3">
        <v>11</v>
      </c>
      <c r="B13" s="12"/>
      <c r="C13" s="13"/>
      <c r="D13" s="13"/>
      <c r="E13" s="13"/>
      <c r="F13" s="13"/>
      <c r="G13" s="13"/>
      <c r="H13" s="15"/>
      <c r="I13" s="45" t="s">
        <v>683</v>
      </c>
      <c r="J13" s="45" t="s">
        <v>1388</v>
      </c>
      <c r="K13" s="46" t="s">
        <v>660</v>
      </c>
      <c r="L13" s="47" t="s">
        <v>974</v>
      </c>
      <c r="M13" s="66">
        <f>IFERROR(VLOOKUP($L13,[3]Consolidated!$C$9:$AC$452,27,0),0)</f>
        <v>6819800</v>
      </c>
      <c r="N13" s="66">
        <f>IFERROR(VLOOKUP($L13,[3]Consolidated!$C$9:$AC$452,5,0),0)</f>
        <v>35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4">
        <f>(VLOOKUP($O$2,Prices!$E$3:$K$17,2,FALSE)*O13)+(VLOOKUP($P$2,Prices!$J$3:$K$17,2,FALSE)*P13)+(VLOOKUP($Q$2,Prices!$J$3:$K$17,2,FALSE)*Q13)+(VLOOKUP($R$2,Prices!$J$3:$K$17,2,FALSE)*R13)+(VLOOKUP($S$2,Prices!$J$3:$K$17,2,FALSE)*S13)+(VLOOKUP($T$2,Prices!$J$3:$K$17,2,FALSE)*T13)+(VLOOKUP($U$2,Prices!$J$3:$K$17,2,FALSE)*U13)+(VLOOKUP($V$2,Prices!$J$3:$K$17,2,FALSE)*V13)+(VLOOKUP($W$2,Prices!$J$3:$K$17,2,FALSE)*W13)+(VLOOKUP($X$2,Prices!$J$3:$K$17,2,FALSE)*X13)+(VLOOKUP($Y$2,Prices!$J$3:$K$17,2,FALSE)*Y13)+(VLOOKUP($Z$2,Prices!$J$3:$K$17,2,FALSE)*Z13)+(VLOOKUP($AA$2,Prices!$J$3:$K$17,2,FALSE)*AA13)+(VLOOKUP($AB$2,Prices!$J$3:$K$17,2,FALSE)*AB13)+M13</f>
        <v>6819800</v>
      </c>
      <c r="AD13" s="18"/>
      <c r="AE13" s="18"/>
      <c r="AF13" s="4">
        <f t="shared" si="0"/>
        <v>0</v>
      </c>
      <c r="AG13" s="4"/>
      <c r="AH13" s="16">
        <f t="shared" si="2"/>
        <v>0</v>
      </c>
      <c r="AI13" s="21">
        <f t="shared" si="1"/>
        <v>0</v>
      </c>
      <c r="AJ13" s="20">
        <f t="shared" si="3"/>
        <v>0</v>
      </c>
      <c r="AK13" s="9"/>
    </row>
    <row r="14" spans="1:37" hidden="1">
      <c r="A14" s="3">
        <v>12</v>
      </c>
      <c r="B14" s="12"/>
      <c r="C14" s="13"/>
      <c r="D14" s="13"/>
      <c r="E14" s="13"/>
      <c r="F14" s="13"/>
      <c r="G14" s="13"/>
      <c r="H14" s="15"/>
      <c r="I14" s="45" t="s">
        <v>684</v>
      </c>
      <c r="J14" s="45" t="s">
        <v>1388</v>
      </c>
      <c r="K14" s="46" t="s">
        <v>660</v>
      </c>
      <c r="L14" s="47" t="s">
        <v>975</v>
      </c>
      <c r="M14" s="66">
        <f>IFERROR(VLOOKUP($L14,[3]Consolidated!$C$9:$AC$452,27,0),0)</f>
        <v>7014800</v>
      </c>
      <c r="N14" s="66">
        <f>IFERROR(VLOOKUP($L14,[3]Consolidated!$C$9:$AC$452,5,0),0)</f>
        <v>35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4">
        <f>(VLOOKUP($O$2,Prices!$E$3:$K$17,2,FALSE)*O14)+(VLOOKUP($P$2,Prices!$J$3:$K$17,2,FALSE)*P14)+(VLOOKUP($Q$2,Prices!$J$3:$K$17,2,FALSE)*Q14)+(VLOOKUP($R$2,Prices!$J$3:$K$17,2,FALSE)*R14)+(VLOOKUP($S$2,Prices!$J$3:$K$17,2,FALSE)*S14)+(VLOOKUP($T$2,Prices!$J$3:$K$17,2,FALSE)*T14)+(VLOOKUP($U$2,Prices!$J$3:$K$17,2,FALSE)*U14)+(VLOOKUP($V$2,Prices!$J$3:$K$17,2,FALSE)*V14)+(VLOOKUP($W$2,Prices!$J$3:$K$17,2,FALSE)*W14)+(VLOOKUP($X$2,Prices!$J$3:$K$17,2,FALSE)*X14)+(VLOOKUP($Y$2,Prices!$J$3:$K$17,2,FALSE)*Y14)+(VLOOKUP($Z$2,Prices!$J$3:$K$17,2,FALSE)*Z14)+(VLOOKUP($AA$2,Prices!$J$3:$K$17,2,FALSE)*AA14)+(VLOOKUP($AB$2,Prices!$J$3:$K$17,2,FALSE)*AB14)+M14</f>
        <v>7014800</v>
      </c>
      <c r="AD14" s="18"/>
      <c r="AE14" s="18"/>
      <c r="AF14" s="4">
        <f t="shared" si="0"/>
        <v>0</v>
      </c>
      <c r="AG14" s="4"/>
      <c r="AH14" s="16">
        <f t="shared" si="2"/>
        <v>0</v>
      </c>
      <c r="AI14" s="21">
        <f t="shared" si="1"/>
        <v>0</v>
      </c>
      <c r="AJ14" s="20">
        <f t="shared" si="3"/>
        <v>0</v>
      </c>
      <c r="AK14" s="9"/>
    </row>
    <row r="15" spans="1:37" hidden="1">
      <c r="A15" s="3">
        <v>13</v>
      </c>
      <c r="B15" s="12"/>
      <c r="C15" s="13"/>
      <c r="D15" s="13"/>
      <c r="E15" s="13"/>
      <c r="F15" s="13"/>
      <c r="G15" s="13"/>
      <c r="H15" s="15"/>
      <c r="I15" s="45" t="s">
        <v>685</v>
      </c>
      <c r="J15" s="45" t="s">
        <v>1388</v>
      </c>
      <c r="K15" s="46" t="s">
        <v>660</v>
      </c>
      <c r="L15" s="47" t="s">
        <v>976</v>
      </c>
      <c r="M15" s="66">
        <f>IFERROR(VLOOKUP($L15,[3]Consolidated!$C$9:$AC$452,27,0),0)</f>
        <v>22573600</v>
      </c>
      <c r="N15" s="66">
        <f>IFERROR(VLOOKUP($L15,[3]Consolidated!$C$9:$AC$452,5,0),0)</f>
        <v>110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4">
        <f>(VLOOKUP($O$2,Prices!$E$3:$K$17,2,FALSE)*O15)+(VLOOKUP($P$2,Prices!$J$3:$K$17,2,FALSE)*P15)+(VLOOKUP($Q$2,Prices!$J$3:$K$17,2,FALSE)*Q15)+(VLOOKUP($R$2,Prices!$J$3:$K$17,2,FALSE)*R15)+(VLOOKUP($S$2,Prices!$J$3:$K$17,2,FALSE)*S15)+(VLOOKUP($T$2,Prices!$J$3:$K$17,2,FALSE)*T15)+(VLOOKUP($U$2,Prices!$J$3:$K$17,2,FALSE)*U15)+(VLOOKUP($V$2,Prices!$J$3:$K$17,2,FALSE)*V15)+(VLOOKUP($W$2,Prices!$J$3:$K$17,2,FALSE)*W15)+(VLOOKUP($X$2,Prices!$J$3:$K$17,2,FALSE)*X15)+(VLOOKUP($Y$2,Prices!$J$3:$K$17,2,FALSE)*Y15)+(VLOOKUP($Z$2,Prices!$J$3:$K$17,2,FALSE)*Z15)+(VLOOKUP($AA$2,Prices!$J$3:$K$17,2,FALSE)*AA15)+(VLOOKUP($AB$2,Prices!$J$3:$K$17,2,FALSE)*AB15)+M15</f>
        <v>22573600</v>
      </c>
      <c r="AD15" s="18"/>
      <c r="AE15" s="18"/>
      <c r="AF15" s="4">
        <f t="shared" si="0"/>
        <v>0</v>
      </c>
      <c r="AG15" s="4"/>
      <c r="AH15" s="16">
        <f t="shared" si="2"/>
        <v>0</v>
      </c>
      <c r="AI15" s="21">
        <f t="shared" si="1"/>
        <v>0</v>
      </c>
      <c r="AJ15" s="20">
        <f t="shared" si="3"/>
        <v>0</v>
      </c>
      <c r="AK15" s="19"/>
    </row>
    <row r="16" spans="1:37" hidden="1">
      <c r="A16" s="3">
        <v>14</v>
      </c>
      <c r="B16" s="12"/>
      <c r="C16" s="13"/>
      <c r="D16" s="13"/>
      <c r="E16" s="13"/>
      <c r="F16" s="13"/>
      <c r="G16" s="13"/>
      <c r="H16" s="15"/>
      <c r="I16" s="45" t="s">
        <v>686</v>
      </c>
      <c r="J16" s="45" t="s">
        <v>1388</v>
      </c>
      <c r="K16" s="46" t="s">
        <v>660</v>
      </c>
      <c r="L16" s="47" t="s">
        <v>977</v>
      </c>
      <c r="M16" s="66">
        <f>IFERROR(VLOOKUP($L16,[3]Consolidated!$C$9:$AC$452,27,0),0)</f>
        <v>9175450</v>
      </c>
      <c r="N16" s="66">
        <f>IFERROR(VLOOKUP($L16,[3]Consolidated!$C$9:$AC$452,5,0),0)</f>
        <v>45.000000000000007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4">
        <f>(VLOOKUP($O$2,Prices!$E$3:$K$17,2,FALSE)*O16)+(VLOOKUP($P$2,Prices!$J$3:$K$17,2,FALSE)*P16)+(VLOOKUP($Q$2,Prices!$J$3:$K$17,2,FALSE)*Q16)+(VLOOKUP($R$2,Prices!$J$3:$K$17,2,FALSE)*R16)+(VLOOKUP($S$2,Prices!$J$3:$K$17,2,FALSE)*S16)+(VLOOKUP($T$2,Prices!$J$3:$K$17,2,FALSE)*T16)+(VLOOKUP($U$2,Prices!$J$3:$K$17,2,FALSE)*U16)+(VLOOKUP($V$2,Prices!$J$3:$K$17,2,FALSE)*V16)+(VLOOKUP($W$2,Prices!$J$3:$K$17,2,FALSE)*W16)+(VLOOKUP($X$2,Prices!$J$3:$K$17,2,FALSE)*X16)+(VLOOKUP($Y$2,Prices!$J$3:$K$17,2,FALSE)*Y16)+(VLOOKUP($Z$2,Prices!$J$3:$K$17,2,FALSE)*Z16)+(VLOOKUP($AA$2,Prices!$J$3:$K$17,2,FALSE)*AA16)+(VLOOKUP($AB$2,Prices!$J$3:$K$17,2,FALSE)*AB16)+M16</f>
        <v>9175450</v>
      </c>
      <c r="AD16" s="18"/>
      <c r="AE16" s="18"/>
      <c r="AF16" s="4">
        <f t="shared" si="0"/>
        <v>0</v>
      </c>
      <c r="AG16" s="4"/>
      <c r="AH16" s="16">
        <f t="shared" si="2"/>
        <v>0</v>
      </c>
      <c r="AI16" s="21">
        <f t="shared" si="1"/>
        <v>0</v>
      </c>
      <c r="AJ16" s="20">
        <f t="shared" si="3"/>
        <v>0</v>
      </c>
      <c r="AK16" s="9"/>
    </row>
    <row r="17" spans="1:37" hidden="1">
      <c r="A17" s="3">
        <v>15</v>
      </c>
      <c r="B17" s="12"/>
      <c r="C17" s="13"/>
      <c r="D17" s="13"/>
      <c r="E17" s="13"/>
      <c r="F17" s="13"/>
      <c r="G17" s="13"/>
      <c r="H17" s="15"/>
      <c r="I17" s="45" t="s">
        <v>687</v>
      </c>
      <c r="J17" s="45" t="s">
        <v>1388</v>
      </c>
      <c r="K17" s="46" t="s">
        <v>660</v>
      </c>
      <c r="L17" s="47" t="s">
        <v>978</v>
      </c>
      <c r="M17" s="66">
        <f>IFERROR(VLOOKUP($L17,[3]Consolidated!$C$9:$AC$452,27,0),0)</f>
        <v>0</v>
      </c>
      <c r="N17" s="66">
        <f>IFERROR(VLOOKUP($L17,[3]Consolidated!$C$9:$AC$452,5,0),0)</f>
        <v>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4">
        <f>(VLOOKUP($O$2,Prices!$E$3:$K$17,2,FALSE)*O17)+(VLOOKUP($P$2,Prices!$J$3:$K$17,2,FALSE)*P17)+(VLOOKUP($Q$2,Prices!$J$3:$K$17,2,FALSE)*Q17)+(VLOOKUP($R$2,Prices!$J$3:$K$17,2,FALSE)*R17)+(VLOOKUP($S$2,Prices!$J$3:$K$17,2,FALSE)*S17)+(VLOOKUP($T$2,Prices!$J$3:$K$17,2,FALSE)*T17)+(VLOOKUP($U$2,Prices!$J$3:$K$17,2,FALSE)*U17)+(VLOOKUP($V$2,Prices!$J$3:$K$17,2,FALSE)*V17)+(VLOOKUP($W$2,Prices!$J$3:$K$17,2,FALSE)*W17)+(VLOOKUP($X$2,Prices!$J$3:$K$17,2,FALSE)*X17)+(VLOOKUP($Y$2,Prices!$J$3:$K$17,2,FALSE)*Y17)+(VLOOKUP($Z$2,Prices!$J$3:$K$17,2,FALSE)*Z17)+(VLOOKUP($AA$2,Prices!$J$3:$K$17,2,FALSE)*AA17)+(VLOOKUP($AB$2,Prices!$J$3:$K$17,2,FALSE)*AB17)+M17</f>
        <v>0</v>
      </c>
      <c r="AD17" s="18"/>
      <c r="AE17" s="18"/>
      <c r="AF17" s="4">
        <f t="shared" si="0"/>
        <v>0</v>
      </c>
      <c r="AG17" s="4"/>
      <c r="AH17" s="16">
        <f t="shared" si="2"/>
        <v>0</v>
      </c>
      <c r="AI17" s="21" t="e">
        <f t="shared" si="1"/>
        <v>#DIV/0!</v>
      </c>
      <c r="AJ17" s="20" t="e">
        <f t="shared" si="3"/>
        <v>#DIV/0!</v>
      </c>
      <c r="AK17" s="9"/>
    </row>
    <row r="18" spans="1:37" hidden="1">
      <c r="A18" s="3">
        <v>16</v>
      </c>
      <c r="B18" s="12"/>
      <c r="C18" s="13"/>
      <c r="D18" s="13"/>
      <c r="E18" s="13"/>
      <c r="F18" s="13"/>
      <c r="G18" s="13"/>
      <c r="H18" s="15"/>
      <c r="I18" s="45" t="s">
        <v>688</v>
      </c>
      <c r="J18" s="45" t="s">
        <v>1388</v>
      </c>
      <c r="K18" s="46" t="s">
        <v>660</v>
      </c>
      <c r="L18" s="47" t="s">
        <v>979</v>
      </c>
      <c r="M18" s="66">
        <f>IFERROR(VLOOKUP($L18,[3]Consolidated!$C$9:$AC$452,27,0),0)</f>
        <v>7017150</v>
      </c>
      <c r="N18" s="66">
        <f>IFERROR(VLOOKUP($L18,[3]Consolidated!$C$9:$AC$452,5,0),0)</f>
        <v>35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4">
        <f>(VLOOKUP($O$2,Prices!$E$3:$K$17,2,FALSE)*O18)+(VLOOKUP($P$2,Prices!$J$3:$K$17,2,FALSE)*P18)+(VLOOKUP($Q$2,Prices!$J$3:$K$17,2,FALSE)*Q18)+(VLOOKUP($R$2,Prices!$J$3:$K$17,2,FALSE)*R18)+(VLOOKUP($S$2,Prices!$J$3:$K$17,2,FALSE)*S18)+(VLOOKUP($T$2,Prices!$J$3:$K$17,2,FALSE)*T18)+(VLOOKUP($U$2,Prices!$J$3:$K$17,2,FALSE)*U18)+(VLOOKUP($V$2,Prices!$J$3:$K$17,2,FALSE)*V18)+(VLOOKUP($W$2,Prices!$J$3:$K$17,2,FALSE)*W18)+(VLOOKUP($X$2,Prices!$J$3:$K$17,2,FALSE)*X18)+(VLOOKUP($Y$2,Prices!$J$3:$K$17,2,FALSE)*Y18)+(VLOOKUP($Z$2,Prices!$J$3:$K$17,2,FALSE)*Z18)+(VLOOKUP($AA$2,Prices!$J$3:$K$17,2,FALSE)*AA18)+(VLOOKUP($AB$2,Prices!$J$3:$K$17,2,FALSE)*AB18)+M18</f>
        <v>7017150</v>
      </c>
      <c r="AD18" s="18"/>
      <c r="AE18" s="18"/>
      <c r="AF18" s="4">
        <f t="shared" si="0"/>
        <v>0</v>
      </c>
      <c r="AG18" s="4"/>
      <c r="AH18" s="16">
        <f t="shared" si="2"/>
        <v>0</v>
      </c>
      <c r="AI18" s="21">
        <f t="shared" si="1"/>
        <v>0</v>
      </c>
      <c r="AJ18" s="20">
        <f t="shared" si="3"/>
        <v>0</v>
      </c>
      <c r="AK18" s="9"/>
    </row>
    <row r="19" spans="1:37" hidden="1">
      <c r="A19" s="3">
        <v>17</v>
      </c>
      <c r="B19" s="12"/>
      <c r="C19" s="13"/>
      <c r="D19" s="13"/>
      <c r="E19" s="13"/>
      <c r="F19" s="13"/>
      <c r="G19" s="13"/>
      <c r="H19" s="15"/>
      <c r="I19" s="45" t="s">
        <v>689</v>
      </c>
      <c r="J19" s="45" t="s">
        <v>1388</v>
      </c>
      <c r="K19" s="46" t="s">
        <v>660</v>
      </c>
      <c r="L19" s="47" t="s">
        <v>980</v>
      </c>
      <c r="M19" s="66">
        <f>IFERROR(VLOOKUP($L19,[3]Consolidated!$C$9:$AC$452,27,0),0)</f>
        <v>6800200</v>
      </c>
      <c r="N19" s="66">
        <f>IFERROR(VLOOKUP($L19,[3]Consolidated!$C$9:$AC$452,5,0),0)</f>
        <v>35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4">
        <f>(VLOOKUP($O$2,Prices!$E$3:$K$17,2,FALSE)*O19)+(VLOOKUP($P$2,Prices!$J$3:$K$17,2,FALSE)*P19)+(VLOOKUP($Q$2,Prices!$J$3:$K$17,2,FALSE)*Q19)+(VLOOKUP($R$2,Prices!$J$3:$K$17,2,FALSE)*R19)+(VLOOKUP($S$2,Prices!$J$3:$K$17,2,FALSE)*S19)+(VLOOKUP($T$2,Prices!$J$3:$K$17,2,FALSE)*T19)+(VLOOKUP($U$2,Prices!$J$3:$K$17,2,FALSE)*U19)+(VLOOKUP($V$2,Prices!$J$3:$K$17,2,FALSE)*V19)+(VLOOKUP($W$2,Prices!$J$3:$K$17,2,FALSE)*W19)+(VLOOKUP($X$2,Prices!$J$3:$K$17,2,FALSE)*X19)+(VLOOKUP($Y$2,Prices!$J$3:$K$17,2,FALSE)*Y19)+(VLOOKUP($Z$2,Prices!$J$3:$K$17,2,FALSE)*Z19)+(VLOOKUP($AA$2,Prices!$J$3:$K$17,2,FALSE)*AA19)+(VLOOKUP($AB$2,Prices!$J$3:$K$17,2,FALSE)*AB19)+M19</f>
        <v>6800200</v>
      </c>
      <c r="AD19" s="18"/>
      <c r="AE19" s="18"/>
      <c r="AF19" s="4">
        <f t="shared" si="0"/>
        <v>0</v>
      </c>
      <c r="AG19" s="4"/>
      <c r="AH19" s="16">
        <f t="shared" si="2"/>
        <v>0</v>
      </c>
      <c r="AI19" s="21">
        <f t="shared" si="1"/>
        <v>0</v>
      </c>
      <c r="AJ19" s="20">
        <f t="shared" si="3"/>
        <v>0</v>
      </c>
      <c r="AK19" s="9"/>
    </row>
    <row r="20" spans="1:37" hidden="1">
      <c r="A20" s="3">
        <v>18</v>
      </c>
      <c r="B20" s="12"/>
      <c r="C20" s="13"/>
      <c r="D20" s="13"/>
      <c r="E20" s="13"/>
      <c r="F20" s="13"/>
      <c r="G20" s="13"/>
      <c r="H20" s="15"/>
      <c r="I20" s="45" t="s">
        <v>690</v>
      </c>
      <c r="J20" s="45" t="s">
        <v>1388</v>
      </c>
      <c r="K20" s="46" t="s">
        <v>660</v>
      </c>
      <c r="L20" s="47" t="s">
        <v>981</v>
      </c>
      <c r="M20" s="66">
        <f>IFERROR(VLOOKUP($L20,[3]Consolidated!$C$9:$AC$452,27,0),0)</f>
        <v>6825450</v>
      </c>
      <c r="N20" s="66">
        <f>IFERROR(VLOOKUP($L20,[3]Consolidated!$C$9:$AC$452,5,0),0)</f>
        <v>35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4">
        <f>(VLOOKUP($O$2,Prices!$E$3:$K$17,2,FALSE)*O20)+(VLOOKUP($P$2,Prices!$J$3:$K$17,2,FALSE)*P20)+(VLOOKUP($Q$2,Prices!$J$3:$K$17,2,FALSE)*Q20)+(VLOOKUP($R$2,Prices!$J$3:$K$17,2,FALSE)*R20)+(VLOOKUP($S$2,Prices!$J$3:$K$17,2,FALSE)*S20)+(VLOOKUP($T$2,Prices!$J$3:$K$17,2,FALSE)*T20)+(VLOOKUP($U$2,Prices!$J$3:$K$17,2,FALSE)*U20)+(VLOOKUP($V$2,Prices!$J$3:$K$17,2,FALSE)*V20)+(VLOOKUP($W$2,Prices!$J$3:$K$17,2,FALSE)*W20)+(VLOOKUP($X$2,Prices!$J$3:$K$17,2,FALSE)*X20)+(VLOOKUP($Y$2,Prices!$J$3:$K$17,2,FALSE)*Y20)+(VLOOKUP($Z$2,Prices!$J$3:$K$17,2,FALSE)*Z20)+(VLOOKUP($AA$2,Prices!$J$3:$K$17,2,FALSE)*AA20)+(VLOOKUP($AB$2,Prices!$J$3:$K$17,2,FALSE)*AB20)+M20</f>
        <v>6825450</v>
      </c>
      <c r="AD20" s="18"/>
      <c r="AE20" s="18"/>
      <c r="AF20" s="4">
        <f t="shared" si="0"/>
        <v>0</v>
      </c>
      <c r="AG20" s="4"/>
      <c r="AH20" s="16">
        <f t="shared" si="2"/>
        <v>0</v>
      </c>
      <c r="AI20" s="21">
        <f t="shared" si="1"/>
        <v>0</v>
      </c>
      <c r="AJ20" s="20">
        <f t="shared" si="3"/>
        <v>0</v>
      </c>
      <c r="AK20" s="9"/>
    </row>
    <row r="21" spans="1:37" hidden="1">
      <c r="A21" s="3">
        <v>19</v>
      </c>
      <c r="B21" s="12"/>
      <c r="C21" s="13"/>
      <c r="D21" s="13"/>
      <c r="E21" s="13"/>
      <c r="F21" s="13"/>
      <c r="G21" s="13"/>
      <c r="H21" s="15"/>
      <c r="I21" s="45" t="s">
        <v>691</v>
      </c>
      <c r="J21" s="45" t="s">
        <v>1388</v>
      </c>
      <c r="K21" s="46" t="s">
        <v>660</v>
      </c>
      <c r="L21" s="47" t="s">
        <v>982</v>
      </c>
      <c r="M21" s="66">
        <f>IFERROR(VLOOKUP($L21,[3]Consolidated!$C$9:$AC$452,27,0),0)</f>
        <v>7307800</v>
      </c>
      <c r="N21" s="66">
        <f>IFERROR(VLOOKUP($L21,[3]Consolidated!$C$9:$AC$452,5,0),0)</f>
        <v>35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4">
        <f>(VLOOKUP($O$2,Prices!$E$3:$K$17,2,FALSE)*O21)+(VLOOKUP($P$2,Prices!$J$3:$K$17,2,FALSE)*P21)+(VLOOKUP($Q$2,Prices!$J$3:$K$17,2,FALSE)*Q21)+(VLOOKUP($R$2,Prices!$J$3:$K$17,2,FALSE)*R21)+(VLOOKUP($S$2,Prices!$J$3:$K$17,2,FALSE)*S21)+(VLOOKUP($T$2,Prices!$J$3:$K$17,2,FALSE)*T21)+(VLOOKUP($U$2,Prices!$J$3:$K$17,2,FALSE)*U21)+(VLOOKUP($V$2,Prices!$J$3:$K$17,2,FALSE)*V21)+(VLOOKUP($W$2,Prices!$J$3:$K$17,2,FALSE)*W21)+(VLOOKUP($X$2,Prices!$J$3:$K$17,2,FALSE)*X21)+(VLOOKUP($Y$2,Prices!$J$3:$K$17,2,FALSE)*Y21)+(VLOOKUP($Z$2,Prices!$J$3:$K$17,2,FALSE)*Z21)+(VLOOKUP($AA$2,Prices!$J$3:$K$17,2,FALSE)*AA21)+(VLOOKUP($AB$2,Prices!$J$3:$K$17,2,FALSE)*AB21)+M21</f>
        <v>7307800</v>
      </c>
      <c r="AD21" s="18"/>
      <c r="AE21" s="18"/>
      <c r="AF21" s="4">
        <f t="shared" si="0"/>
        <v>0</v>
      </c>
      <c r="AG21" s="4"/>
      <c r="AH21" s="16">
        <f t="shared" si="2"/>
        <v>0</v>
      </c>
      <c r="AI21" s="21">
        <f t="shared" si="1"/>
        <v>0</v>
      </c>
      <c r="AJ21" s="20">
        <f t="shared" si="3"/>
        <v>0</v>
      </c>
      <c r="AK21" s="9"/>
    </row>
    <row r="22" spans="1:37" hidden="1">
      <c r="A22" s="3">
        <v>20</v>
      </c>
      <c r="B22" s="12"/>
      <c r="C22" s="13"/>
      <c r="D22" s="13"/>
      <c r="E22" s="13"/>
      <c r="F22" s="13"/>
      <c r="G22" s="13"/>
      <c r="H22" s="15"/>
      <c r="I22" s="45" t="s">
        <v>692</v>
      </c>
      <c r="J22" s="45" t="s">
        <v>1388</v>
      </c>
      <c r="K22" s="46" t="s">
        <v>660</v>
      </c>
      <c r="L22" s="47" t="s">
        <v>983</v>
      </c>
      <c r="M22" s="66">
        <f>IFERROR(VLOOKUP($L22,[3]Consolidated!$C$9:$AC$452,27,0),0)</f>
        <v>6668150</v>
      </c>
      <c r="N22" s="66">
        <f>IFERROR(VLOOKUP($L22,[3]Consolidated!$C$9:$AC$452,5,0),0)</f>
        <v>35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4">
        <f>(VLOOKUP($O$2,Prices!$E$3:$K$17,2,FALSE)*O22)+(VLOOKUP($P$2,Prices!$J$3:$K$17,2,FALSE)*P22)+(VLOOKUP($Q$2,Prices!$J$3:$K$17,2,FALSE)*Q22)+(VLOOKUP($R$2,Prices!$J$3:$K$17,2,FALSE)*R22)+(VLOOKUP($S$2,Prices!$J$3:$K$17,2,FALSE)*S22)+(VLOOKUP($T$2,Prices!$J$3:$K$17,2,FALSE)*T22)+(VLOOKUP($U$2,Prices!$J$3:$K$17,2,FALSE)*U22)+(VLOOKUP($V$2,Prices!$J$3:$K$17,2,FALSE)*V22)+(VLOOKUP($W$2,Prices!$J$3:$K$17,2,FALSE)*W22)+(VLOOKUP($X$2,Prices!$J$3:$K$17,2,FALSE)*X22)+(VLOOKUP($Y$2,Prices!$J$3:$K$17,2,FALSE)*Y22)+(VLOOKUP($Z$2,Prices!$J$3:$K$17,2,FALSE)*Z22)+(VLOOKUP($AA$2,Prices!$J$3:$K$17,2,FALSE)*AA22)+(VLOOKUP($AB$2,Prices!$J$3:$K$17,2,FALSE)*AB22)+M22</f>
        <v>6668150</v>
      </c>
      <c r="AD22" s="18"/>
      <c r="AE22" s="18"/>
      <c r="AF22" s="4">
        <f t="shared" si="0"/>
        <v>0</v>
      </c>
      <c r="AG22" s="4"/>
      <c r="AH22" s="16">
        <f t="shared" si="2"/>
        <v>0</v>
      </c>
      <c r="AI22" s="21">
        <f t="shared" si="1"/>
        <v>0</v>
      </c>
      <c r="AJ22" s="20">
        <f t="shared" si="3"/>
        <v>0</v>
      </c>
      <c r="AK22" s="9"/>
    </row>
    <row r="23" spans="1:37" hidden="1">
      <c r="A23" s="3">
        <v>21</v>
      </c>
      <c r="B23" s="12"/>
      <c r="C23" s="13"/>
      <c r="D23" s="13"/>
      <c r="E23" s="13"/>
      <c r="F23" s="13"/>
      <c r="G23" s="13"/>
      <c r="H23" s="15"/>
      <c r="I23" s="45" t="s">
        <v>693</v>
      </c>
      <c r="J23" s="45" t="s">
        <v>1388</v>
      </c>
      <c r="K23" s="46" t="s">
        <v>660</v>
      </c>
      <c r="L23" s="47" t="s">
        <v>984</v>
      </c>
      <c r="M23" s="66">
        <f>IFERROR(VLOOKUP($L23,[3]Consolidated!$C$9:$AC$452,27,0),0)</f>
        <v>6886450</v>
      </c>
      <c r="N23" s="66">
        <f>IFERROR(VLOOKUP($L23,[3]Consolidated!$C$9:$AC$452,5,0),0)</f>
        <v>35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4">
        <f>(VLOOKUP($O$2,Prices!$E$3:$K$17,2,FALSE)*O23)+(VLOOKUP($P$2,Prices!$J$3:$K$17,2,FALSE)*P23)+(VLOOKUP($Q$2,Prices!$J$3:$K$17,2,FALSE)*Q23)+(VLOOKUP($R$2,Prices!$J$3:$K$17,2,FALSE)*R23)+(VLOOKUP($S$2,Prices!$J$3:$K$17,2,FALSE)*S23)+(VLOOKUP($T$2,Prices!$J$3:$K$17,2,FALSE)*T23)+(VLOOKUP($U$2,Prices!$J$3:$K$17,2,FALSE)*U23)+(VLOOKUP($V$2,Prices!$J$3:$K$17,2,FALSE)*V23)+(VLOOKUP($W$2,Prices!$J$3:$K$17,2,FALSE)*W23)+(VLOOKUP($X$2,Prices!$J$3:$K$17,2,FALSE)*X23)+(VLOOKUP($Y$2,Prices!$J$3:$K$17,2,FALSE)*Y23)+(VLOOKUP($Z$2,Prices!$J$3:$K$17,2,FALSE)*Z23)+(VLOOKUP($AA$2,Prices!$J$3:$K$17,2,FALSE)*AA23)+(VLOOKUP($AB$2,Prices!$J$3:$K$17,2,FALSE)*AB23)+M23</f>
        <v>6886450</v>
      </c>
      <c r="AD23" s="18"/>
      <c r="AE23" s="18"/>
      <c r="AF23" s="4">
        <f t="shared" si="0"/>
        <v>0</v>
      </c>
      <c r="AG23" s="4"/>
      <c r="AH23" s="16">
        <f t="shared" si="2"/>
        <v>0</v>
      </c>
      <c r="AI23" s="21">
        <f t="shared" si="1"/>
        <v>0</v>
      </c>
      <c r="AJ23" s="20">
        <f t="shared" si="3"/>
        <v>0</v>
      </c>
      <c r="AK23" s="9"/>
    </row>
    <row r="24" spans="1:37" hidden="1">
      <c r="A24" s="3">
        <v>22</v>
      </c>
      <c r="B24" s="12"/>
      <c r="C24" s="13"/>
      <c r="D24" s="13"/>
      <c r="E24" s="13"/>
      <c r="F24" s="13"/>
      <c r="G24" s="13"/>
      <c r="H24" s="15"/>
      <c r="I24" s="45" t="s">
        <v>694</v>
      </c>
      <c r="J24" s="45" t="s">
        <v>1388</v>
      </c>
      <c r="K24" s="46" t="s">
        <v>660</v>
      </c>
      <c r="L24" s="46" t="s">
        <v>985</v>
      </c>
      <c r="M24" s="66">
        <f>IFERROR(VLOOKUP($L24,[3]Consolidated!$C$9:$AC$452,27,0),0)</f>
        <v>6886450</v>
      </c>
      <c r="N24" s="66">
        <f>IFERROR(VLOOKUP($L24,[3]Consolidated!$C$9:$AC$452,5,0),0)</f>
        <v>35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4">
        <f>(VLOOKUP($O$2,Prices!$E$3:$K$17,2,FALSE)*O24)+(VLOOKUP($P$2,Prices!$J$3:$K$17,2,FALSE)*P24)+(VLOOKUP($Q$2,Prices!$J$3:$K$17,2,FALSE)*Q24)+(VLOOKUP($R$2,Prices!$J$3:$K$17,2,FALSE)*R24)+(VLOOKUP($S$2,Prices!$J$3:$K$17,2,FALSE)*S24)+(VLOOKUP($T$2,Prices!$J$3:$K$17,2,FALSE)*T24)+(VLOOKUP($U$2,Prices!$J$3:$K$17,2,FALSE)*U24)+(VLOOKUP($V$2,Prices!$J$3:$K$17,2,FALSE)*V24)+(VLOOKUP($W$2,Prices!$J$3:$K$17,2,FALSE)*W24)+(VLOOKUP($X$2,Prices!$J$3:$K$17,2,FALSE)*X24)+(VLOOKUP($Y$2,Prices!$J$3:$K$17,2,FALSE)*Y24)+(VLOOKUP($Z$2,Prices!$J$3:$K$17,2,FALSE)*Z24)+(VLOOKUP($AA$2,Prices!$J$3:$K$17,2,FALSE)*AA24)+(VLOOKUP($AB$2,Prices!$J$3:$K$17,2,FALSE)*AB24)+M24</f>
        <v>6886450</v>
      </c>
      <c r="AD24" s="18"/>
      <c r="AE24" s="18"/>
      <c r="AF24" s="4">
        <f t="shared" si="0"/>
        <v>0</v>
      </c>
      <c r="AG24" s="4"/>
      <c r="AH24" s="16">
        <f t="shared" si="2"/>
        <v>0</v>
      </c>
      <c r="AI24" s="21">
        <f t="shared" si="1"/>
        <v>0</v>
      </c>
      <c r="AJ24" s="20">
        <f t="shared" si="3"/>
        <v>0</v>
      </c>
      <c r="AK24" s="9"/>
    </row>
    <row r="25" spans="1:37" hidden="1">
      <c r="A25" s="3">
        <v>23</v>
      </c>
      <c r="B25" s="12"/>
      <c r="C25" s="13"/>
      <c r="D25" s="13"/>
      <c r="E25" s="13"/>
      <c r="F25" s="13"/>
      <c r="G25" s="13"/>
      <c r="H25" s="15"/>
      <c r="I25" s="45" t="s">
        <v>764</v>
      </c>
      <c r="J25" s="45" t="s">
        <v>1388</v>
      </c>
      <c r="K25" s="46" t="s">
        <v>660</v>
      </c>
      <c r="L25" s="46" t="s">
        <v>1061</v>
      </c>
      <c r="M25" s="66">
        <f>IFERROR(VLOOKUP($L25,[3]Consolidated!$C$9:$AC$452,27,0),0)</f>
        <v>1897450</v>
      </c>
      <c r="N25" s="66">
        <f>IFERROR(VLOOKUP($L25,[3]Consolidated!$C$9:$AC$452,5,0),0)</f>
        <v>10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4">
        <f>(VLOOKUP($O$2,Prices!$E$3:$K$17,2,FALSE)*O25)+(VLOOKUP($P$2,Prices!$J$3:$K$17,2,FALSE)*P25)+(VLOOKUP($Q$2,Prices!$J$3:$K$17,2,FALSE)*Q25)+(VLOOKUP($R$2,Prices!$J$3:$K$17,2,FALSE)*R25)+(VLOOKUP($S$2,Prices!$J$3:$K$17,2,FALSE)*S25)+(VLOOKUP($T$2,Prices!$J$3:$K$17,2,FALSE)*T25)+(VLOOKUP($U$2,Prices!$J$3:$K$17,2,FALSE)*U25)+(VLOOKUP($V$2,Prices!$J$3:$K$17,2,FALSE)*V25)+(VLOOKUP($W$2,Prices!$J$3:$K$17,2,FALSE)*W25)+(VLOOKUP($X$2,Prices!$J$3:$K$17,2,FALSE)*X25)+(VLOOKUP($Y$2,Prices!$J$3:$K$17,2,FALSE)*Y25)+(VLOOKUP($Z$2,Prices!$J$3:$K$17,2,FALSE)*Z25)+(VLOOKUP($AA$2,Prices!$J$3:$K$17,2,FALSE)*AA25)+(VLOOKUP($AB$2,Prices!$J$3:$K$17,2,FALSE)*AB25)+M25</f>
        <v>1897450</v>
      </c>
      <c r="AD25" s="18"/>
      <c r="AE25" s="18"/>
      <c r="AF25" s="4">
        <f t="shared" si="0"/>
        <v>0</v>
      </c>
      <c r="AG25" s="4"/>
      <c r="AH25" s="16">
        <f t="shared" si="2"/>
        <v>0</v>
      </c>
      <c r="AI25" s="21">
        <f t="shared" si="1"/>
        <v>0</v>
      </c>
      <c r="AJ25" s="20">
        <f t="shared" si="3"/>
        <v>0</v>
      </c>
      <c r="AK25" s="9"/>
    </row>
    <row r="26" spans="1:37" hidden="1">
      <c r="A26" s="3">
        <v>24</v>
      </c>
      <c r="B26" s="12"/>
      <c r="C26" s="13"/>
      <c r="D26" s="13"/>
      <c r="E26" s="13"/>
      <c r="F26" s="13"/>
      <c r="G26" s="13"/>
      <c r="H26" s="15"/>
      <c r="I26" s="45" t="s">
        <v>1348</v>
      </c>
      <c r="J26" s="45" t="s">
        <v>1388</v>
      </c>
      <c r="K26" s="46" t="s">
        <v>660</v>
      </c>
      <c r="L26" s="46" t="s">
        <v>1344</v>
      </c>
      <c r="M26" s="66">
        <f>IFERROR(VLOOKUP($L26,[3]Consolidated!$C$9:$AC$452,27,0),0)</f>
        <v>3019950</v>
      </c>
      <c r="N26" s="66">
        <f>IFERROR(VLOOKUP($L26,[3]Consolidated!$C$9:$AC$452,5,0),0)</f>
        <v>15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4">
        <f>(VLOOKUP($O$2,Prices!$E$3:$K$17,2,FALSE)*O26)+(VLOOKUP($P$2,Prices!$J$3:$K$17,2,FALSE)*P26)+(VLOOKUP($Q$2,Prices!$J$3:$K$17,2,FALSE)*Q26)+(VLOOKUP($R$2,Prices!$J$3:$K$17,2,FALSE)*R26)+(VLOOKUP($S$2,Prices!$J$3:$K$17,2,FALSE)*S26)+(VLOOKUP($T$2,Prices!$J$3:$K$17,2,FALSE)*T26)+(VLOOKUP($U$2,Prices!$J$3:$K$17,2,FALSE)*U26)+(VLOOKUP($V$2,Prices!$J$3:$K$17,2,FALSE)*V26)+(VLOOKUP($W$2,Prices!$J$3:$K$17,2,FALSE)*W26)+(VLOOKUP($X$2,Prices!$J$3:$K$17,2,FALSE)*X26)+(VLOOKUP($Y$2,Prices!$J$3:$K$17,2,FALSE)*Y26)+(VLOOKUP($Z$2,Prices!$J$3:$K$17,2,FALSE)*Z26)+(VLOOKUP($AA$2,Prices!$J$3:$K$17,2,FALSE)*AA26)+(VLOOKUP($AB$2,Prices!$J$3:$K$17,2,FALSE)*AB26)+M26</f>
        <v>3019950</v>
      </c>
      <c r="AD26" s="18"/>
      <c r="AE26" s="18"/>
      <c r="AF26" s="4">
        <f t="shared" si="0"/>
        <v>0</v>
      </c>
      <c r="AG26" s="4"/>
      <c r="AH26" s="16">
        <f t="shared" si="2"/>
        <v>0</v>
      </c>
      <c r="AI26" s="21">
        <f t="shared" si="1"/>
        <v>0</v>
      </c>
      <c r="AJ26" s="20">
        <f t="shared" si="3"/>
        <v>0</v>
      </c>
      <c r="AK26" s="9"/>
    </row>
    <row r="27" spans="1:37" hidden="1">
      <c r="A27" s="3">
        <v>25</v>
      </c>
      <c r="B27" s="12"/>
      <c r="C27" s="13"/>
      <c r="D27" s="13"/>
      <c r="E27" s="13"/>
      <c r="F27" s="13"/>
      <c r="G27" s="13"/>
      <c r="H27" s="15"/>
      <c r="I27" s="45" t="s">
        <v>1349</v>
      </c>
      <c r="J27" s="45" t="s">
        <v>1388</v>
      </c>
      <c r="K27" s="46" t="s">
        <v>660</v>
      </c>
      <c r="L27" s="46" t="s">
        <v>1345</v>
      </c>
      <c r="M27" s="66">
        <f>IFERROR(VLOOKUP($L27,[3]Consolidated!$C$9:$AC$452,27,0),0)</f>
        <v>7766500</v>
      </c>
      <c r="N27" s="66">
        <f>IFERROR(VLOOKUP($L27,[3]Consolidated!$C$9:$AC$452,5,0),0)</f>
        <v>35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4">
        <f>(VLOOKUP($O$2,Prices!$E$3:$K$17,2,FALSE)*O27)+(VLOOKUP($P$2,Prices!$J$3:$K$17,2,FALSE)*P27)+(VLOOKUP($Q$2,Prices!$J$3:$K$17,2,FALSE)*Q27)+(VLOOKUP($R$2,Prices!$J$3:$K$17,2,FALSE)*R27)+(VLOOKUP($S$2,Prices!$J$3:$K$17,2,FALSE)*S27)+(VLOOKUP($T$2,Prices!$J$3:$K$17,2,FALSE)*T27)+(VLOOKUP($U$2,Prices!$J$3:$K$17,2,FALSE)*U27)+(VLOOKUP($V$2,Prices!$J$3:$K$17,2,FALSE)*V27)+(VLOOKUP($W$2,Prices!$J$3:$K$17,2,FALSE)*W27)+(VLOOKUP($X$2,Prices!$J$3:$K$17,2,FALSE)*X27)+(VLOOKUP($Y$2,Prices!$J$3:$K$17,2,FALSE)*Y27)+(VLOOKUP($Z$2,Prices!$J$3:$K$17,2,FALSE)*Z27)+(VLOOKUP($AA$2,Prices!$J$3:$K$17,2,FALSE)*AA27)+(VLOOKUP($AB$2,Prices!$J$3:$K$17,2,FALSE)*AB27)+M27</f>
        <v>7766500</v>
      </c>
      <c r="AD27" s="18"/>
      <c r="AE27" s="18"/>
      <c r="AF27" s="4">
        <f t="shared" si="0"/>
        <v>0</v>
      </c>
      <c r="AG27" s="4"/>
      <c r="AH27" s="16">
        <f t="shared" si="2"/>
        <v>0</v>
      </c>
      <c r="AI27" s="21">
        <f t="shared" si="1"/>
        <v>0</v>
      </c>
      <c r="AJ27" s="20">
        <f t="shared" si="3"/>
        <v>0</v>
      </c>
      <c r="AK27" s="19"/>
    </row>
    <row r="28" spans="1:37" hidden="1">
      <c r="A28" s="3">
        <v>26</v>
      </c>
      <c r="B28" s="12"/>
      <c r="C28" s="13"/>
      <c r="D28" s="13"/>
      <c r="E28" s="13"/>
      <c r="F28" s="13"/>
      <c r="G28" s="13"/>
      <c r="H28" s="15"/>
      <c r="I28" s="45" t="s">
        <v>1357</v>
      </c>
      <c r="J28" s="45" t="s">
        <v>1388</v>
      </c>
      <c r="K28" s="46" t="s">
        <v>660</v>
      </c>
      <c r="L28" s="46" t="s">
        <v>1364</v>
      </c>
      <c r="M28" s="66">
        <f>IFERROR(VLOOKUP($L28,[3]Consolidated!$C$9:$AC$452,27,0),0)</f>
        <v>3005975</v>
      </c>
      <c r="N28" s="66">
        <f>IFERROR(VLOOKUP($L28,[3]Consolidated!$C$9:$AC$452,5,0),0)</f>
        <v>14.95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4">
        <f>(VLOOKUP($O$2,Prices!$E$3:$K$17,2,FALSE)*O28)+(VLOOKUP($P$2,Prices!$J$3:$K$17,2,FALSE)*P28)+(VLOOKUP($Q$2,Prices!$J$3:$K$17,2,FALSE)*Q28)+(VLOOKUP($R$2,Prices!$J$3:$K$17,2,FALSE)*R28)+(VLOOKUP($S$2,Prices!$J$3:$K$17,2,FALSE)*S28)+(VLOOKUP($T$2,Prices!$J$3:$K$17,2,FALSE)*T28)+(VLOOKUP($U$2,Prices!$J$3:$K$17,2,FALSE)*U28)+(VLOOKUP($V$2,Prices!$J$3:$K$17,2,FALSE)*V28)+(VLOOKUP($W$2,Prices!$J$3:$K$17,2,FALSE)*W28)+(VLOOKUP($X$2,Prices!$J$3:$K$17,2,FALSE)*X28)+(VLOOKUP($Y$2,Prices!$J$3:$K$17,2,FALSE)*Y28)+(VLOOKUP($Z$2,Prices!$J$3:$K$17,2,FALSE)*Z28)+(VLOOKUP($AA$2,Prices!$J$3:$K$17,2,FALSE)*AA28)+(VLOOKUP($AB$2,Prices!$J$3:$K$17,2,FALSE)*AB28)+M28</f>
        <v>3005975</v>
      </c>
      <c r="AD28" s="18"/>
      <c r="AE28" s="18"/>
      <c r="AF28" s="4">
        <f t="shared" si="0"/>
        <v>0</v>
      </c>
      <c r="AG28" s="4"/>
      <c r="AH28" s="16">
        <f t="shared" si="2"/>
        <v>0</v>
      </c>
      <c r="AI28" s="21">
        <f t="shared" si="1"/>
        <v>0</v>
      </c>
      <c r="AJ28" s="20">
        <f t="shared" si="3"/>
        <v>0</v>
      </c>
      <c r="AK28" s="9"/>
    </row>
    <row r="29" spans="1:37" hidden="1">
      <c r="A29" s="3">
        <v>27</v>
      </c>
      <c r="B29" s="12"/>
      <c r="C29" s="13"/>
      <c r="D29" s="13"/>
      <c r="E29" s="13"/>
      <c r="F29" s="13"/>
      <c r="G29" s="13"/>
      <c r="H29" s="15"/>
      <c r="I29" s="45" t="s">
        <v>1394</v>
      </c>
      <c r="J29" s="45" t="s">
        <v>1388</v>
      </c>
      <c r="K29" s="46" t="s">
        <v>660</v>
      </c>
      <c r="L29" s="46" t="s">
        <v>1392</v>
      </c>
      <c r="M29" s="66">
        <f>IFERROR(VLOOKUP($L29,[3]Consolidated!$C$9:$AC$452,27,0),0)</f>
        <v>3962550</v>
      </c>
      <c r="N29" s="66">
        <f>IFERROR(VLOOKUP($L29,[3]Consolidated!$C$9:$AC$452,5,0),0)</f>
        <v>19.999999999999996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4">
        <f>(VLOOKUP($O$2,Prices!$E$3:$K$17,2,FALSE)*O29)+(VLOOKUP($P$2,Prices!$J$3:$K$17,2,FALSE)*P29)+(VLOOKUP($Q$2,Prices!$J$3:$K$17,2,FALSE)*Q29)+(VLOOKUP($R$2,Prices!$J$3:$K$17,2,FALSE)*R29)+(VLOOKUP($S$2,Prices!$J$3:$K$17,2,FALSE)*S29)+(VLOOKUP($T$2,Prices!$J$3:$K$17,2,FALSE)*T29)+(VLOOKUP($U$2,Prices!$J$3:$K$17,2,FALSE)*U29)+(VLOOKUP($V$2,Prices!$J$3:$K$17,2,FALSE)*V29)+(VLOOKUP($W$2,Prices!$J$3:$K$17,2,FALSE)*W29)+(VLOOKUP($X$2,Prices!$J$3:$K$17,2,FALSE)*X29)+(VLOOKUP($Y$2,Prices!$J$3:$K$17,2,FALSE)*Y29)+(VLOOKUP($Z$2,Prices!$J$3:$K$17,2,FALSE)*Z29)+(VLOOKUP($AA$2,Prices!$J$3:$K$17,2,FALSE)*AA29)+(VLOOKUP($AB$2,Prices!$J$3:$K$17,2,FALSE)*AB29)+M29</f>
        <v>3962550</v>
      </c>
      <c r="AD29" s="18"/>
      <c r="AE29" s="18"/>
      <c r="AF29" s="4">
        <f t="shared" si="0"/>
        <v>0</v>
      </c>
      <c r="AG29" s="4"/>
      <c r="AH29" s="16">
        <f t="shared" si="2"/>
        <v>0</v>
      </c>
      <c r="AI29" s="21">
        <f t="shared" si="1"/>
        <v>0</v>
      </c>
      <c r="AJ29" s="20">
        <f t="shared" si="3"/>
        <v>0</v>
      </c>
      <c r="AK29" s="9"/>
    </row>
    <row r="30" spans="1:37" hidden="1">
      <c r="A30" s="3">
        <v>28</v>
      </c>
      <c r="B30" s="12"/>
      <c r="C30" s="13"/>
      <c r="D30" s="13"/>
      <c r="E30" s="13"/>
      <c r="F30" s="13"/>
      <c r="G30" s="13"/>
      <c r="H30" s="15"/>
      <c r="I30" s="45" t="s">
        <v>695</v>
      </c>
      <c r="J30" s="45" t="s">
        <v>1388</v>
      </c>
      <c r="K30" s="46" t="s">
        <v>661</v>
      </c>
      <c r="L30" s="47" t="s">
        <v>986</v>
      </c>
      <c r="M30" s="66">
        <f>IFERROR(VLOOKUP($L30,[3]Consolidated!$C$9:$AC$452,27,0),0)</f>
        <v>18150000</v>
      </c>
      <c r="N30" s="66">
        <f>IFERROR(VLOOKUP($L30,[3]Consolidated!$C$9:$AC$452,5,0),0)</f>
        <v>70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4">
        <f>(VLOOKUP($O$2,Prices!$E$3:$K$17,2,FALSE)*O30)+(VLOOKUP($P$2,Prices!$J$3:$K$17,2,FALSE)*P30)+(VLOOKUP($Q$2,Prices!$J$3:$K$17,2,FALSE)*Q30)+(VLOOKUP($R$2,Prices!$J$3:$K$17,2,FALSE)*R30)+(VLOOKUP($S$2,Prices!$J$3:$K$17,2,FALSE)*S30)+(VLOOKUP($T$2,Prices!$J$3:$K$17,2,FALSE)*T30)+(VLOOKUP($U$2,Prices!$J$3:$K$17,2,FALSE)*U30)+(VLOOKUP($V$2,Prices!$J$3:$K$17,2,FALSE)*V30)+(VLOOKUP($W$2,Prices!$J$3:$K$17,2,FALSE)*W30)+(VLOOKUP($X$2,Prices!$J$3:$K$17,2,FALSE)*X30)+(VLOOKUP($Y$2,Prices!$J$3:$K$17,2,FALSE)*Y30)+(VLOOKUP($Z$2,Prices!$J$3:$K$17,2,FALSE)*Z30)+(VLOOKUP($AA$2,Prices!$J$3:$K$17,2,FALSE)*AA30)+(VLOOKUP($AB$2,Prices!$J$3:$K$17,2,FALSE)*AB30)+M30</f>
        <v>18150000</v>
      </c>
      <c r="AD30" s="18"/>
      <c r="AE30" s="18"/>
      <c r="AF30" s="4">
        <f t="shared" si="0"/>
        <v>0</v>
      </c>
      <c r="AG30" s="4"/>
      <c r="AH30" s="16">
        <f t="shared" si="2"/>
        <v>0</v>
      </c>
      <c r="AI30" s="21">
        <f t="shared" si="1"/>
        <v>0</v>
      </c>
      <c r="AJ30" s="20">
        <f t="shared" si="3"/>
        <v>0</v>
      </c>
      <c r="AK30" s="9"/>
    </row>
    <row r="31" spans="1:37" hidden="1">
      <c r="A31" s="3">
        <v>29</v>
      </c>
      <c r="B31" s="12"/>
      <c r="C31" s="13"/>
      <c r="D31" s="13"/>
      <c r="E31" s="13"/>
      <c r="F31" s="13"/>
      <c r="G31" s="13">
        <f>SUM(G3:G30)</f>
        <v>0</v>
      </c>
      <c r="H31" s="15"/>
      <c r="I31" s="45" t="s">
        <v>696</v>
      </c>
      <c r="J31" s="45" t="s">
        <v>1388</v>
      </c>
      <c r="K31" s="46" t="s">
        <v>661</v>
      </c>
      <c r="L31" s="47" t="s">
        <v>987</v>
      </c>
      <c r="M31" s="66">
        <f>IFERROR(VLOOKUP($L31,[3]Consolidated!$C$9:$AC$452,27,0),0)</f>
        <v>22567000</v>
      </c>
      <c r="N31" s="66">
        <f>IFERROR(VLOOKUP($L31,[3]Consolidated!$C$9:$AC$452,5,0),0)</f>
        <v>105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4">
        <f>(VLOOKUP($O$2,Prices!$E$3:$K$17,2,FALSE)*O31)+(VLOOKUP($P$2,Prices!$J$3:$K$17,2,FALSE)*P31)+(VLOOKUP($Q$2,Prices!$J$3:$K$17,2,FALSE)*Q31)+(VLOOKUP($R$2,Prices!$J$3:$K$17,2,FALSE)*R31)+(VLOOKUP($S$2,Prices!$J$3:$K$17,2,FALSE)*S31)+(VLOOKUP($T$2,Prices!$J$3:$K$17,2,FALSE)*T31)+(VLOOKUP($U$2,Prices!$J$3:$K$17,2,FALSE)*U31)+(VLOOKUP($V$2,Prices!$J$3:$K$17,2,FALSE)*V31)+(VLOOKUP($W$2,Prices!$J$3:$K$17,2,FALSE)*W31)+(VLOOKUP($X$2,Prices!$J$3:$K$17,2,FALSE)*X31)+(VLOOKUP($Y$2,Prices!$J$3:$K$17,2,FALSE)*Y31)+(VLOOKUP($Z$2,Prices!$J$3:$K$17,2,FALSE)*Z31)+(VLOOKUP($AA$2,Prices!$J$3:$K$17,2,FALSE)*AA31)+(VLOOKUP($AB$2,Prices!$J$3:$K$17,2,FALSE)*AB31)+M31</f>
        <v>22567000</v>
      </c>
      <c r="AD31" s="18"/>
      <c r="AE31" s="18"/>
      <c r="AF31" s="4">
        <f t="shared" si="0"/>
        <v>0</v>
      </c>
      <c r="AG31" s="4"/>
      <c r="AH31" s="16">
        <f t="shared" si="2"/>
        <v>0</v>
      </c>
      <c r="AI31" s="21">
        <f t="shared" si="1"/>
        <v>0</v>
      </c>
      <c r="AJ31" s="20">
        <f t="shared" si="3"/>
        <v>0</v>
      </c>
      <c r="AK31" s="9"/>
    </row>
    <row r="32" spans="1:37" hidden="1">
      <c r="A32" s="3">
        <v>30</v>
      </c>
      <c r="B32" s="12"/>
      <c r="C32" s="13"/>
      <c r="D32" s="13"/>
      <c r="E32" s="13"/>
      <c r="F32" s="13"/>
      <c r="G32" s="13"/>
      <c r="H32" s="15"/>
      <c r="I32" s="45" t="s">
        <v>697</v>
      </c>
      <c r="J32" s="45" t="s">
        <v>1388</v>
      </c>
      <c r="K32" s="46" t="s">
        <v>661</v>
      </c>
      <c r="L32" s="47" t="s">
        <v>988</v>
      </c>
      <c r="M32" s="66">
        <f>IFERROR(VLOOKUP($L32,[3]Consolidated!$C$9:$AC$452,27,0),0)</f>
        <v>2091000</v>
      </c>
      <c r="N32" s="66">
        <f>IFERROR(VLOOKUP($L32,[3]Consolidated!$C$9:$AC$452,5,0),0)</f>
        <v>10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4">
        <f>(VLOOKUP($O$2,Prices!$E$3:$K$17,2,FALSE)*O32)+(VLOOKUP($P$2,Prices!$J$3:$K$17,2,FALSE)*P32)+(VLOOKUP($Q$2,Prices!$J$3:$K$17,2,FALSE)*Q32)+(VLOOKUP($R$2,Prices!$J$3:$K$17,2,FALSE)*R32)+(VLOOKUP($S$2,Prices!$J$3:$K$17,2,FALSE)*S32)+(VLOOKUP($T$2,Prices!$J$3:$K$17,2,FALSE)*T32)+(VLOOKUP($U$2,Prices!$J$3:$K$17,2,FALSE)*U32)+(VLOOKUP($V$2,Prices!$J$3:$K$17,2,FALSE)*V32)+(VLOOKUP($W$2,Prices!$J$3:$K$17,2,FALSE)*W32)+(VLOOKUP($X$2,Prices!$J$3:$K$17,2,FALSE)*X32)+(VLOOKUP($Y$2,Prices!$J$3:$K$17,2,FALSE)*Y32)+(VLOOKUP($Z$2,Prices!$J$3:$K$17,2,FALSE)*Z32)+(VLOOKUP($AA$2,Prices!$J$3:$K$17,2,FALSE)*AA32)+(VLOOKUP($AB$2,Prices!$J$3:$K$17,2,FALSE)*AB32)+M32</f>
        <v>2091000</v>
      </c>
      <c r="AD32" s="18"/>
      <c r="AE32" s="18"/>
      <c r="AF32" s="4">
        <f t="shared" si="0"/>
        <v>0</v>
      </c>
      <c r="AG32" s="4"/>
      <c r="AH32" s="16">
        <f t="shared" si="2"/>
        <v>0</v>
      </c>
      <c r="AI32" s="21">
        <f t="shared" si="1"/>
        <v>0</v>
      </c>
      <c r="AJ32" s="20">
        <f t="shared" si="3"/>
        <v>0</v>
      </c>
      <c r="AK32" s="9"/>
    </row>
    <row r="33" spans="1:37" hidden="1">
      <c r="A33" s="3">
        <v>31</v>
      </c>
      <c r="B33" s="12"/>
      <c r="C33" s="13"/>
      <c r="D33" s="13"/>
      <c r="E33" s="13"/>
      <c r="F33" s="13"/>
      <c r="G33" s="13"/>
      <c r="H33" s="15"/>
      <c r="I33" s="45" t="s">
        <v>698</v>
      </c>
      <c r="J33" s="45" t="s">
        <v>1388</v>
      </c>
      <c r="K33" s="46" t="s">
        <v>661</v>
      </c>
      <c r="L33" s="47" t="s">
        <v>989</v>
      </c>
      <c r="M33" s="66">
        <f>IFERROR(VLOOKUP($L33,[3]Consolidated!$C$9:$AC$452,27,0),0)</f>
        <v>6180750</v>
      </c>
      <c r="N33" s="66">
        <f>IFERROR(VLOOKUP($L33,[3]Consolidated!$C$9:$AC$452,5,0),0)</f>
        <v>35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4">
        <f>(VLOOKUP($O$2,Prices!$E$3:$K$17,2,FALSE)*O33)+(VLOOKUP($P$2,Prices!$J$3:$K$17,2,FALSE)*P33)+(VLOOKUP($Q$2,Prices!$J$3:$K$17,2,FALSE)*Q33)+(VLOOKUP($R$2,Prices!$J$3:$K$17,2,FALSE)*R33)+(VLOOKUP($S$2,Prices!$J$3:$K$17,2,FALSE)*S33)+(VLOOKUP($T$2,Prices!$J$3:$K$17,2,FALSE)*T33)+(VLOOKUP($U$2,Prices!$J$3:$K$17,2,FALSE)*U33)+(VLOOKUP($V$2,Prices!$J$3:$K$17,2,FALSE)*V33)+(VLOOKUP($W$2,Prices!$J$3:$K$17,2,FALSE)*W33)+(VLOOKUP($X$2,Prices!$J$3:$K$17,2,FALSE)*X33)+(VLOOKUP($Y$2,Prices!$J$3:$K$17,2,FALSE)*Y33)+(VLOOKUP($Z$2,Prices!$J$3:$K$17,2,FALSE)*Z33)+(VLOOKUP($AA$2,Prices!$J$3:$K$17,2,FALSE)*AA33)+(VLOOKUP($AB$2,Prices!$J$3:$K$17,2,FALSE)*AB33)+M33</f>
        <v>6180750</v>
      </c>
      <c r="AD33" s="18"/>
      <c r="AE33" s="18"/>
      <c r="AF33" s="4">
        <f t="shared" si="0"/>
        <v>0</v>
      </c>
      <c r="AG33" s="4"/>
      <c r="AH33" s="16">
        <f t="shared" si="2"/>
        <v>0</v>
      </c>
      <c r="AI33" s="21">
        <f t="shared" si="1"/>
        <v>0</v>
      </c>
      <c r="AJ33" s="20">
        <f t="shared" si="3"/>
        <v>0</v>
      </c>
      <c r="AK33" s="9"/>
    </row>
    <row r="34" spans="1:37" hidden="1">
      <c r="A34" s="3">
        <v>32</v>
      </c>
      <c r="B34" s="12"/>
      <c r="C34" s="13"/>
      <c r="D34" s="13"/>
      <c r="E34" s="13"/>
      <c r="F34" s="13"/>
      <c r="G34" s="13"/>
      <c r="H34" s="15"/>
      <c r="I34" s="45" t="s">
        <v>699</v>
      </c>
      <c r="J34" s="45" t="s">
        <v>1388</v>
      </c>
      <c r="K34" s="46" t="s">
        <v>661</v>
      </c>
      <c r="L34" s="47" t="s">
        <v>990</v>
      </c>
      <c r="M34" s="66">
        <f>IFERROR(VLOOKUP($L34,[3]Consolidated!$C$9:$AC$452,27,0),0)</f>
        <v>1678500</v>
      </c>
      <c r="N34" s="66">
        <f>IFERROR(VLOOKUP($L34,[3]Consolidated!$C$9:$AC$452,5,0),0)</f>
        <v>10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4">
        <f>(VLOOKUP($O$2,Prices!$E$3:$K$17,2,FALSE)*O34)+(VLOOKUP($P$2,Prices!$J$3:$K$17,2,FALSE)*P34)+(VLOOKUP($Q$2,Prices!$J$3:$K$17,2,FALSE)*Q34)+(VLOOKUP($R$2,Prices!$J$3:$K$17,2,FALSE)*R34)+(VLOOKUP($S$2,Prices!$J$3:$K$17,2,FALSE)*S34)+(VLOOKUP($T$2,Prices!$J$3:$K$17,2,FALSE)*T34)+(VLOOKUP($U$2,Prices!$J$3:$K$17,2,FALSE)*U34)+(VLOOKUP($V$2,Prices!$J$3:$K$17,2,FALSE)*V34)+(VLOOKUP($W$2,Prices!$J$3:$K$17,2,FALSE)*W34)+(VLOOKUP($X$2,Prices!$J$3:$K$17,2,FALSE)*X34)+(VLOOKUP($Y$2,Prices!$J$3:$K$17,2,FALSE)*Y34)+(VLOOKUP($Z$2,Prices!$J$3:$K$17,2,FALSE)*Z34)+(VLOOKUP($AA$2,Prices!$J$3:$K$17,2,FALSE)*AA34)+(VLOOKUP($AB$2,Prices!$J$3:$K$17,2,FALSE)*AB34)+M34</f>
        <v>1678500</v>
      </c>
      <c r="AD34" s="18"/>
      <c r="AE34" s="18"/>
      <c r="AF34" s="4">
        <f t="shared" si="0"/>
        <v>0</v>
      </c>
      <c r="AG34" s="4"/>
      <c r="AH34" s="16">
        <f t="shared" si="2"/>
        <v>0</v>
      </c>
      <c r="AI34" s="21">
        <f t="shared" si="1"/>
        <v>0</v>
      </c>
      <c r="AJ34" s="20">
        <f t="shared" si="3"/>
        <v>0</v>
      </c>
      <c r="AK34" s="9"/>
    </row>
    <row r="35" spans="1:37" hidden="1">
      <c r="A35" s="3">
        <v>33</v>
      </c>
      <c r="B35" s="12"/>
      <c r="C35" s="13"/>
      <c r="D35" s="13"/>
      <c r="E35" s="13"/>
      <c r="F35" s="13"/>
      <c r="G35" s="13"/>
      <c r="H35" s="15"/>
      <c r="I35" s="45" t="s">
        <v>700</v>
      </c>
      <c r="J35" s="45" t="s">
        <v>1388</v>
      </c>
      <c r="K35" s="46" t="s">
        <v>661</v>
      </c>
      <c r="L35" s="47" t="s">
        <v>991</v>
      </c>
      <c r="M35" s="66">
        <f>IFERROR(VLOOKUP($L35,[3]Consolidated!$C$9:$AC$452,27,0),0)</f>
        <v>7878000</v>
      </c>
      <c r="N35" s="66">
        <f>IFERROR(VLOOKUP($L35,[3]Consolidated!$C$9:$AC$452,5,0),0)</f>
        <v>40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4">
        <f>(VLOOKUP($O$2,Prices!$E$3:$K$17,2,FALSE)*O35)+(VLOOKUP($P$2,Prices!$J$3:$K$17,2,FALSE)*P35)+(VLOOKUP($Q$2,Prices!$J$3:$K$17,2,FALSE)*Q35)+(VLOOKUP($R$2,Prices!$J$3:$K$17,2,FALSE)*R35)+(VLOOKUP($S$2,Prices!$J$3:$K$17,2,FALSE)*S35)+(VLOOKUP($T$2,Prices!$J$3:$K$17,2,FALSE)*T35)+(VLOOKUP($U$2,Prices!$J$3:$K$17,2,FALSE)*U35)+(VLOOKUP($V$2,Prices!$J$3:$K$17,2,FALSE)*V35)+(VLOOKUP($W$2,Prices!$J$3:$K$17,2,FALSE)*W35)+(VLOOKUP($X$2,Prices!$J$3:$K$17,2,FALSE)*X35)+(VLOOKUP($Y$2,Prices!$J$3:$K$17,2,FALSE)*Y35)+(VLOOKUP($Z$2,Prices!$J$3:$K$17,2,FALSE)*Z35)+(VLOOKUP($AA$2,Prices!$J$3:$K$17,2,FALSE)*AA35)+(VLOOKUP($AB$2,Prices!$J$3:$K$17,2,FALSE)*AB35)+M35</f>
        <v>7878000</v>
      </c>
      <c r="AD35" s="18"/>
      <c r="AE35" s="18"/>
      <c r="AF35" s="4">
        <f t="shared" si="0"/>
        <v>0</v>
      </c>
      <c r="AG35" s="4"/>
      <c r="AH35" s="16">
        <f t="shared" si="2"/>
        <v>0</v>
      </c>
      <c r="AI35" s="21">
        <f t="shared" si="1"/>
        <v>0</v>
      </c>
      <c r="AJ35" s="20">
        <f t="shared" si="3"/>
        <v>0</v>
      </c>
      <c r="AK35" s="9"/>
    </row>
    <row r="36" spans="1:37" hidden="1">
      <c r="A36" s="3">
        <v>34</v>
      </c>
      <c r="B36" s="12"/>
      <c r="C36" s="13"/>
      <c r="D36" s="13"/>
      <c r="E36" s="13"/>
      <c r="F36" s="13"/>
      <c r="G36" s="13"/>
      <c r="H36" s="15"/>
      <c r="I36" s="45" t="s">
        <v>701</v>
      </c>
      <c r="J36" s="45" t="s">
        <v>1388</v>
      </c>
      <c r="K36" s="46" t="s">
        <v>661</v>
      </c>
      <c r="L36" s="47" t="s">
        <v>992</v>
      </c>
      <c r="M36" s="66">
        <f>IFERROR(VLOOKUP($L36,[3]Consolidated!$C$9:$AC$452,27,0),0)</f>
        <v>7508500</v>
      </c>
      <c r="N36" s="66">
        <f>IFERROR(VLOOKUP($L36,[3]Consolidated!$C$9:$AC$452,5,0),0)</f>
        <v>35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4">
        <f>(VLOOKUP($O$2,Prices!$E$3:$K$17,2,FALSE)*O36)+(VLOOKUP($P$2,Prices!$J$3:$K$17,2,FALSE)*P36)+(VLOOKUP($Q$2,Prices!$J$3:$K$17,2,FALSE)*Q36)+(VLOOKUP($R$2,Prices!$J$3:$K$17,2,FALSE)*R36)+(VLOOKUP($S$2,Prices!$J$3:$K$17,2,FALSE)*S36)+(VLOOKUP($T$2,Prices!$J$3:$K$17,2,FALSE)*T36)+(VLOOKUP($U$2,Prices!$J$3:$K$17,2,FALSE)*U36)+(VLOOKUP($V$2,Prices!$J$3:$K$17,2,FALSE)*V36)+(VLOOKUP($W$2,Prices!$J$3:$K$17,2,FALSE)*W36)+(VLOOKUP($X$2,Prices!$J$3:$K$17,2,FALSE)*X36)+(VLOOKUP($Y$2,Prices!$J$3:$K$17,2,FALSE)*Y36)+(VLOOKUP($Z$2,Prices!$J$3:$K$17,2,FALSE)*Z36)+(VLOOKUP($AA$2,Prices!$J$3:$K$17,2,FALSE)*AA36)+(VLOOKUP($AB$2,Prices!$J$3:$K$17,2,FALSE)*AB36)+M36</f>
        <v>7508500</v>
      </c>
      <c r="AD36" s="18"/>
      <c r="AE36" s="18"/>
      <c r="AF36" s="4">
        <f t="shared" si="0"/>
        <v>0</v>
      </c>
      <c r="AG36" s="4"/>
      <c r="AH36" s="16">
        <f t="shared" si="2"/>
        <v>0</v>
      </c>
      <c r="AI36" s="21">
        <f t="shared" si="1"/>
        <v>0</v>
      </c>
      <c r="AJ36" s="20">
        <f t="shared" si="3"/>
        <v>0</v>
      </c>
      <c r="AK36" s="9"/>
    </row>
    <row r="37" spans="1:37" hidden="1">
      <c r="A37" s="3">
        <v>35</v>
      </c>
      <c r="B37" s="12"/>
      <c r="C37" s="13"/>
      <c r="D37" s="13"/>
      <c r="E37" s="13"/>
      <c r="F37" s="13"/>
      <c r="G37" s="13"/>
      <c r="H37" s="15"/>
      <c r="I37" s="45" t="s">
        <v>702</v>
      </c>
      <c r="J37" s="45" t="s">
        <v>1388</v>
      </c>
      <c r="K37" s="46" t="s">
        <v>661</v>
      </c>
      <c r="L37" s="47" t="s">
        <v>993</v>
      </c>
      <c r="M37" s="66">
        <f>IFERROR(VLOOKUP($L37,[3]Consolidated!$C$9:$AC$452,27,0),0)</f>
        <v>2060000</v>
      </c>
      <c r="N37" s="66">
        <f>IFERROR(VLOOKUP($L37,[3]Consolidated!$C$9:$AC$452,5,0),0)</f>
        <v>10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4">
        <f>(VLOOKUP($O$2,Prices!$E$3:$K$17,2,FALSE)*O37)+(VLOOKUP($P$2,Prices!$J$3:$K$17,2,FALSE)*P37)+(VLOOKUP($Q$2,Prices!$J$3:$K$17,2,FALSE)*Q37)+(VLOOKUP($R$2,Prices!$J$3:$K$17,2,FALSE)*R37)+(VLOOKUP($S$2,Prices!$J$3:$K$17,2,FALSE)*S37)+(VLOOKUP($T$2,Prices!$J$3:$K$17,2,FALSE)*T37)+(VLOOKUP($U$2,Prices!$J$3:$K$17,2,FALSE)*U37)+(VLOOKUP($V$2,Prices!$J$3:$K$17,2,FALSE)*V37)+(VLOOKUP($W$2,Prices!$J$3:$K$17,2,FALSE)*W37)+(VLOOKUP($X$2,Prices!$J$3:$K$17,2,FALSE)*X37)+(VLOOKUP($Y$2,Prices!$J$3:$K$17,2,FALSE)*Y37)+(VLOOKUP($Z$2,Prices!$J$3:$K$17,2,FALSE)*Z37)+(VLOOKUP($AA$2,Prices!$J$3:$K$17,2,FALSE)*AA37)+(VLOOKUP($AB$2,Prices!$J$3:$K$17,2,FALSE)*AB37)+M37</f>
        <v>2060000</v>
      </c>
      <c r="AD37" s="18"/>
      <c r="AE37" s="18"/>
      <c r="AF37" s="4">
        <f t="shared" si="0"/>
        <v>0</v>
      </c>
      <c r="AG37" s="4"/>
      <c r="AH37" s="16">
        <f t="shared" si="2"/>
        <v>0</v>
      </c>
      <c r="AI37" s="21">
        <f t="shared" si="1"/>
        <v>0</v>
      </c>
      <c r="AJ37" s="20">
        <f t="shared" si="3"/>
        <v>0</v>
      </c>
      <c r="AK37" s="9"/>
    </row>
    <row r="38" spans="1:37" hidden="1">
      <c r="A38" s="3">
        <v>36</v>
      </c>
      <c r="B38" s="12"/>
      <c r="C38" s="13"/>
      <c r="D38" s="13"/>
      <c r="E38" s="13"/>
      <c r="F38" s="13"/>
      <c r="G38" s="13"/>
      <c r="H38" s="15"/>
      <c r="I38" s="45" t="s">
        <v>1501</v>
      </c>
      <c r="J38" s="45" t="s">
        <v>1388</v>
      </c>
      <c r="K38" s="46" t="s">
        <v>661</v>
      </c>
      <c r="L38" s="46" t="s">
        <v>1500</v>
      </c>
      <c r="M38" s="66">
        <f>IFERROR(VLOOKUP($L38,[3]Consolidated!$C$9:$AC$452,27,0),0)</f>
        <v>9059500</v>
      </c>
      <c r="N38" s="66">
        <f>IFERROR(VLOOKUP($L38,[3]Consolidated!$C$9:$AC$452,5,0),0)</f>
        <v>35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4">
        <f>(VLOOKUP($O$2,Prices!$E$3:$K$17,2,FALSE)*O38)+(VLOOKUP($P$2,Prices!$J$3:$K$17,2,FALSE)*P38)+(VLOOKUP($Q$2,Prices!$J$3:$K$17,2,FALSE)*Q38)+(VLOOKUP($R$2,Prices!$J$3:$K$17,2,FALSE)*R38)+(VLOOKUP($S$2,Prices!$J$3:$K$17,2,FALSE)*S38)+(VLOOKUP($T$2,Prices!$J$3:$K$17,2,FALSE)*T38)+(VLOOKUP($U$2,Prices!$J$3:$K$17,2,FALSE)*U38)+(VLOOKUP($V$2,Prices!$J$3:$K$17,2,FALSE)*V38)+(VLOOKUP($W$2,Prices!$J$3:$K$17,2,FALSE)*W38)+(VLOOKUP($X$2,Prices!$J$3:$K$17,2,FALSE)*X38)+(VLOOKUP($Y$2,Prices!$J$3:$K$17,2,FALSE)*Y38)+(VLOOKUP($Z$2,Prices!$J$3:$K$17,2,FALSE)*Z38)+(VLOOKUP($AA$2,Prices!$J$3:$K$17,2,FALSE)*AA38)+(VLOOKUP($AB$2,Prices!$J$3:$K$17,2,FALSE)*AB38)+M38</f>
        <v>9059500</v>
      </c>
      <c r="AD38" s="18"/>
      <c r="AE38" s="18"/>
      <c r="AF38" s="4">
        <f t="shared" si="0"/>
        <v>0</v>
      </c>
      <c r="AG38" s="4"/>
      <c r="AH38" s="16">
        <f t="shared" si="2"/>
        <v>0</v>
      </c>
      <c r="AI38" s="21">
        <f t="shared" si="1"/>
        <v>0</v>
      </c>
      <c r="AJ38" s="20">
        <f t="shared" si="3"/>
        <v>0</v>
      </c>
      <c r="AK38" s="19"/>
    </row>
    <row r="39" spans="1:37" hidden="1">
      <c r="A39" s="3">
        <v>37</v>
      </c>
      <c r="B39" s="12"/>
      <c r="C39" s="13"/>
      <c r="D39" s="13"/>
      <c r="E39" s="13"/>
      <c r="F39" s="13"/>
      <c r="G39" s="13"/>
      <c r="H39" s="15"/>
      <c r="I39" s="45" t="s">
        <v>703</v>
      </c>
      <c r="J39" s="45" t="s">
        <v>1388</v>
      </c>
      <c r="K39" s="46" t="s">
        <v>661</v>
      </c>
      <c r="L39" s="47" t="s">
        <v>994</v>
      </c>
      <c r="M39" s="66">
        <f>IFERROR(VLOOKUP($L39,[3]Consolidated!$C$9:$AC$452,27,0),0)</f>
        <v>8251000</v>
      </c>
      <c r="N39" s="66">
        <f>IFERROR(VLOOKUP($L39,[3]Consolidated!$C$9:$AC$452,5,0),0)</f>
        <v>40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4">
        <f>(VLOOKUP($O$2,Prices!$E$3:$K$17,2,FALSE)*O39)+(VLOOKUP($P$2,Prices!$J$3:$K$17,2,FALSE)*P39)+(VLOOKUP($Q$2,Prices!$J$3:$K$17,2,FALSE)*Q39)+(VLOOKUP($R$2,Prices!$J$3:$K$17,2,FALSE)*R39)+(VLOOKUP($S$2,Prices!$J$3:$K$17,2,FALSE)*S39)+(VLOOKUP($T$2,Prices!$J$3:$K$17,2,FALSE)*T39)+(VLOOKUP($U$2,Prices!$J$3:$K$17,2,FALSE)*U39)+(VLOOKUP($V$2,Prices!$J$3:$K$17,2,FALSE)*V39)+(VLOOKUP($W$2,Prices!$J$3:$K$17,2,FALSE)*W39)+(VLOOKUP($X$2,Prices!$J$3:$K$17,2,FALSE)*X39)+(VLOOKUP($Y$2,Prices!$J$3:$K$17,2,FALSE)*Y39)+(VLOOKUP($Z$2,Prices!$J$3:$K$17,2,FALSE)*Z39)+(VLOOKUP($AA$2,Prices!$J$3:$K$17,2,FALSE)*AA39)+(VLOOKUP($AB$2,Prices!$J$3:$K$17,2,FALSE)*AB39)+M39</f>
        <v>8251000</v>
      </c>
      <c r="AD39" s="18"/>
      <c r="AE39" s="18"/>
      <c r="AF39" s="4">
        <f t="shared" si="0"/>
        <v>0</v>
      </c>
      <c r="AG39" s="4"/>
      <c r="AH39" s="16">
        <f t="shared" si="2"/>
        <v>0</v>
      </c>
      <c r="AI39" s="21">
        <f t="shared" si="1"/>
        <v>0</v>
      </c>
      <c r="AJ39" s="20">
        <f t="shared" si="3"/>
        <v>0</v>
      </c>
      <c r="AK39" s="9"/>
    </row>
    <row r="40" spans="1:37" hidden="1">
      <c r="A40" s="3">
        <v>38</v>
      </c>
      <c r="B40" s="12"/>
      <c r="C40" s="13"/>
      <c r="D40" s="13"/>
      <c r="E40" s="13"/>
      <c r="F40" s="13"/>
      <c r="G40" s="13"/>
      <c r="H40" s="15"/>
      <c r="I40" s="45" t="s">
        <v>704</v>
      </c>
      <c r="J40" s="45" t="s">
        <v>1388</v>
      </c>
      <c r="K40" s="46" t="s">
        <v>661</v>
      </c>
      <c r="L40" s="47" t="s">
        <v>995</v>
      </c>
      <c r="M40" s="66">
        <f>IFERROR(VLOOKUP($L40,[3]Consolidated!$C$9:$AC$452,27,0),0)</f>
        <v>15659000</v>
      </c>
      <c r="N40" s="66">
        <f>IFERROR(VLOOKUP($L40,[3]Consolidated!$C$9:$AC$452,5,0),0)</f>
        <v>60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4">
        <f>(VLOOKUP($O$2,Prices!$E$3:$K$17,2,FALSE)*O40)+(VLOOKUP($P$2,Prices!$J$3:$K$17,2,FALSE)*P40)+(VLOOKUP($Q$2,Prices!$J$3:$K$17,2,FALSE)*Q40)+(VLOOKUP($R$2,Prices!$J$3:$K$17,2,FALSE)*R40)+(VLOOKUP($S$2,Prices!$J$3:$K$17,2,FALSE)*S40)+(VLOOKUP($T$2,Prices!$J$3:$K$17,2,FALSE)*T40)+(VLOOKUP($U$2,Prices!$J$3:$K$17,2,FALSE)*U40)+(VLOOKUP($V$2,Prices!$J$3:$K$17,2,FALSE)*V40)+(VLOOKUP($W$2,Prices!$J$3:$K$17,2,FALSE)*W40)+(VLOOKUP($X$2,Prices!$J$3:$K$17,2,FALSE)*X40)+(VLOOKUP($Y$2,Prices!$J$3:$K$17,2,FALSE)*Y40)+(VLOOKUP($Z$2,Prices!$J$3:$K$17,2,FALSE)*Z40)+(VLOOKUP($AA$2,Prices!$J$3:$K$17,2,FALSE)*AA40)+(VLOOKUP($AB$2,Prices!$J$3:$K$17,2,FALSE)*AB40)+M40</f>
        <v>15659000</v>
      </c>
      <c r="AD40" s="18"/>
      <c r="AE40" s="18"/>
      <c r="AF40" s="4">
        <f t="shared" si="0"/>
        <v>0</v>
      </c>
      <c r="AG40" s="4"/>
      <c r="AH40" s="16">
        <f t="shared" si="2"/>
        <v>0</v>
      </c>
      <c r="AI40" s="21">
        <f t="shared" si="1"/>
        <v>0</v>
      </c>
      <c r="AJ40" s="20">
        <f t="shared" si="3"/>
        <v>0</v>
      </c>
      <c r="AK40" s="9"/>
    </row>
    <row r="41" spans="1:37" hidden="1">
      <c r="A41" s="3">
        <v>39</v>
      </c>
      <c r="B41" s="12"/>
      <c r="C41" s="13"/>
      <c r="D41" s="13"/>
      <c r="E41" s="13"/>
      <c r="F41" s="13"/>
      <c r="G41" s="13"/>
      <c r="H41" s="15"/>
      <c r="I41" s="45" t="s">
        <v>705</v>
      </c>
      <c r="J41" s="45" t="s">
        <v>1388</v>
      </c>
      <c r="K41" s="46" t="s">
        <v>661</v>
      </c>
      <c r="L41" s="47" t="s">
        <v>996</v>
      </c>
      <c r="M41" s="66">
        <f>IFERROR(VLOOKUP($L41,[3]Consolidated!$C$9:$AC$452,27,0),0)</f>
        <v>2615000</v>
      </c>
      <c r="N41" s="66">
        <f>IFERROR(VLOOKUP($L41,[3]Consolidated!$C$9:$AC$452,5,0),0)</f>
        <v>10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4">
        <f>(VLOOKUP($O$2,Prices!$E$3:$K$17,2,FALSE)*O41)+(VLOOKUP($P$2,Prices!$J$3:$K$17,2,FALSE)*P41)+(VLOOKUP($Q$2,Prices!$J$3:$K$17,2,FALSE)*Q41)+(VLOOKUP($R$2,Prices!$J$3:$K$17,2,FALSE)*R41)+(VLOOKUP($S$2,Prices!$J$3:$K$17,2,FALSE)*S41)+(VLOOKUP($T$2,Prices!$J$3:$K$17,2,FALSE)*T41)+(VLOOKUP($U$2,Prices!$J$3:$K$17,2,FALSE)*U41)+(VLOOKUP($V$2,Prices!$J$3:$K$17,2,FALSE)*V41)+(VLOOKUP($W$2,Prices!$J$3:$K$17,2,FALSE)*W41)+(VLOOKUP($X$2,Prices!$J$3:$K$17,2,FALSE)*X41)+(VLOOKUP($Y$2,Prices!$J$3:$K$17,2,FALSE)*Y41)+(VLOOKUP($Z$2,Prices!$J$3:$K$17,2,FALSE)*Z41)+(VLOOKUP($AA$2,Prices!$J$3:$K$17,2,FALSE)*AA41)+(VLOOKUP($AB$2,Prices!$J$3:$K$17,2,FALSE)*AB41)+M41</f>
        <v>2615000</v>
      </c>
      <c r="AD41" s="18"/>
      <c r="AE41" s="18"/>
      <c r="AF41" s="4">
        <f t="shared" si="0"/>
        <v>0</v>
      </c>
      <c r="AG41" s="4"/>
      <c r="AH41" s="16">
        <f t="shared" si="2"/>
        <v>0</v>
      </c>
      <c r="AI41" s="21">
        <f t="shared" si="1"/>
        <v>0</v>
      </c>
      <c r="AJ41" s="20">
        <f t="shared" si="3"/>
        <v>0</v>
      </c>
      <c r="AK41" s="9"/>
    </row>
    <row r="42" spans="1:37" hidden="1">
      <c r="A42" s="3">
        <v>40</v>
      </c>
      <c r="B42" s="12"/>
      <c r="C42" s="13"/>
      <c r="D42" s="13"/>
      <c r="E42" s="13"/>
      <c r="F42" s="13"/>
      <c r="G42" s="13"/>
      <c r="H42" s="15"/>
      <c r="I42" s="45" t="s">
        <v>1361</v>
      </c>
      <c r="J42" s="45" t="s">
        <v>1388</v>
      </c>
      <c r="K42" s="46" t="s">
        <v>661</v>
      </c>
      <c r="L42" s="47" t="s">
        <v>1368</v>
      </c>
      <c r="M42" s="66">
        <f>IFERROR(VLOOKUP($L42,[3]Consolidated!$C$9:$AC$452,27,0),0)</f>
        <v>1838500</v>
      </c>
      <c r="N42" s="66">
        <f>IFERROR(VLOOKUP($L42,[3]Consolidated!$C$9:$AC$452,5,0),0)</f>
        <v>10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4">
        <f>(VLOOKUP($O$2,Prices!$E$3:$K$17,2,FALSE)*O42)+(VLOOKUP($P$2,Prices!$J$3:$K$17,2,FALSE)*P42)+(VLOOKUP($Q$2,Prices!$J$3:$K$17,2,FALSE)*Q42)+(VLOOKUP($R$2,Prices!$J$3:$K$17,2,FALSE)*R42)+(VLOOKUP($S$2,Prices!$J$3:$K$17,2,FALSE)*S42)+(VLOOKUP($T$2,Prices!$J$3:$K$17,2,FALSE)*T42)+(VLOOKUP($U$2,Prices!$J$3:$K$17,2,FALSE)*U42)+(VLOOKUP($V$2,Prices!$J$3:$K$17,2,FALSE)*V42)+(VLOOKUP($W$2,Prices!$J$3:$K$17,2,FALSE)*W42)+(VLOOKUP($X$2,Prices!$J$3:$K$17,2,FALSE)*X42)+(VLOOKUP($Y$2,Prices!$J$3:$K$17,2,FALSE)*Y42)+(VLOOKUP($Z$2,Prices!$J$3:$K$17,2,FALSE)*Z42)+(VLOOKUP($AA$2,Prices!$J$3:$K$17,2,FALSE)*AA42)+(VLOOKUP($AB$2,Prices!$J$3:$K$17,2,FALSE)*AB42)+M42</f>
        <v>1838500</v>
      </c>
      <c r="AD42" s="18"/>
      <c r="AE42" s="18"/>
      <c r="AF42" s="4">
        <f t="shared" si="0"/>
        <v>0</v>
      </c>
      <c r="AG42" s="4"/>
      <c r="AH42" s="16">
        <f t="shared" si="2"/>
        <v>0</v>
      </c>
      <c r="AI42" s="21">
        <f t="shared" si="1"/>
        <v>0</v>
      </c>
      <c r="AJ42" s="20">
        <f t="shared" si="3"/>
        <v>0</v>
      </c>
      <c r="AK42" s="9"/>
    </row>
    <row r="43" spans="1:37" hidden="1">
      <c r="A43" s="3">
        <v>41</v>
      </c>
      <c r="B43" s="12"/>
      <c r="C43" s="13"/>
      <c r="D43" s="13"/>
      <c r="E43" s="13"/>
      <c r="F43" s="13"/>
      <c r="G43" s="13"/>
      <c r="H43" s="15"/>
      <c r="I43" s="45" t="s">
        <v>1347</v>
      </c>
      <c r="J43" s="45" t="s">
        <v>1388</v>
      </c>
      <c r="K43" s="46" t="s">
        <v>661</v>
      </c>
      <c r="L43" s="47" t="s">
        <v>1343</v>
      </c>
      <c r="M43" s="66">
        <f>IFERROR(VLOOKUP($L43,[3]Consolidated!$C$9:$AC$452,27,0),0)</f>
        <v>2314000</v>
      </c>
      <c r="N43" s="66">
        <f>IFERROR(VLOOKUP($L43,[3]Consolidated!$C$9:$AC$452,5,0),0)</f>
        <v>10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4">
        <f>(VLOOKUP($O$2,Prices!$E$3:$K$17,2,FALSE)*O43)+(VLOOKUP($P$2,Prices!$J$3:$K$17,2,FALSE)*P43)+(VLOOKUP($Q$2,Prices!$J$3:$K$17,2,FALSE)*Q43)+(VLOOKUP($R$2,Prices!$J$3:$K$17,2,FALSE)*R43)+(VLOOKUP($S$2,Prices!$J$3:$K$17,2,FALSE)*S43)+(VLOOKUP($T$2,Prices!$J$3:$K$17,2,FALSE)*T43)+(VLOOKUP($U$2,Prices!$J$3:$K$17,2,FALSE)*U43)+(VLOOKUP($V$2,Prices!$J$3:$K$17,2,FALSE)*V43)+(VLOOKUP($W$2,Prices!$J$3:$K$17,2,FALSE)*W43)+(VLOOKUP($X$2,Prices!$J$3:$K$17,2,FALSE)*X43)+(VLOOKUP($Y$2,Prices!$J$3:$K$17,2,FALSE)*Y43)+(VLOOKUP($Z$2,Prices!$J$3:$K$17,2,FALSE)*Z43)+(VLOOKUP($AA$2,Prices!$J$3:$K$17,2,FALSE)*AA43)+(VLOOKUP($AB$2,Prices!$J$3:$K$17,2,FALSE)*AB43)+M43</f>
        <v>2314000</v>
      </c>
      <c r="AD43" s="18"/>
      <c r="AE43" s="18"/>
      <c r="AF43" s="4">
        <f t="shared" si="0"/>
        <v>0</v>
      </c>
      <c r="AG43" s="4"/>
      <c r="AH43" s="16">
        <f t="shared" si="2"/>
        <v>0</v>
      </c>
      <c r="AI43" s="21">
        <f t="shared" si="1"/>
        <v>0</v>
      </c>
      <c r="AJ43" s="20">
        <f t="shared" si="3"/>
        <v>0</v>
      </c>
      <c r="AK43" s="9"/>
    </row>
    <row r="44" spans="1:37" hidden="1">
      <c r="A44" s="3">
        <v>42</v>
      </c>
      <c r="B44" s="12"/>
      <c r="C44" s="13"/>
      <c r="D44" s="13"/>
      <c r="E44" s="13"/>
      <c r="F44" s="13"/>
      <c r="G44" s="13"/>
      <c r="H44" s="15"/>
      <c r="I44" s="45" t="s">
        <v>706</v>
      </c>
      <c r="J44" s="45" t="s">
        <v>1388</v>
      </c>
      <c r="K44" s="46" t="s">
        <v>662</v>
      </c>
      <c r="L44" s="47" t="s">
        <v>997</v>
      </c>
      <c r="M44" s="66">
        <f>IFERROR(VLOOKUP($L44,[3]Consolidated!$C$9:$AC$452,27,0),0)</f>
        <v>7499000</v>
      </c>
      <c r="N44" s="66">
        <f>IFERROR(VLOOKUP($L44,[3]Consolidated!$C$9:$AC$452,5,0),0)</f>
        <v>35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4">
        <f>(VLOOKUP($O$2,Prices!$E$3:$K$17,2,FALSE)*O44)+(VLOOKUP($P$2,Prices!$J$3:$K$17,2,FALSE)*P44)+(VLOOKUP($Q$2,Prices!$J$3:$K$17,2,FALSE)*Q44)+(VLOOKUP($R$2,Prices!$J$3:$K$17,2,FALSE)*R44)+(VLOOKUP($S$2,Prices!$J$3:$K$17,2,FALSE)*S44)+(VLOOKUP($T$2,Prices!$J$3:$K$17,2,FALSE)*T44)+(VLOOKUP($U$2,Prices!$J$3:$K$17,2,FALSE)*U44)+(VLOOKUP($V$2,Prices!$J$3:$K$17,2,FALSE)*V44)+(VLOOKUP($W$2,Prices!$J$3:$K$17,2,FALSE)*W44)+(VLOOKUP($X$2,Prices!$J$3:$K$17,2,FALSE)*X44)+(VLOOKUP($Y$2,Prices!$J$3:$K$17,2,FALSE)*Y44)+(VLOOKUP($Z$2,Prices!$J$3:$K$17,2,FALSE)*Z44)+(VLOOKUP($AA$2,Prices!$J$3:$K$17,2,FALSE)*AA44)+(VLOOKUP($AB$2,Prices!$J$3:$K$17,2,FALSE)*AB44)+M44</f>
        <v>7499000</v>
      </c>
      <c r="AD44" s="18"/>
      <c r="AE44" s="18"/>
      <c r="AF44" s="4">
        <f t="shared" si="0"/>
        <v>0</v>
      </c>
      <c r="AG44" s="4"/>
      <c r="AH44" s="16">
        <f t="shared" si="2"/>
        <v>0</v>
      </c>
      <c r="AI44" s="21">
        <f t="shared" si="1"/>
        <v>0</v>
      </c>
      <c r="AJ44" s="20">
        <f t="shared" si="3"/>
        <v>0</v>
      </c>
      <c r="AK44" s="9"/>
    </row>
    <row r="45" spans="1:37" hidden="1">
      <c r="A45" s="3">
        <v>43</v>
      </c>
      <c r="B45" s="12"/>
      <c r="C45" s="13"/>
      <c r="D45" s="13"/>
      <c r="E45" s="13"/>
      <c r="F45" s="13"/>
      <c r="G45" s="13"/>
      <c r="H45" s="15"/>
      <c r="I45" s="45" t="s">
        <v>707</v>
      </c>
      <c r="J45" s="45" t="s">
        <v>1388</v>
      </c>
      <c r="K45" s="46" t="s">
        <v>662</v>
      </c>
      <c r="L45" s="47" t="s">
        <v>998</v>
      </c>
      <c r="M45" s="66">
        <f>IFERROR(VLOOKUP($L45,[3]Consolidated!$C$9:$AC$452,27,0),0)</f>
        <v>0</v>
      </c>
      <c r="N45" s="66">
        <f>IFERROR(VLOOKUP($L45,[3]Consolidated!$C$9:$AC$452,5,0),0)</f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4">
        <f>(VLOOKUP($O$2,Prices!$E$3:$K$17,2,FALSE)*O45)+(VLOOKUP($P$2,Prices!$J$3:$K$17,2,FALSE)*P45)+(VLOOKUP($Q$2,Prices!$J$3:$K$17,2,FALSE)*Q45)+(VLOOKUP($R$2,Prices!$J$3:$K$17,2,FALSE)*R45)+(VLOOKUP($S$2,Prices!$J$3:$K$17,2,FALSE)*S45)+(VLOOKUP($T$2,Prices!$J$3:$K$17,2,FALSE)*T45)+(VLOOKUP($U$2,Prices!$J$3:$K$17,2,FALSE)*U45)+(VLOOKUP($V$2,Prices!$J$3:$K$17,2,FALSE)*V45)+(VLOOKUP($W$2,Prices!$J$3:$K$17,2,FALSE)*W45)+(VLOOKUP($X$2,Prices!$J$3:$K$17,2,FALSE)*X45)+(VLOOKUP($Y$2,Prices!$J$3:$K$17,2,FALSE)*Y45)+(VLOOKUP($Z$2,Prices!$J$3:$K$17,2,FALSE)*Z45)+(VLOOKUP($AA$2,Prices!$J$3:$K$17,2,FALSE)*AA45)+(VLOOKUP($AB$2,Prices!$J$3:$K$17,2,FALSE)*AB45)+M45</f>
        <v>0</v>
      </c>
      <c r="AD45" s="18"/>
      <c r="AE45" s="18"/>
      <c r="AF45" s="4">
        <f t="shared" si="0"/>
        <v>0</v>
      </c>
      <c r="AG45" s="4"/>
      <c r="AH45" s="16">
        <f t="shared" si="2"/>
        <v>0</v>
      </c>
      <c r="AI45" s="21" t="e">
        <f t="shared" si="1"/>
        <v>#DIV/0!</v>
      </c>
      <c r="AJ45" s="20" t="e">
        <f t="shared" si="3"/>
        <v>#DIV/0!</v>
      </c>
      <c r="AK45" s="9"/>
    </row>
    <row r="46" spans="1:37" hidden="1">
      <c r="A46" s="3">
        <v>44</v>
      </c>
      <c r="B46" s="12"/>
      <c r="C46" s="13"/>
      <c r="D46" s="13"/>
      <c r="E46" s="13"/>
      <c r="F46" s="13"/>
      <c r="G46" s="13"/>
      <c r="H46" s="15"/>
      <c r="I46" s="45" t="s">
        <v>709</v>
      </c>
      <c r="J46" s="45" t="s">
        <v>1388</v>
      </c>
      <c r="K46" s="46" t="s">
        <v>662</v>
      </c>
      <c r="L46" s="47" t="s">
        <v>1000</v>
      </c>
      <c r="M46" s="66">
        <f>IFERROR(VLOOKUP($L46,[3]Consolidated!$C$9:$AC$452,27,0),0)</f>
        <v>7391400</v>
      </c>
      <c r="N46" s="66">
        <f>IFERROR(VLOOKUP($L46,[3]Consolidated!$C$9:$AC$452,5,0),0)</f>
        <v>35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4">
        <f>(VLOOKUP($O$2,Prices!$E$3:$K$17,2,FALSE)*O46)+(VLOOKUP($P$2,Prices!$J$3:$K$17,2,FALSE)*P46)+(VLOOKUP($Q$2,Prices!$J$3:$K$17,2,FALSE)*Q46)+(VLOOKUP($R$2,Prices!$J$3:$K$17,2,FALSE)*R46)+(VLOOKUP($S$2,Prices!$J$3:$K$17,2,FALSE)*S46)+(VLOOKUP($T$2,Prices!$J$3:$K$17,2,FALSE)*T46)+(VLOOKUP($U$2,Prices!$J$3:$K$17,2,FALSE)*U46)+(VLOOKUP($V$2,Prices!$J$3:$K$17,2,FALSE)*V46)+(VLOOKUP($W$2,Prices!$J$3:$K$17,2,FALSE)*W46)+(VLOOKUP($X$2,Prices!$J$3:$K$17,2,FALSE)*X46)+(VLOOKUP($Y$2,Prices!$J$3:$K$17,2,FALSE)*Y46)+(VLOOKUP($Z$2,Prices!$J$3:$K$17,2,FALSE)*Z46)+(VLOOKUP($AA$2,Prices!$J$3:$K$17,2,FALSE)*AA46)+(VLOOKUP($AB$2,Prices!$J$3:$K$17,2,FALSE)*AB46)+M46</f>
        <v>7391400</v>
      </c>
      <c r="AD46" s="18"/>
      <c r="AE46" s="18"/>
      <c r="AF46" s="4">
        <f t="shared" si="0"/>
        <v>0</v>
      </c>
      <c r="AG46" s="4"/>
      <c r="AH46" s="16">
        <f t="shared" si="2"/>
        <v>0</v>
      </c>
      <c r="AI46" s="21">
        <f t="shared" si="1"/>
        <v>0</v>
      </c>
      <c r="AJ46" s="20">
        <f t="shared" si="3"/>
        <v>0</v>
      </c>
      <c r="AK46" s="9"/>
    </row>
    <row r="47" spans="1:37" hidden="1">
      <c r="A47" s="3">
        <v>45</v>
      </c>
      <c r="B47" s="12"/>
      <c r="C47" s="13"/>
      <c r="D47" s="13"/>
      <c r="E47" s="13"/>
      <c r="F47" s="13"/>
      <c r="G47" s="13"/>
      <c r="H47" s="15"/>
      <c r="I47" s="45" t="s">
        <v>710</v>
      </c>
      <c r="J47" s="45" t="s">
        <v>1388</v>
      </c>
      <c r="K47" s="46" t="s">
        <v>662</v>
      </c>
      <c r="L47" s="47" t="s">
        <v>1001</v>
      </c>
      <c r="M47" s="66">
        <f>IFERROR(VLOOKUP($L47,[3]Consolidated!$C$9:$AC$452,27,0),0)</f>
        <v>0</v>
      </c>
      <c r="N47" s="66">
        <f>IFERROR(VLOOKUP($L47,[3]Consolidated!$C$9:$AC$452,5,0),0)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4">
        <f>(VLOOKUP($O$2,Prices!$E$3:$K$17,2,FALSE)*O47)+(VLOOKUP($P$2,Prices!$J$3:$K$17,2,FALSE)*P47)+(VLOOKUP($Q$2,Prices!$J$3:$K$17,2,FALSE)*Q47)+(VLOOKUP($R$2,Prices!$J$3:$K$17,2,FALSE)*R47)+(VLOOKUP($S$2,Prices!$J$3:$K$17,2,FALSE)*S47)+(VLOOKUP($T$2,Prices!$J$3:$K$17,2,FALSE)*T47)+(VLOOKUP($U$2,Prices!$J$3:$K$17,2,FALSE)*U47)+(VLOOKUP($V$2,Prices!$J$3:$K$17,2,FALSE)*V47)+(VLOOKUP($W$2,Prices!$J$3:$K$17,2,FALSE)*W47)+(VLOOKUP($X$2,Prices!$J$3:$K$17,2,FALSE)*X47)+(VLOOKUP($Y$2,Prices!$J$3:$K$17,2,FALSE)*Y47)+(VLOOKUP($Z$2,Prices!$J$3:$K$17,2,FALSE)*Z47)+(VLOOKUP($AA$2,Prices!$J$3:$K$17,2,FALSE)*AA47)+(VLOOKUP($AB$2,Prices!$J$3:$K$17,2,FALSE)*AB47)+M47</f>
        <v>0</v>
      </c>
      <c r="AD47" s="18"/>
      <c r="AE47" s="18"/>
      <c r="AF47" s="4">
        <f t="shared" si="0"/>
        <v>0</v>
      </c>
      <c r="AG47" s="4"/>
      <c r="AH47" s="16">
        <f t="shared" si="2"/>
        <v>0</v>
      </c>
      <c r="AI47" s="21" t="e">
        <f t="shared" si="1"/>
        <v>#DIV/0!</v>
      </c>
      <c r="AJ47" s="20" t="e">
        <f t="shared" si="3"/>
        <v>#DIV/0!</v>
      </c>
      <c r="AK47" s="9"/>
    </row>
    <row r="48" spans="1:37" hidden="1">
      <c r="A48" s="3">
        <v>46</v>
      </c>
      <c r="B48" s="12"/>
      <c r="C48" s="13"/>
      <c r="D48" s="13"/>
      <c r="E48" s="13"/>
      <c r="F48" s="13"/>
      <c r="G48" s="13"/>
      <c r="H48" s="15"/>
      <c r="I48" s="45" t="s">
        <v>711</v>
      </c>
      <c r="J48" s="45" t="s">
        <v>1388</v>
      </c>
      <c r="K48" s="46" t="s">
        <v>662</v>
      </c>
      <c r="L48" s="46" t="s">
        <v>1002</v>
      </c>
      <c r="M48" s="66">
        <f>IFERROR(VLOOKUP($L48,[3]Consolidated!$C$9:$AC$452,27,0),0)</f>
        <v>7374800</v>
      </c>
      <c r="N48" s="66">
        <f>IFERROR(VLOOKUP($L48,[3]Consolidated!$C$9:$AC$452,5,0),0)</f>
        <v>35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4">
        <f>(VLOOKUP($O$2,Prices!$E$3:$K$17,2,FALSE)*O48)+(VLOOKUP($P$2,Prices!$J$3:$K$17,2,FALSE)*P48)+(VLOOKUP($Q$2,Prices!$J$3:$K$17,2,FALSE)*Q48)+(VLOOKUP($R$2,Prices!$J$3:$K$17,2,FALSE)*R48)+(VLOOKUP($S$2,Prices!$J$3:$K$17,2,FALSE)*S48)+(VLOOKUP($T$2,Prices!$J$3:$K$17,2,FALSE)*T48)+(VLOOKUP($U$2,Prices!$J$3:$K$17,2,FALSE)*U48)+(VLOOKUP($V$2,Prices!$J$3:$K$17,2,FALSE)*V48)+(VLOOKUP($W$2,Prices!$J$3:$K$17,2,FALSE)*W48)+(VLOOKUP($X$2,Prices!$J$3:$K$17,2,FALSE)*X48)+(VLOOKUP($Y$2,Prices!$J$3:$K$17,2,FALSE)*Y48)+(VLOOKUP($Z$2,Prices!$J$3:$K$17,2,FALSE)*Z48)+(VLOOKUP($AA$2,Prices!$J$3:$K$17,2,FALSE)*AA48)+(VLOOKUP($AB$2,Prices!$J$3:$K$17,2,FALSE)*AB48)+M48</f>
        <v>7374800</v>
      </c>
      <c r="AD48" s="18"/>
      <c r="AE48" s="18"/>
      <c r="AF48" s="4">
        <f t="shared" si="0"/>
        <v>0</v>
      </c>
      <c r="AG48" s="4"/>
      <c r="AH48" s="16">
        <f t="shared" si="2"/>
        <v>0</v>
      </c>
      <c r="AI48" s="21">
        <f t="shared" si="1"/>
        <v>0</v>
      </c>
      <c r="AJ48" s="20">
        <f t="shared" si="3"/>
        <v>0</v>
      </c>
      <c r="AK48" s="9"/>
    </row>
    <row r="49" spans="1:37" hidden="1">
      <c r="A49" s="3">
        <v>47</v>
      </c>
      <c r="B49" s="12"/>
      <c r="C49" s="13"/>
      <c r="D49" s="13"/>
      <c r="E49" s="13"/>
      <c r="F49" s="13"/>
      <c r="G49" s="13"/>
      <c r="H49" s="15"/>
      <c r="I49" s="45" t="s">
        <v>712</v>
      </c>
      <c r="J49" s="45" t="s">
        <v>1388</v>
      </c>
      <c r="K49" s="46" t="s">
        <v>662</v>
      </c>
      <c r="L49" s="46" t="s">
        <v>1003</v>
      </c>
      <c r="M49" s="66">
        <f>IFERROR(VLOOKUP($L49,[3]Consolidated!$C$9:$AC$452,27,0),0)</f>
        <v>2262850</v>
      </c>
      <c r="N49" s="66">
        <f>IFERROR(VLOOKUP($L49,[3]Consolidated!$C$9:$AC$452,5,0),0)</f>
        <v>10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4">
        <f>(VLOOKUP($O$2,Prices!$E$3:$K$17,2,FALSE)*O49)+(VLOOKUP($P$2,Prices!$J$3:$K$17,2,FALSE)*P49)+(VLOOKUP($Q$2,Prices!$J$3:$K$17,2,FALSE)*Q49)+(VLOOKUP($R$2,Prices!$J$3:$K$17,2,FALSE)*R49)+(VLOOKUP($S$2,Prices!$J$3:$K$17,2,FALSE)*S49)+(VLOOKUP($T$2,Prices!$J$3:$K$17,2,FALSE)*T49)+(VLOOKUP($U$2,Prices!$J$3:$K$17,2,FALSE)*U49)+(VLOOKUP($V$2,Prices!$J$3:$K$17,2,FALSE)*V49)+(VLOOKUP($W$2,Prices!$J$3:$K$17,2,FALSE)*W49)+(VLOOKUP($X$2,Prices!$J$3:$K$17,2,FALSE)*X49)+(VLOOKUP($Y$2,Prices!$J$3:$K$17,2,FALSE)*Y49)+(VLOOKUP($Z$2,Prices!$J$3:$K$17,2,FALSE)*Z49)+(VLOOKUP($AA$2,Prices!$J$3:$K$17,2,FALSE)*AA49)+(VLOOKUP($AB$2,Prices!$J$3:$K$17,2,FALSE)*AB49)+M49</f>
        <v>2262850</v>
      </c>
      <c r="AD49" s="18"/>
      <c r="AE49" s="18"/>
      <c r="AF49" s="4">
        <f t="shared" si="0"/>
        <v>0</v>
      </c>
      <c r="AG49" s="4"/>
      <c r="AH49" s="16">
        <f t="shared" si="2"/>
        <v>0</v>
      </c>
      <c r="AI49" s="21">
        <f t="shared" si="1"/>
        <v>0</v>
      </c>
      <c r="AJ49" s="20">
        <f t="shared" si="3"/>
        <v>0</v>
      </c>
      <c r="AK49" s="9"/>
    </row>
    <row r="50" spans="1:37" hidden="1">
      <c r="A50" s="3">
        <v>48</v>
      </c>
      <c r="B50" s="12"/>
      <c r="C50" s="13"/>
      <c r="D50" s="13"/>
      <c r="E50" s="13"/>
      <c r="F50" s="13"/>
      <c r="G50" s="13"/>
      <c r="H50" s="15"/>
      <c r="I50" s="45" t="s">
        <v>762</v>
      </c>
      <c r="J50" s="45" t="s">
        <v>1388</v>
      </c>
      <c r="K50" s="46" t="s">
        <v>662</v>
      </c>
      <c r="L50" s="46" t="s">
        <v>1054</v>
      </c>
      <c r="M50" s="66">
        <f>IFERROR(VLOOKUP($L50,[3]Consolidated!$C$9:$AC$452,27,0),0)</f>
        <v>0</v>
      </c>
      <c r="N50" s="66">
        <f>IFERROR(VLOOKUP($L50,[3]Consolidated!$C$9:$AC$452,5,0),0)</f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4">
        <f>(VLOOKUP($O$2,Prices!$E$3:$K$17,2,FALSE)*O50)+(VLOOKUP($P$2,Prices!$J$3:$K$17,2,FALSE)*P50)+(VLOOKUP($Q$2,Prices!$J$3:$K$17,2,FALSE)*Q50)+(VLOOKUP($R$2,Prices!$J$3:$K$17,2,FALSE)*R50)+(VLOOKUP($S$2,Prices!$J$3:$K$17,2,FALSE)*S50)+(VLOOKUP($T$2,Prices!$J$3:$K$17,2,FALSE)*T50)+(VLOOKUP($U$2,Prices!$J$3:$K$17,2,FALSE)*U50)+(VLOOKUP($V$2,Prices!$J$3:$K$17,2,FALSE)*V50)+(VLOOKUP($W$2,Prices!$J$3:$K$17,2,FALSE)*W50)+(VLOOKUP($X$2,Prices!$J$3:$K$17,2,FALSE)*X50)+(VLOOKUP($Y$2,Prices!$J$3:$K$17,2,FALSE)*Y50)+(VLOOKUP($Z$2,Prices!$J$3:$K$17,2,FALSE)*Z50)+(VLOOKUP($AA$2,Prices!$J$3:$K$17,2,FALSE)*AA50)+(VLOOKUP($AB$2,Prices!$J$3:$K$17,2,FALSE)*AB50)+M50</f>
        <v>0</v>
      </c>
      <c r="AD50" s="18"/>
      <c r="AE50" s="18"/>
      <c r="AF50" s="4">
        <f t="shared" si="0"/>
        <v>0</v>
      </c>
      <c r="AG50" s="4"/>
      <c r="AH50" s="16">
        <f t="shared" si="2"/>
        <v>0</v>
      </c>
      <c r="AI50" s="21" t="e">
        <f t="shared" si="1"/>
        <v>#DIV/0!</v>
      </c>
      <c r="AJ50" s="20" t="e">
        <f t="shared" si="3"/>
        <v>#DIV/0!</v>
      </c>
      <c r="AK50" s="19"/>
    </row>
    <row r="51" spans="1:37" hidden="1">
      <c r="A51" s="3">
        <v>49</v>
      </c>
      <c r="B51" s="12"/>
      <c r="C51" s="13"/>
      <c r="D51" s="13"/>
      <c r="E51" s="13"/>
      <c r="F51" s="13"/>
      <c r="G51" s="13"/>
      <c r="H51" s="15"/>
      <c r="I51" s="45" t="s">
        <v>1355</v>
      </c>
      <c r="J51" s="45" t="s">
        <v>1388</v>
      </c>
      <c r="K51" s="46" t="s">
        <v>662</v>
      </c>
      <c r="L51" s="46" t="s">
        <v>1350</v>
      </c>
      <c r="M51" s="66">
        <f>IFERROR(VLOOKUP($L51,[3]Consolidated!$C$9:$AC$452,27,0),0)</f>
        <v>2217250</v>
      </c>
      <c r="N51" s="66">
        <f>IFERROR(VLOOKUP($L51,[3]Consolidated!$C$9:$AC$452,5,0),0)</f>
        <v>10.000000000000002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4">
        <f>(VLOOKUP($O$2,Prices!$E$3:$K$17,2,FALSE)*O51)+(VLOOKUP($P$2,Prices!$J$3:$K$17,2,FALSE)*P51)+(VLOOKUP($Q$2,Prices!$J$3:$K$17,2,FALSE)*Q51)+(VLOOKUP($R$2,Prices!$J$3:$K$17,2,FALSE)*R51)+(VLOOKUP($S$2,Prices!$J$3:$K$17,2,FALSE)*S51)+(VLOOKUP($T$2,Prices!$J$3:$K$17,2,FALSE)*T51)+(VLOOKUP($U$2,Prices!$J$3:$K$17,2,FALSE)*U51)+(VLOOKUP($V$2,Prices!$J$3:$K$17,2,FALSE)*V51)+(VLOOKUP($W$2,Prices!$J$3:$K$17,2,FALSE)*W51)+(VLOOKUP($X$2,Prices!$J$3:$K$17,2,FALSE)*X51)+(VLOOKUP($Y$2,Prices!$J$3:$K$17,2,FALSE)*Y51)+(VLOOKUP($Z$2,Prices!$J$3:$K$17,2,FALSE)*Z51)+(VLOOKUP($AA$2,Prices!$J$3:$K$17,2,FALSE)*AA51)+(VLOOKUP($AB$2,Prices!$J$3:$K$17,2,FALSE)*AB51)+M51</f>
        <v>2217250</v>
      </c>
      <c r="AD51" s="18"/>
      <c r="AE51" s="18"/>
      <c r="AF51" s="4">
        <f t="shared" si="0"/>
        <v>0</v>
      </c>
      <c r="AG51" s="4"/>
      <c r="AH51" s="16">
        <f t="shared" si="2"/>
        <v>0</v>
      </c>
      <c r="AI51" s="21">
        <f t="shared" si="1"/>
        <v>0</v>
      </c>
      <c r="AJ51" s="20">
        <f t="shared" si="3"/>
        <v>0</v>
      </c>
      <c r="AK51" s="9"/>
    </row>
    <row r="52" spans="1:37" hidden="1">
      <c r="A52" s="3">
        <v>50</v>
      </c>
      <c r="B52" s="12"/>
      <c r="C52" s="13"/>
      <c r="D52" s="13"/>
      <c r="E52" s="13"/>
      <c r="F52" s="13"/>
      <c r="G52" s="13"/>
      <c r="H52" s="15"/>
      <c r="I52" s="45" t="s">
        <v>758</v>
      </c>
      <c r="J52" s="45" t="s">
        <v>1388</v>
      </c>
      <c r="K52" s="46" t="s">
        <v>1316</v>
      </c>
      <c r="L52" s="47" t="s">
        <v>1050</v>
      </c>
      <c r="M52" s="66">
        <f>IFERROR(VLOOKUP($L52,[3]Consolidated!$C$9:$AC$452,27,0),0)</f>
        <v>7444000</v>
      </c>
      <c r="N52" s="66">
        <f>IFERROR(VLOOKUP($L52,[3]Consolidated!$C$9:$AC$452,5,0),0)</f>
        <v>35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4">
        <f>(VLOOKUP($O$2,Prices!$E$3:$K$17,2,FALSE)*O52)+(VLOOKUP($P$2,Prices!$J$3:$K$17,2,FALSE)*P52)+(VLOOKUP($Q$2,Prices!$J$3:$K$17,2,FALSE)*Q52)+(VLOOKUP($R$2,Prices!$J$3:$K$17,2,FALSE)*R52)+(VLOOKUP($S$2,Prices!$J$3:$K$17,2,FALSE)*S52)+(VLOOKUP($T$2,Prices!$J$3:$K$17,2,FALSE)*T52)+(VLOOKUP($U$2,Prices!$J$3:$K$17,2,FALSE)*U52)+(VLOOKUP($V$2,Prices!$J$3:$K$17,2,FALSE)*V52)+(VLOOKUP($W$2,Prices!$J$3:$K$17,2,FALSE)*W52)+(VLOOKUP($X$2,Prices!$J$3:$K$17,2,FALSE)*X52)+(VLOOKUP($Y$2,Prices!$J$3:$K$17,2,FALSE)*Y52)+(VLOOKUP($Z$2,Prices!$J$3:$K$17,2,FALSE)*Z52)+(VLOOKUP($AA$2,Prices!$J$3:$K$17,2,FALSE)*AA52)+(VLOOKUP($AB$2,Prices!$J$3:$K$17,2,FALSE)*AB52)+M52</f>
        <v>7444000</v>
      </c>
      <c r="AD52" s="18"/>
      <c r="AE52" s="18"/>
      <c r="AF52" s="4">
        <f t="shared" si="0"/>
        <v>0</v>
      </c>
      <c r="AG52" s="4"/>
      <c r="AH52" s="16">
        <f t="shared" si="2"/>
        <v>0</v>
      </c>
      <c r="AI52" s="21">
        <f t="shared" si="1"/>
        <v>0</v>
      </c>
      <c r="AJ52" s="20">
        <f t="shared" si="3"/>
        <v>0</v>
      </c>
      <c r="AK52" s="9"/>
    </row>
    <row r="53" spans="1:37" hidden="1">
      <c r="A53" s="3">
        <v>51</v>
      </c>
      <c r="B53" s="12"/>
      <c r="C53" s="13"/>
      <c r="D53" s="13"/>
      <c r="E53" s="13"/>
      <c r="F53" s="13"/>
      <c r="G53" s="13"/>
      <c r="H53" s="15"/>
      <c r="I53" s="45" t="s">
        <v>759</v>
      </c>
      <c r="J53" s="45" t="s">
        <v>1388</v>
      </c>
      <c r="K53" s="46" t="s">
        <v>1316</v>
      </c>
      <c r="L53" s="47" t="s">
        <v>1051</v>
      </c>
      <c r="M53" s="66">
        <f>IFERROR(VLOOKUP($L53,[3]Consolidated!$C$9:$AC$452,27,0),0)</f>
        <v>7433500</v>
      </c>
      <c r="N53" s="66">
        <f>IFERROR(VLOOKUP($L53,[3]Consolidated!$C$9:$AC$452,5,0),0)</f>
        <v>35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4">
        <f>(VLOOKUP($O$2,Prices!$E$3:$K$17,2,FALSE)*O53)+(VLOOKUP($P$2,Prices!$J$3:$K$17,2,FALSE)*P53)+(VLOOKUP($Q$2,Prices!$J$3:$K$17,2,FALSE)*Q53)+(VLOOKUP($R$2,Prices!$J$3:$K$17,2,FALSE)*R53)+(VLOOKUP($S$2,Prices!$J$3:$K$17,2,FALSE)*S53)+(VLOOKUP($T$2,Prices!$J$3:$K$17,2,FALSE)*T53)+(VLOOKUP($U$2,Prices!$J$3:$K$17,2,FALSE)*U53)+(VLOOKUP($V$2,Prices!$J$3:$K$17,2,FALSE)*V53)+(VLOOKUP($W$2,Prices!$J$3:$K$17,2,FALSE)*W53)+(VLOOKUP($X$2,Prices!$J$3:$K$17,2,FALSE)*X53)+(VLOOKUP($Y$2,Prices!$J$3:$K$17,2,FALSE)*Y53)+(VLOOKUP($Z$2,Prices!$J$3:$K$17,2,FALSE)*Z53)+(VLOOKUP($AA$2,Prices!$J$3:$K$17,2,FALSE)*AA53)+(VLOOKUP($AB$2,Prices!$J$3:$K$17,2,FALSE)*AB53)+M53</f>
        <v>7433500</v>
      </c>
      <c r="AD53" s="18"/>
      <c r="AE53" s="18"/>
      <c r="AF53" s="4">
        <f t="shared" si="0"/>
        <v>0</v>
      </c>
      <c r="AG53" s="4"/>
      <c r="AH53" s="16">
        <f t="shared" si="2"/>
        <v>0</v>
      </c>
      <c r="AI53" s="21">
        <f t="shared" si="1"/>
        <v>0</v>
      </c>
      <c r="AJ53" s="20">
        <f t="shared" si="3"/>
        <v>0</v>
      </c>
      <c r="AK53" s="9"/>
    </row>
    <row r="54" spans="1:37" hidden="1">
      <c r="A54" s="3">
        <v>52</v>
      </c>
      <c r="B54" s="12"/>
      <c r="C54" s="13"/>
      <c r="D54" s="13"/>
      <c r="E54" s="13"/>
      <c r="F54" s="13"/>
      <c r="G54" s="13"/>
      <c r="H54" s="15"/>
      <c r="I54" s="45" t="s">
        <v>760</v>
      </c>
      <c r="J54" s="45" t="s">
        <v>1388</v>
      </c>
      <c r="K54" s="46" t="s">
        <v>1316</v>
      </c>
      <c r="L54" s="47" t="s">
        <v>1052</v>
      </c>
      <c r="M54" s="66">
        <f>IFERROR(VLOOKUP($L54,[3]Consolidated!$C$9:$AC$452,27,0),0)</f>
        <v>7433500</v>
      </c>
      <c r="N54" s="66">
        <f>IFERROR(VLOOKUP($L54,[3]Consolidated!$C$9:$AC$452,5,0),0)</f>
        <v>35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4">
        <f>(VLOOKUP($O$2,Prices!$E$3:$K$17,2,FALSE)*O54)+(VLOOKUP($P$2,Prices!$J$3:$K$17,2,FALSE)*P54)+(VLOOKUP($Q$2,Prices!$J$3:$K$17,2,FALSE)*Q54)+(VLOOKUP($R$2,Prices!$J$3:$K$17,2,FALSE)*R54)+(VLOOKUP($S$2,Prices!$J$3:$K$17,2,FALSE)*S54)+(VLOOKUP($T$2,Prices!$J$3:$K$17,2,FALSE)*T54)+(VLOOKUP($U$2,Prices!$J$3:$K$17,2,FALSE)*U54)+(VLOOKUP($V$2,Prices!$J$3:$K$17,2,FALSE)*V54)+(VLOOKUP($W$2,Prices!$J$3:$K$17,2,FALSE)*W54)+(VLOOKUP($X$2,Prices!$J$3:$K$17,2,FALSE)*X54)+(VLOOKUP($Y$2,Prices!$J$3:$K$17,2,FALSE)*Y54)+(VLOOKUP($Z$2,Prices!$J$3:$K$17,2,FALSE)*Z54)+(VLOOKUP($AA$2,Prices!$J$3:$K$17,2,FALSE)*AA54)+(VLOOKUP($AB$2,Prices!$J$3:$K$17,2,FALSE)*AB54)+M54</f>
        <v>7433500</v>
      </c>
      <c r="AD54" s="18"/>
      <c r="AE54" s="18"/>
      <c r="AF54" s="4">
        <f t="shared" si="0"/>
        <v>0</v>
      </c>
      <c r="AG54" s="4"/>
      <c r="AH54" s="16">
        <f t="shared" si="2"/>
        <v>0</v>
      </c>
      <c r="AI54" s="21">
        <f t="shared" si="1"/>
        <v>0</v>
      </c>
      <c r="AJ54" s="20">
        <f t="shared" si="3"/>
        <v>0</v>
      </c>
      <c r="AK54" s="9"/>
    </row>
    <row r="55" spans="1:37" hidden="1">
      <c r="A55" s="3">
        <v>53</v>
      </c>
      <c r="B55" s="12"/>
      <c r="C55" s="13"/>
      <c r="D55" s="13"/>
      <c r="E55" s="13"/>
      <c r="F55" s="13"/>
      <c r="G55" s="13"/>
      <c r="H55" s="15"/>
      <c r="I55" s="45" t="s">
        <v>761</v>
      </c>
      <c r="J55" s="45" t="s">
        <v>1388</v>
      </c>
      <c r="K55" s="46" t="s">
        <v>1316</v>
      </c>
      <c r="L55" s="47" t="s">
        <v>1053</v>
      </c>
      <c r="M55" s="66">
        <f>IFERROR(VLOOKUP($L55,[3]Consolidated!$C$9:$AC$452,27,0),0)</f>
        <v>7433500</v>
      </c>
      <c r="N55" s="66">
        <f>IFERROR(VLOOKUP($L55,[3]Consolidated!$C$9:$AC$452,5,0),0)</f>
        <v>35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4">
        <f>(VLOOKUP($O$2,Prices!$E$3:$K$17,2,FALSE)*O55)+(VLOOKUP($P$2,Prices!$J$3:$K$17,2,FALSE)*P55)+(VLOOKUP($Q$2,Prices!$J$3:$K$17,2,FALSE)*Q55)+(VLOOKUP($R$2,Prices!$J$3:$K$17,2,FALSE)*R55)+(VLOOKUP($S$2,Prices!$J$3:$K$17,2,FALSE)*S55)+(VLOOKUP($T$2,Prices!$J$3:$K$17,2,FALSE)*T55)+(VLOOKUP($U$2,Prices!$J$3:$K$17,2,FALSE)*U55)+(VLOOKUP($V$2,Prices!$J$3:$K$17,2,FALSE)*V55)+(VLOOKUP($W$2,Prices!$J$3:$K$17,2,FALSE)*W55)+(VLOOKUP($X$2,Prices!$J$3:$K$17,2,FALSE)*X55)+(VLOOKUP($Y$2,Prices!$J$3:$K$17,2,FALSE)*Y55)+(VLOOKUP($Z$2,Prices!$J$3:$K$17,2,FALSE)*Z55)+(VLOOKUP($AA$2,Prices!$J$3:$K$17,2,FALSE)*AA55)+(VLOOKUP($AB$2,Prices!$J$3:$K$17,2,FALSE)*AB55)+M55</f>
        <v>7433500</v>
      </c>
      <c r="AD55" s="18"/>
      <c r="AE55" s="18"/>
      <c r="AF55" s="4">
        <f t="shared" si="0"/>
        <v>0</v>
      </c>
      <c r="AG55" s="4"/>
      <c r="AH55" s="16">
        <f t="shared" si="2"/>
        <v>0</v>
      </c>
      <c r="AI55" s="21">
        <f t="shared" si="1"/>
        <v>0</v>
      </c>
      <c r="AJ55" s="20">
        <f t="shared" si="3"/>
        <v>0</v>
      </c>
      <c r="AK55" s="9"/>
    </row>
    <row r="56" spans="1:37" hidden="1">
      <c r="A56" s="3">
        <v>54</v>
      </c>
      <c r="B56" s="12"/>
      <c r="C56" s="13"/>
      <c r="D56" s="13"/>
      <c r="E56" s="13"/>
      <c r="F56" s="13"/>
      <c r="G56" s="13"/>
      <c r="H56" s="15"/>
      <c r="I56" s="45" t="s">
        <v>713</v>
      </c>
      <c r="J56" s="45" t="s">
        <v>1388</v>
      </c>
      <c r="K56" s="46" t="s">
        <v>663</v>
      </c>
      <c r="L56" s="47" t="s">
        <v>1004</v>
      </c>
      <c r="M56" s="66">
        <f>IFERROR(VLOOKUP($L56,[3]Consolidated!$C$9:$AC$452,27,0),0)</f>
        <v>6981500</v>
      </c>
      <c r="N56" s="66">
        <f>IFERROR(VLOOKUP($L56,[3]Consolidated!$C$9:$AC$452,5,0),0)</f>
        <v>35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4">
        <f>(VLOOKUP($O$2,Prices!$E$3:$K$17,2,FALSE)*O56)+(VLOOKUP($P$2,Prices!$J$3:$K$17,2,FALSE)*P56)+(VLOOKUP($Q$2,Prices!$J$3:$K$17,2,FALSE)*Q56)+(VLOOKUP($R$2,Prices!$J$3:$K$17,2,FALSE)*R56)+(VLOOKUP($S$2,Prices!$J$3:$K$17,2,FALSE)*S56)+(VLOOKUP($T$2,Prices!$J$3:$K$17,2,FALSE)*T56)+(VLOOKUP($U$2,Prices!$J$3:$K$17,2,FALSE)*U56)+(VLOOKUP($V$2,Prices!$J$3:$K$17,2,FALSE)*V56)+(VLOOKUP($W$2,Prices!$J$3:$K$17,2,FALSE)*W56)+(VLOOKUP($X$2,Prices!$J$3:$K$17,2,FALSE)*X56)+(VLOOKUP($Y$2,Prices!$J$3:$K$17,2,FALSE)*Y56)+(VLOOKUP($Z$2,Prices!$J$3:$K$17,2,FALSE)*Z56)+(VLOOKUP($AA$2,Prices!$J$3:$K$17,2,FALSE)*AA56)+(VLOOKUP($AB$2,Prices!$J$3:$K$17,2,FALSE)*AB56)+M56</f>
        <v>6981500</v>
      </c>
      <c r="AD56" s="18"/>
      <c r="AE56" s="18"/>
      <c r="AF56" s="4">
        <f t="shared" si="0"/>
        <v>0</v>
      </c>
      <c r="AG56" s="4"/>
      <c r="AH56" s="16">
        <f t="shared" si="2"/>
        <v>0</v>
      </c>
      <c r="AI56" s="21">
        <f t="shared" si="1"/>
        <v>0</v>
      </c>
      <c r="AJ56" s="20">
        <f t="shared" si="3"/>
        <v>0</v>
      </c>
      <c r="AK56" s="9"/>
    </row>
    <row r="57" spans="1:37" hidden="1">
      <c r="A57" s="3">
        <v>55</v>
      </c>
      <c r="B57" s="12"/>
      <c r="C57" s="13"/>
      <c r="D57" s="13"/>
      <c r="E57" s="13"/>
      <c r="F57" s="13"/>
      <c r="G57" s="13"/>
      <c r="H57" s="15"/>
      <c r="I57" s="45" t="s">
        <v>714</v>
      </c>
      <c r="J57" s="45" t="s">
        <v>1388</v>
      </c>
      <c r="K57" s="46" t="s">
        <v>663</v>
      </c>
      <c r="L57" s="47" t="s">
        <v>1005</v>
      </c>
      <c r="M57" s="66">
        <f>IFERROR(VLOOKUP($L57,[3]Consolidated!$C$9:$AC$452,27,0),0)</f>
        <v>14133300</v>
      </c>
      <c r="N57" s="66">
        <f>IFERROR(VLOOKUP($L57,[3]Consolidated!$C$9:$AC$452,5,0),0)</f>
        <v>70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4">
        <f>(VLOOKUP($O$2,Prices!$E$3:$K$17,2,FALSE)*O57)+(VLOOKUP($P$2,Prices!$J$3:$K$17,2,FALSE)*P57)+(VLOOKUP($Q$2,Prices!$J$3:$K$17,2,FALSE)*Q57)+(VLOOKUP($R$2,Prices!$J$3:$K$17,2,FALSE)*R57)+(VLOOKUP($S$2,Prices!$J$3:$K$17,2,FALSE)*S57)+(VLOOKUP($T$2,Prices!$J$3:$K$17,2,FALSE)*T57)+(VLOOKUP($U$2,Prices!$J$3:$K$17,2,FALSE)*U57)+(VLOOKUP($V$2,Prices!$J$3:$K$17,2,FALSE)*V57)+(VLOOKUP($W$2,Prices!$J$3:$K$17,2,FALSE)*W57)+(VLOOKUP($X$2,Prices!$J$3:$K$17,2,FALSE)*X57)+(VLOOKUP($Y$2,Prices!$J$3:$K$17,2,FALSE)*Y57)+(VLOOKUP($Z$2,Prices!$J$3:$K$17,2,FALSE)*Z57)+(VLOOKUP($AA$2,Prices!$J$3:$K$17,2,FALSE)*AA57)+(VLOOKUP($AB$2,Prices!$J$3:$K$17,2,FALSE)*AB57)+M57</f>
        <v>14133300</v>
      </c>
      <c r="AD57" s="18"/>
      <c r="AE57" s="18"/>
      <c r="AF57" s="4">
        <f t="shared" si="0"/>
        <v>0</v>
      </c>
      <c r="AG57" s="4"/>
      <c r="AH57" s="16">
        <f t="shared" si="2"/>
        <v>0</v>
      </c>
      <c r="AI57" s="21">
        <f t="shared" si="1"/>
        <v>0</v>
      </c>
      <c r="AJ57" s="20">
        <f t="shared" si="3"/>
        <v>0</v>
      </c>
      <c r="AK57" s="9"/>
    </row>
    <row r="58" spans="1:37" hidden="1">
      <c r="A58" s="3">
        <v>56</v>
      </c>
      <c r="B58" s="12"/>
      <c r="C58" s="13"/>
      <c r="D58" s="13"/>
      <c r="E58" s="13"/>
      <c r="F58" s="13"/>
      <c r="G58" s="13"/>
      <c r="H58" s="15"/>
      <c r="I58" s="45" t="s">
        <v>715</v>
      </c>
      <c r="J58" s="45" t="s">
        <v>1388</v>
      </c>
      <c r="K58" s="46" t="s">
        <v>663</v>
      </c>
      <c r="L58" s="47" t="s">
        <v>1006</v>
      </c>
      <c r="M58" s="66">
        <f>IFERROR(VLOOKUP($L58,[3]Consolidated!$C$9:$AC$452,27,0),0)</f>
        <v>7808000</v>
      </c>
      <c r="N58" s="66">
        <f>IFERROR(VLOOKUP($L58,[3]Consolidated!$C$9:$AC$452,5,0),0)</f>
        <v>35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4">
        <f>(VLOOKUP($O$2,Prices!$E$3:$K$17,2,FALSE)*O58)+(VLOOKUP($P$2,Prices!$J$3:$K$17,2,FALSE)*P58)+(VLOOKUP($Q$2,Prices!$J$3:$K$17,2,FALSE)*Q58)+(VLOOKUP($R$2,Prices!$J$3:$K$17,2,FALSE)*R58)+(VLOOKUP($S$2,Prices!$J$3:$K$17,2,FALSE)*S58)+(VLOOKUP($T$2,Prices!$J$3:$K$17,2,FALSE)*T58)+(VLOOKUP($U$2,Prices!$J$3:$K$17,2,FALSE)*U58)+(VLOOKUP($V$2,Prices!$J$3:$K$17,2,FALSE)*V58)+(VLOOKUP($W$2,Prices!$J$3:$K$17,2,FALSE)*W58)+(VLOOKUP($X$2,Prices!$J$3:$K$17,2,FALSE)*X58)+(VLOOKUP($Y$2,Prices!$J$3:$K$17,2,FALSE)*Y58)+(VLOOKUP($Z$2,Prices!$J$3:$K$17,2,FALSE)*Z58)+(VLOOKUP($AA$2,Prices!$J$3:$K$17,2,FALSE)*AA58)+(VLOOKUP($AB$2,Prices!$J$3:$K$17,2,FALSE)*AB58)+M58</f>
        <v>7808000</v>
      </c>
      <c r="AD58" s="18"/>
      <c r="AE58" s="18"/>
      <c r="AF58" s="4">
        <f t="shared" si="0"/>
        <v>0</v>
      </c>
      <c r="AG58" s="4"/>
      <c r="AH58" s="16">
        <f t="shared" si="2"/>
        <v>0</v>
      </c>
      <c r="AI58" s="21">
        <f t="shared" si="1"/>
        <v>0</v>
      </c>
      <c r="AJ58" s="20">
        <f t="shared" si="3"/>
        <v>0</v>
      </c>
      <c r="AK58" s="9"/>
    </row>
    <row r="59" spans="1:37" hidden="1">
      <c r="A59" s="3">
        <v>57</v>
      </c>
      <c r="B59" s="12"/>
      <c r="C59" s="13"/>
      <c r="D59" s="13"/>
      <c r="E59" s="13"/>
      <c r="F59" s="13"/>
      <c r="G59" s="13"/>
      <c r="H59" s="15"/>
      <c r="I59" s="45" t="s">
        <v>716</v>
      </c>
      <c r="J59" s="45" t="s">
        <v>1388</v>
      </c>
      <c r="K59" s="46" t="s">
        <v>663</v>
      </c>
      <c r="L59" s="47" t="s">
        <v>1007</v>
      </c>
      <c r="M59" s="66">
        <f>IFERROR(VLOOKUP($L59,[3]Consolidated!$C$9:$AC$452,27,0),0)</f>
        <v>7000000</v>
      </c>
      <c r="N59" s="66">
        <f>IFERROR(VLOOKUP($L59,[3]Consolidated!$C$9:$AC$452,5,0),0)</f>
        <v>35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4">
        <f>(VLOOKUP($O$2,Prices!$E$3:$K$17,2,FALSE)*O59)+(VLOOKUP($P$2,Prices!$J$3:$K$17,2,FALSE)*P59)+(VLOOKUP($Q$2,Prices!$J$3:$K$17,2,FALSE)*Q59)+(VLOOKUP($R$2,Prices!$J$3:$K$17,2,FALSE)*R59)+(VLOOKUP($S$2,Prices!$J$3:$K$17,2,FALSE)*S59)+(VLOOKUP($T$2,Prices!$J$3:$K$17,2,FALSE)*T59)+(VLOOKUP($U$2,Prices!$J$3:$K$17,2,FALSE)*U59)+(VLOOKUP($V$2,Prices!$J$3:$K$17,2,FALSE)*V59)+(VLOOKUP($W$2,Prices!$J$3:$K$17,2,FALSE)*W59)+(VLOOKUP($X$2,Prices!$J$3:$K$17,2,FALSE)*X59)+(VLOOKUP($Y$2,Prices!$J$3:$K$17,2,FALSE)*Y59)+(VLOOKUP($Z$2,Prices!$J$3:$K$17,2,FALSE)*Z59)+(VLOOKUP($AA$2,Prices!$J$3:$K$17,2,FALSE)*AA59)+(VLOOKUP($AB$2,Prices!$J$3:$K$17,2,FALSE)*AB59)+M59</f>
        <v>7000000</v>
      </c>
      <c r="AD59" s="18"/>
      <c r="AE59" s="18"/>
      <c r="AF59" s="4">
        <f t="shared" si="0"/>
        <v>0</v>
      </c>
      <c r="AG59" s="4"/>
      <c r="AH59" s="16">
        <f t="shared" si="2"/>
        <v>0</v>
      </c>
      <c r="AI59" s="21">
        <f t="shared" si="1"/>
        <v>0</v>
      </c>
      <c r="AJ59" s="20">
        <f t="shared" si="3"/>
        <v>0</v>
      </c>
      <c r="AK59" s="19"/>
    </row>
    <row r="60" spans="1:37" hidden="1">
      <c r="A60" s="3">
        <v>58</v>
      </c>
      <c r="B60" s="12"/>
      <c r="C60" s="13"/>
      <c r="D60" s="13"/>
      <c r="E60" s="13"/>
      <c r="F60" s="13"/>
      <c r="G60" s="13"/>
      <c r="H60" s="15"/>
      <c r="I60" s="45" t="s">
        <v>717</v>
      </c>
      <c r="J60" s="45" t="s">
        <v>1388</v>
      </c>
      <c r="K60" s="46" t="s">
        <v>663</v>
      </c>
      <c r="L60" s="47" t="s">
        <v>1008</v>
      </c>
      <c r="M60" s="66">
        <f>IFERROR(VLOOKUP($L60,[3]Consolidated!$C$9:$AC$452,27,0),0)</f>
        <v>6929000</v>
      </c>
      <c r="N60" s="66">
        <f>IFERROR(VLOOKUP($L60,[3]Consolidated!$C$9:$AC$452,5,0),0)</f>
        <v>35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4">
        <f>(VLOOKUP($O$2,Prices!$E$3:$K$17,2,FALSE)*O60)+(VLOOKUP($P$2,Prices!$J$3:$K$17,2,FALSE)*P60)+(VLOOKUP($Q$2,Prices!$J$3:$K$17,2,FALSE)*Q60)+(VLOOKUP($R$2,Prices!$J$3:$K$17,2,FALSE)*R60)+(VLOOKUP($S$2,Prices!$J$3:$K$17,2,FALSE)*S60)+(VLOOKUP($T$2,Prices!$J$3:$K$17,2,FALSE)*T60)+(VLOOKUP($U$2,Prices!$J$3:$K$17,2,FALSE)*U60)+(VLOOKUP($V$2,Prices!$J$3:$K$17,2,FALSE)*V60)+(VLOOKUP($W$2,Prices!$J$3:$K$17,2,FALSE)*W60)+(VLOOKUP($X$2,Prices!$J$3:$K$17,2,FALSE)*X60)+(VLOOKUP($Y$2,Prices!$J$3:$K$17,2,FALSE)*Y60)+(VLOOKUP($Z$2,Prices!$J$3:$K$17,2,FALSE)*Z60)+(VLOOKUP($AA$2,Prices!$J$3:$K$17,2,FALSE)*AA60)+(VLOOKUP($AB$2,Prices!$J$3:$K$17,2,FALSE)*AB60)+M60</f>
        <v>6929000</v>
      </c>
      <c r="AD60" s="18"/>
      <c r="AE60" s="18"/>
      <c r="AF60" s="4">
        <f t="shared" si="0"/>
        <v>0</v>
      </c>
      <c r="AG60" s="4"/>
      <c r="AH60" s="16">
        <f t="shared" si="2"/>
        <v>0</v>
      </c>
      <c r="AI60" s="21">
        <f t="shared" si="1"/>
        <v>0</v>
      </c>
      <c r="AJ60" s="20">
        <f t="shared" si="3"/>
        <v>0</v>
      </c>
      <c r="AK60" s="9"/>
    </row>
    <row r="61" spans="1:37" hidden="1">
      <c r="A61" s="3">
        <v>59</v>
      </c>
      <c r="B61" s="12"/>
      <c r="C61" s="13"/>
      <c r="D61" s="13"/>
      <c r="E61" s="13"/>
      <c r="F61" s="13"/>
      <c r="G61" s="13"/>
      <c r="H61" s="15"/>
      <c r="I61" s="45" t="s">
        <v>718</v>
      </c>
      <c r="J61" s="45" t="s">
        <v>1388</v>
      </c>
      <c r="K61" s="46" t="s">
        <v>663</v>
      </c>
      <c r="L61" s="47" t="s">
        <v>1009</v>
      </c>
      <c r="M61" s="66">
        <f>IFERROR(VLOOKUP($L61,[3]Consolidated!$C$9:$AC$452,27,0),0)</f>
        <v>7762000</v>
      </c>
      <c r="N61" s="66">
        <f>IFERROR(VLOOKUP($L61,[3]Consolidated!$C$9:$AC$452,5,0),0)</f>
        <v>35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4">
        <f>(VLOOKUP($O$2,Prices!$E$3:$K$17,2,FALSE)*O61)+(VLOOKUP($P$2,Prices!$J$3:$K$17,2,FALSE)*P61)+(VLOOKUP($Q$2,Prices!$J$3:$K$17,2,FALSE)*Q61)+(VLOOKUP($R$2,Prices!$J$3:$K$17,2,FALSE)*R61)+(VLOOKUP($S$2,Prices!$J$3:$K$17,2,FALSE)*S61)+(VLOOKUP($T$2,Prices!$J$3:$K$17,2,FALSE)*T61)+(VLOOKUP($U$2,Prices!$J$3:$K$17,2,FALSE)*U61)+(VLOOKUP($V$2,Prices!$J$3:$K$17,2,FALSE)*V61)+(VLOOKUP($W$2,Prices!$J$3:$K$17,2,FALSE)*W61)+(VLOOKUP($X$2,Prices!$J$3:$K$17,2,FALSE)*X61)+(VLOOKUP($Y$2,Prices!$J$3:$K$17,2,FALSE)*Y61)+(VLOOKUP($Z$2,Prices!$J$3:$K$17,2,FALSE)*Z61)+(VLOOKUP($AA$2,Prices!$J$3:$K$17,2,FALSE)*AA61)+(VLOOKUP($AB$2,Prices!$J$3:$K$17,2,FALSE)*AB61)+M61</f>
        <v>7762000</v>
      </c>
      <c r="AD61" s="18"/>
      <c r="AE61" s="18"/>
      <c r="AF61" s="4">
        <f t="shared" si="0"/>
        <v>0</v>
      </c>
      <c r="AG61" s="4"/>
      <c r="AH61" s="16">
        <f t="shared" si="2"/>
        <v>0</v>
      </c>
      <c r="AI61" s="21">
        <f t="shared" si="1"/>
        <v>0</v>
      </c>
      <c r="AJ61" s="20">
        <f t="shared" si="3"/>
        <v>0</v>
      </c>
      <c r="AK61" s="9"/>
    </row>
    <row r="62" spans="1:37" hidden="1">
      <c r="A62" s="3">
        <v>60</v>
      </c>
      <c r="B62" s="12"/>
      <c r="C62" s="13"/>
      <c r="D62" s="13"/>
      <c r="E62" s="13"/>
      <c r="F62" s="13"/>
      <c r="G62" s="13"/>
      <c r="H62" s="15"/>
      <c r="I62" s="45" t="s">
        <v>719</v>
      </c>
      <c r="J62" s="45" t="s">
        <v>1388</v>
      </c>
      <c r="K62" s="46" t="s">
        <v>663</v>
      </c>
      <c r="L62" s="47" t="s">
        <v>1010</v>
      </c>
      <c r="M62" s="66">
        <f>IFERROR(VLOOKUP($L62,[3]Consolidated!$C$9:$AC$452,27,0),0)</f>
        <v>10649100</v>
      </c>
      <c r="N62" s="66">
        <f>IFERROR(VLOOKUP($L62,[3]Consolidated!$C$9:$AC$452,5,0),0)</f>
        <v>49.999999999999993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4">
        <f>(VLOOKUP($O$2,Prices!$E$3:$K$17,2,FALSE)*O62)+(VLOOKUP($P$2,Prices!$J$3:$K$17,2,FALSE)*P62)+(VLOOKUP($Q$2,Prices!$J$3:$K$17,2,FALSE)*Q62)+(VLOOKUP($R$2,Prices!$J$3:$K$17,2,FALSE)*R62)+(VLOOKUP($S$2,Prices!$J$3:$K$17,2,FALSE)*S62)+(VLOOKUP($T$2,Prices!$J$3:$K$17,2,FALSE)*T62)+(VLOOKUP($U$2,Prices!$J$3:$K$17,2,FALSE)*U62)+(VLOOKUP($V$2,Prices!$J$3:$K$17,2,FALSE)*V62)+(VLOOKUP($W$2,Prices!$J$3:$K$17,2,FALSE)*W62)+(VLOOKUP($X$2,Prices!$J$3:$K$17,2,FALSE)*X62)+(VLOOKUP($Y$2,Prices!$J$3:$K$17,2,FALSE)*Y62)+(VLOOKUP($Z$2,Prices!$J$3:$K$17,2,FALSE)*Z62)+(VLOOKUP($AA$2,Prices!$J$3:$K$17,2,FALSE)*AA62)+(VLOOKUP($AB$2,Prices!$J$3:$K$17,2,FALSE)*AB62)+M62</f>
        <v>10649100</v>
      </c>
      <c r="AD62" s="18"/>
      <c r="AE62" s="18"/>
      <c r="AF62" s="4">
        <f t="shared" si="0"/>
        <v>0</v>
      </c>
      <c r="AG62" s="4"/>
      <c r="AH62" s="16">
        <f t="shared" si="2"/>
        <v>0</v>
      </c>
      <c r="AI62" s="21">
        <f t="shared" si="1"/>
        <v>0</v>
      </c>
      <c r="AJ62" s="20">
        <f t="shared" si="3"/>
        <v>0</v>
      </c>
      <c r="AK62" s="9"/>
    </row>
    <row r="63" spans="1:37" hidden="1">
      <c r="A63" s="3">
        <v>61</v>
      </c>
      <c r="B63" s="12"/>
      <c r="C63" s="13"/>
      <c r="D63" s="13"/>
      <c r="E63" s="13"/>
      <c r="F63" s="13"/>
      <c r="G63" s="13"/>
      <c r="H63" s="15"/>
      <c r="I63" s="45" t="s">
        <v>720</v>
      </c>
      <c r="J63" s="45" t="s">
        <v>1388</v>
      </c>
      <c r="K63" s="46" t="s">
        <v>663</v>
      </c>
      <c r="L63" s="47" t="s">
        <v>1011</v>
      </c>
      <c r="M63" s="66">
        <f>IFERROR(VLOOKUP($L63,[3]Consolidated!$C$9:$AC$452,27,0),0)</f>
        <v>9253500</v>
      </c>
      <c r="N63" s="66">
        <f>IFERROR(VLOOKUP($L63,[3]Consolidated!$C$9:$AC$452,5,0),0)</f>
        <v>40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4">
        <f>(VLOOKUP($O$2,Prices!$E$3:$K$17,2,FALSE)*O63)+(VLOOKUP($P$2,Prices!$J$3:$K$17,2,FALSE)*P63)+(VLOOKUP($Q$2,Prices!$J$3:$K$17,2,FALSE)*Q63)+(VLOOKUP($R$2,Prices!$J$3:$K$17,2,FALSE)*R63)+(VLOOKUP($S$2,Prices!$J$3:$K$17,2,FALSE)*S63)+(VLOOKUP($T$2,Prices!$J$3:$K$17,2,FALSE)*T63)+(VLOOKUP($U$2,Prices!$J$3:$K$17,2,FALSE)*U63)+(VLOOKUP($V$2,Prices!$J$3:$K$17,2,FALSE)*V63)+(VLOOKUP($W$2,Prices!$J$3:$K$17,2,FALSE)*W63)+(VLOOKUP($X$2,Prices!$J$3:$K$17,2,FALSE)*X63)+(VLOOKUP($Y$2,Prices!$J$3:$K$17,2,FALSE)*Y63)+(VLOOKUP($Z$2,Prices!$J$3:$K$17,2,FALSE)*Z63)+(VLOOKUP($AA$2,Prices!$J$3:$K$17,2,FALSE)*AA63)+(VLOOKUP($AB$2,Prices!$J$3:$K$17,2,FALSE)*AB63)+M63</f>
        <v>9253500</v>
      </c>
      <c r="AD63" s="18"/>
      <c r="AE63" s="18"/>
      <c r="AF63" s="4">
        <f t="shared" si="0"/>
        <v>0</v>
      </c>
      <c r="AG63" s="4"/>
      <c r="AH63" s="16">
        <f t="shared" si="2"/>
        <v>0</v>
      </c>
      <c r="AI63" s="21">
        <f t="shared" si="1"/>
        <v>0</v>
      </c>
      <c r="AJ63" s="20">
        <f t="shared" si="3"/>
        <v>0</v>
      </c>
      <c r="AK63" s="9"/>
    </row>
    <row r="64" spans="1:37" hidden="1">
      <c r="A64" s="3">
        <v>62</v>
      </c>
      <c r="B64" s="12"/>
      <c r="C64" s="13"/>
      <c r="D64" s="13"/>
      <c r="E64" s="13"/>
      <c r="F64" s="13"/>
      <c r="G64" s="13"/>
      <c r="H64" s="15"/>
      <c r="I64" s="45" t="s">
        <v>721</v>
      </c>
      <c r="J64" s="45" t="s">
        <v>1388</v>
      </c>
      <c r="K64" s="46" t="s">
        <v>663</v>
      </c>
      <c r="L64" s="47" t="s">
        <v>1012</v>
      </c>
      <c r="M64" s="66">
        <f>IFERROR(VLOOKUP($L64,[3]Consolidated!$C$9:$AC$452,27,0),0)</f>
        <v>9253500</v>
      </c>
      <c r="N64" s="66">
        <f>IFERROR(VLOOKUP($L64,[3]Consolidated!$C$9:$AC$452,5,0),0)</f>
        <v>40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4">
        <f>(VLOOKUP($O$2,Prices!$E$3:$K$17,2,FALSE)*O64)+(VLOOKUP($P$2,Prices!$J$3:$K$17,2,FALSE)*P64)+(VLOOKUP($Q$2,Prices!$J$3:$K$17,2,FALSE)*Q64)+(VLOOKUP($R$2,Prices!$J$3:$K$17,2,FALSE)*R64)+(VLOOKUP($S$2,Prices!$J$3:$K$17,2,FALSE)*S64)+(VLOOKUP($T$2,Prices!$J$3:$K$17,2,FALSE)*T64)+(VLOOKUP($U$2,Prices!$J$3:$K$17,2,FALSE)*U64)+(VLOOKUP($V$2,Prices!$J$3:$K$17,2,FALSE)*V64)+(VLOOKUP($W$2,Prices!$J$3:$K$17,2,FALSE)*W64)+(VLOOKUP($X$2,Prices!$J$3:$K$17,2,FALSE)*X64)+(VLOOKUP($Y$2,Prices!$J$3:$K$17,2,FALSE)*Y64)+(VLOOKUP($Z$2,Prices!$J$3:$K$17,2,FALSE)*Z64)+(VLOOKUP($AA$2,Prices!$J$3:$K$17,2,FALSE)*AA64)+(VLOOKUP($AB$2,Prices!$J$3:$K$17,2,FALSE)*AB64)+M64</f>
        <v>9253500</v>
      </c>
      <c r="AD64" s="18"/>
      <c r="AE64" s="18"/>
      <c r="AF64" s="4">
        <f t="shared" si="0"/>
        <v>0</v>
      </c>
      <c r="AG64" s="4"/>
      <c r="AH64" s="16">
        <f t="shared" si="2"/>
        <v>0</v>
      </c>
      <c r="AI64" s="21">
        <f t="shared" si="1"/>
        <v>0</v>
      </c>
      <c r="AJ64" s="20">
        <f t="shared" si="3"/>
        <v>0</v>
      </c>
      <c r="AK64" s="9"/>
    </row>
    <row r="65" spans="1:37" hidden="1">
      <c r="A65" s="3">
        <v>63</v>
      </c>
      <c r="B65" s="12"/>
      <c r="C65" s="13"/>
      <c r="D65" s="13"/>
      <c r="E65" s="13"/>
      <c r="F65" s="13"/>
      <c r="G65" s="13"/>
      <c r="H65" s="15"/>
      <c r="I65" s="45" t="s">
        <v>723</v>
      </c>
      <c r="J65" s="45" t="s">
        <v>1388</v>
      </c>
      <c r="K65" s="46" t="s">
        <v>663</v>
      </c>
      <c r="L65" s="47" t="s">
        <v>1014</v>
      </c>
      <c r="M65" s="66">
        <f>IFERROR(VLOOKUP($L65,[3]Consolidated!$C$9:$AC$452,27,0),0)</f>
        <v>1852750</v>
      </c>
      <c r="N65" s="66">
        <f>IFERROR(VLOOKUP($L65,[3]Consolidated!$C$9:$AC$452,5,0),0)</f>
        <v>10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4">
        <f>(VLOOKUP($O$2,Prices!$E$3:$K$17,2,FALSE)*O65)+(VLOOKUP($P$2,Prices!$J$3:$K$17,2,FALSE)*P65)+(VLOOKUP($Q$2,Prices!$J$3:$K$17,2,FALSE)*Q65)+(VLOOKUP($R$2,Prices!$J$3:$K$17,2,FALSE)*R65)+(VLOOKUP($S$2,Prices!$J$3:$K$17,2,FALSE)*S65)+(VLOOKUP($T$2,Prices!$J$3:$K$17,2,FALSE)*T65)+(VLOOKUP($U$2,Prices!$J$3:$K$17,2,FALSE)*U65)+(VLOOKUP($V$2,Prices!$J$3:$K$17,2,FALSE)*V65)+(VLOOKUP($W$2,Prices!$J$3:$K$17,2,FALSE)*W65)+(VLOOKUP($X$2,Prices!$J$3:$K$17,2,FALSE)*X65)+(VLOOKUP($Y$2,Prices!$J$3:$K$17,2,FALSE)*Y65)+(VLOOKUP($Z$2,Prices!$J$3:$K$17,2,FALSE)*Z65)+(VLOOKUP($AA$2,Prices!$J$3:$K$17,2,FALSE)*AA65)+(VLOOKUP($AB$2,Prices!$J$3:$K$17,2,FALSE)*AB65)+M65</f>
        <v>1852750</v>
      </c>
      <c r="AD65" s="18"/>
      <c r="AE65" s="18"/>
      <c r="AF65" s="4">
        <f t="shared" si="0"/>
        <v>0</v>
      </c>
      <c r="AG65" s="4"/>
      <c r="AH65" s="16">
        <f t="shared" si="2"/>
        <v>0</v>
      </c>
      <c r="AI65" s="21">
        <f t="shared" si="1"/>
        <v>0</v>
      </c>
      <c r="AJ65" s="20">
        <f t="shared" si="3"/>
        <v>0</v>
      </c>
      <c r="AK65" s="9"/>
    </row>
    <row r="66" spans="1:37" hidden="1">
      <c r="A66" s="3">
        <v>64</v>
      </c>
      <c r="B66" s="12"/>
      <c r="C66" s="13"/>
      <c r="D66" s="13"/>
      <c r="E66" s="13"/>
      <c r="F66" s="13"/>
      <c r="G66" s="13"/>
      <c r="H66" s="15"/>
      <c r="I66" s="45" t="s">
        <v>724</v>
      </c>
      <c r="J66" s="45" t="s">
        <v>1388</v>
      </c>
      <c r="K66" s="46" t="s">
        <v>663</v>
      </c>
      <c r="L66" s="47" t="s">
        <v>1015</v>
      </c>
      <c r="M66" s="66">
        <f>IFERROR(VLOOKUP($L66,[3]Consolidated!$C$9:$AC$452,27,0),0)</f>
        <v>2812600</v>
      </c>
      <c r="N66" s="66">
        <f>IFERROR(VLOOKUP($L66,[3]Consolidated!$C$9:$AC$452,5,0),0)</f>
        <v>14.999999999999998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4">
        <f>(VLOOKUP($O$2,Prices!$E$3:$K$17,2,FALSE)*O66)+(VLOOKUP($P$2,Prices!$J$3:$K$17,2,FALSE)*P66)+(VLOOKUP($Q$2,Prices!$J$3:$K$17,2,FALSE)*Q66)+(VLOOKUP($R$2,Prices!$J$3:$K$17,2,FALSE)*R66)+(VLOOKUP($S$2,Prices!$J$3:$K$17,2,FALSE)*S66)+(VLOOKUP($T$2,Prices!$J$3:$K$17,2,FALSE)*T66)+(VLOOKUP($U$2,Prices!$J$3:$K$17,2,FALSE)*U66)+(VLOOKUP($V$2,Prices!$J$3:$K$17,2,FALSE)*V66)+(VLOOKUP($W$2,Prices!$J$3:$K$17,2,FALSE)*W66)+(VLOOKUP($X$2,Prices!$J$3:$K$17,2,FALSE)*X66)+(VLOOKUP($Y$2,Prices!$J$3:$K$17,2,FALSE)*Y66)+(VLOOKUP($Z$2,Prices!$J$3:$K$17,2,FALSE)*Z66)+(VLOOKUP($AA$2,Prices!$J$3:$K$17,2,FALSE)*AA66)+(VLOOKUP($AB$2,Prices!$J$3:$K$17,2,FALSE)*AB66)+M66</f>
        <v>2812600</v>
      </c>
      <c r="AD66" s="18"/>
      <c r="AE66" s="18"/>
      <c r="AF66" s="4">
        <f t="shared" si="0"/>
        <v>0</v>
      </c>
      <c r="AG66" s="4"/>
      <c r="AH66" s="16">
        <f t="shared" si="2"/>
        <v>0</v>
      </c>
      <c r="AI66" s="21">
        <f t="shared" si="1"/>
        <v>0</v>
      </c>
      <c r="AJ66" s="20">
        <f t="shared" si="3"/>
        <v>0</v>
      </c>
      <c r="AK66" s="9"/>
    </row>
    <row r="67" spans="1:37" hidden="1">
      <c r="A67" s="3">
        <v>65</v>
      </c>
      <c r="B67" s="12"/>
      <c r="C67" s="13"/>
      <c r="D67" s="13"/>
      <c r="E67" s="13"/>
      <c r="F67" s="13"/>
      <c r="G67" s="13"/>
      <c r="H67" s="15"/>
      <c r="I67" s="45" t="s">
        <v>725</v>
      </c>
      <c r="J67" s="45" t="s">
        <v>1388</v>
      </c>
      <c r="K67" s="46" t="s">
        <v>663</v>
      </c>
      <c r="L67" s="47" t="s">
        <v>1016</v>
      </c>
      <c r="M67" s="66">
        <f>IFERROR(VLOOKUP($L67,[3]Consolidated!$C$9:$AC$452,27,0),0)</f>
        <v>7200500</v>
      </c>
      <c r="N67" s="66">
        <f>IFERROR(VLOOKUP($L67,[3]Consolidated!$C$9:$AC$452,5,0),0)</f>
        <v>35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4">
        <f>(VLOOKUP($O$2,Prices!$E$3:$K$17,2,FALSE)*O67)+(VLOOKUP($P$2,Prices!$J$3:$K$17,2,FALSE)*P67)+(VLOOKUP($Q$2,Prices!$J$3:$K$17,2,FALSE)*Q67)+(VLOOKUP($R$2,Prices!$J$3:$K$17,2,FALSE)*R67)+(VLOOKUP($S$2,Prices!$J$3:$K$17,2,FALSE)*S67)+(VLOOKUP($T$2,Prices!$J$3:$K$17,2,FALSE)*T67)+(VLOOKUP($U$2,Prices!$J$3:$K$17,2,FALSE)*U67)+(VLOOKUP($V$2,Prices!$J$3:$K$17,2,FALSE)*V67)+(VLOOKUP($W$2,Prices!$J$3:$K$17,2,FALSE)*W67)+(VLOOKUP($X$2,Prices!$J$3:$K$17,2,FALSE)*X67)+(VLOOKUP($Y$2,Prices!$J$3:$K$17,2,FALSE)*Y67)+(VLOOKUP($Z$2,Prices!$J$3:$K$17,2,FALSE)*Z67)+(VLOOKUP($AA$2,Prices!$J$3:$K$17,2,FALSE)*AA67)+(VLOOKUP($AB$2,Prices!$J$3:$K$17,2,FALSE)*AB67)+M67</f>
        <v>7200500</v>
      </c>
      <c r="AD67" s="18"/>
      <c r="AE67" s="18"/>
      <c r="AF67" s="4">
        <f t="shared" ref="AF67:AF114" si="4">AD67-AE67</f>
        <v>0</v>
      </c>
      <c r="AG67" s="4"/>
      <c r="AH67" s="16">
        <f t="shared" si="2"/>
        <v>0</v>
      </c>
      <c r="AI67" s="21">
        <f t="shared" ref="AI67:AI131" si="5">AH67/M67</f>
        <v>0</v>
      </c>
      <c r="AJ67" s="20">
        <f t="shared" si="3"/>
        <v>0</v>
      </c>
      <c r="AK67" s="9"/>
    </row>
    <row r="68" spans="1:37" hidden="1">
      <c r="A68" s="3">
        <v>66</v>
      </c>
      <c r="B68" s="12"/>
      <c r="C68" s="13"/>
      <c r="D68" s="13"/>
      <c r="E68" s="13"/>
      <c r="F68" s="13"/>
      <c r="G68" s="13"/>
      <c r="H68" s="15"/>
      <c r="I68" s="45" t="s">
        <v>726</v>
      </c>
      <c r="J68" s="45" t="s">
        <v>1388</v>
      </c>
      <c r="K68" s="46" t="s">
        <v>663</v>
      </c>
      <c r="L68" s="47" t="s">
        <v>1017</v>
      </c>
      <c r="M68" s="66">
        <f>IFERROR(VLOOKUP($L68,[3]Consolidated!$C$9:$AC$452,27,0),0)</f>
        <v>16363250</v>
      </c>
      <c r="N68" s="66">
        <f>IFERROR(VLOOKUP($L68,[3]Consolidated!$C$9:$AC$452,5,0),0)</f>
        <v>70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4">
        <f>(VLOOKUP($O$2,Prices!$E$3:$K$17,2,FALSE)*O68)+(VLOOKUP($P$2,Prices!$J$3:$K$17,2,FALSE)*P68)+(VLOOKUP($Q$2,Prices!$J$3:$K$17,2,FALSE)*Q68)+(VLOOKUP($R$2,Prices!$J$3:$K$17,2,FALSE)*R68)+(VLOOKUP($S$2,Prices!$J$3:$K$17,2,FALSE)*S68)+(VLOOKUP($T$2,Prices!$J$3:$K$17,2,FALSE)*T68)+(VLOOKUP($U$2,Prices!$J$3:$K$17,2,FALSE)*U68)+(VLOOKUP($V$2,Prices!$J$3:$K$17,2,FALSE)*V68)+(VLOOKUP($W$2,Prices!$J$3:$K$17,2,FALSE)*W68)+(VLOOKUP($X$2,Prices!$J$3:$K$17,2,FALSE)*X68)+(VLOOKUP($Y$2,Prices!$J$3:$K$17,2,FALSE)*Y68)+(VLOOKUP($Z$2,Prices!$J$3:$K$17,2,FALSE)*Z68)+(VLOOKUP($AA$2,Prices!$J$3:$K$17,2,FALSE)*AA68)+(VLOOKUP($AB$2,Prices!$J$3:$K$17,2,FALSE)*AB68)+M68</f>
        <v>16363250</v>
      </c>
      <c r="AD68" s="18"/>
      <c r="AE68" s="18"/>
      <c r="AF68" s="4">
        <f t="shared" si="4"/>
        <v>0</v>
      </c>
      <c r="AG68" s="4"/>
      <c r="AH68" s="16">
        <f t="shared" ref="AH68:AH114" si="6">AD68+AG68</f>
        <v>0</v>
      </c>
      <c r="AI68" s="21">
        <f t="shared" si="5"/>
        <v>0</v>
      </c>
      <c r="AJ68" s="20">
        <f t="shared" si="3"/>
        <v>0</v>
      </c>
      <c r="AK68" s="9"/>
    </row>
    <row r="69" spans="1:37" hidden="1">
      <c r="A69" s="3">
        <v>67</v>
      </c>
      <c r="B69" s="12"/>
      <c r="C69" s="13"/>
      <c r="D69" s="13"/>
      <c r="E69" s="13"/>
      <c r="F69" s="13"/>
      <c r="G69" s="13"/>
      <c r="H69" s="15"/>
      <c r="I69" s="45" t="s">
        <v>727</v>
      </c>
      <c r="J69" s="45" t="s">
        <v>1388</v>
      </c>
      <c r="K69" s="46" t="s">
        <v>663</v>
      </c>
      <c r="L69" s="46" t="s">
        <v>1018</v>
      </c>
      <c r="M69" s="66">
        <f>IFERROR(VLOOKUP($L69,[3]Consolidated!$C$9:$AC$452,27,0),0)</f>
        <v>7951500</v>
      </c>
      <c r="N69" s="66">
        <f>IFERROR(VLOOKUP($L69,[3]Consolidated!$C$9:$AC$452,5,0),0)</f>
        <v>40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4">
        <f>(VLOOKUP($O$2,Prices!$E$3:$K$17,2,FALSE)*O69)+(VLOOKUP($P$2,Prices!$J$3:$K$17,2,FALSE)*P69)+(VLOOKUP($Q$2,Prices!$J$3:$K$17,2,FALSE)*Q69)+(VLOOKUP($R$2,Prices!$J$3:$K$17,2,FALSE)*R69)+(VLOOKUP($S$2,Prices!$J$3:$K$17,2,FALSE)*S69)+(VLOOKUP($T$2,Prices!$J$3:$K$17,2,FALSE)*T69)+(VLOOKUP($U$2,Prices!$J$3:$K$17,2,FALSE)*U69)+(VLOOKUP($V$2,Prices!$J$3:$K$17,2,FALSE)*V69)+(VLOOKUP($W$2,Prices!$J$3:$K$17,2,FALSE)*W69)+(VLOOKUP($X$2,Prices!$J$3:$K$17,2,FALSE)*X69)+(VLOOKUP($Y$2,Prices!$J$3:$K$17,2,FALSE)*Y69)+(VLOOKUP($Z$2,Prices!$J$3:$K$17,2,FALSE)*Z69)+(VLOOKUP($AA$2,Prices!$J$3:$K$17,2,FALSE)*AA69)+(VLOOKUP($AB$2,Prices!$J$3:$K$17,2,FALSE)*AB69)+M69</f>
        <v>7951500</v>
      </c>
      <c r="AD69" s="18"/>
      <c r="AE69" s="18"/>
      <c r="AF69" s="4">
        <f t="shared" si="4"/>
        <v>0</v>
      </c>
      <c r="AG69" s="4"/>
      <c r="AH69" s="16">
        <f t="shared" si="6"/>
        <v>0</v>
      </c>
      <c r="AI69" s="21">
        <f t="shared" si="5"/>
        <v>0</v>
      </c>
      <c r="AJ69" s="20">
        <f t="shared" ref="AJ69:AJ114" si="7">AH69/AC69</f>
        <v>0</v>
      </c>
      <c r="AK69" s="9"/>
    </row>
    <row r="70" spans="1:37" hidden="1">
      <c r="A70" s="3">
        <v>68</v>
      </c>
      <c r="B70" s="12"/>
      <c r="C70" s="13"/>
      <c r="D70" s="13"/>
      <c r="E70" s="13"/>
      <c r="F70" s="13"/>
      <c r="G70" s="13"/>
      <c r="H70" s="15"/>
      <c r="I70" s="45" t="s">
        <v>728</v>
      </c>
      <c r="J70" s="45" t="s">
        <v>1388</v>
      </c>
      <c r="K70" s="46" t="s">
        <v>663</v>
      </c>
      <c r="L70" s="46" t="s">
        <v>1019</v>
      </c>
      <c r="M70" s="66">
        <f>IFERROR(VLOOKUP($L70,[3]Consolidated!$C$9:$AC$452,27,0),0)</f>
        <v>2812600</v>
      </c>
      <c r="N70" s="66">
        <f>IFERROR(VLOOKUP($L70,[3]Consolidated!$C$9:$AC$452,5,0),0)</f>
        <v>14.999999999999998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4">
        <f>(VLOOKUP($O$2,Prices!$E$3:$K$17,2,FALSE)*O70)+(VLOOKUP($P$2,Prices!$J$3:$K$17,2,FALSE)*P70)+(VLOOKUP($Q$2,Prices!$J$3:$K$17,2,FALSE)*Q70)+(VLOOKUP($R$2,Prices!$J$3:$K$17,2,FALSE)*R70)+(VLOOKUP($S$2,Prices!$J$3:$K$17,2,FALSE)*S70)+(VLOOKUP($T$2,Prices!$J$3:$K$17,2,FALSE)*T70)+(VLOOKUP($U$2,Prices!$J$3:$K$17,2,FALSE)*U70)+(VLOOKUP($V$2,Prices!$J$3:$K$17,2,FALSE)*V70)+(VLOOKUP($W$2,Prices!$J$3:$K$17,2,FALSE)*W70)+(VLOOKUP($X$2,Prices!$J$3:$K$17,2,FALSE)*X70)+(VLOOKUP($Y$2,Prices!$J$3:$K$17,2,FALSE)*Y70)+(VLOOKUP($Z$2,Prices!$J$3:$K$17,2,FALSE)*Z70)+(VLOOKUP($AA$2,Prices!$J$3:$K$17,2,FALSE)*AA70)+(VLOOKUP($AB$2,Prices!$J$3:$K$17,2,FALSE)*AB70)+M70</f>
        <v>2812600</v>
      </c>
      <c r="AD70" s="18"/>
      <c r="AE70" s="18"/>
      <c r="AF70" s="4">
        <f t="shared" si="4"/>
        <v>0</v>
      </c>
      <c r="AG70" s="4"/>
      <c r="AH70" s="16">
        <f t="shared" si="6"/>
        <v>0</v>
      </c>
      <c r="AI70" s="21">
        <f t="shared" si="5"/>
        <v>0</v>
      </c>
      <c r="AJ70" s="20">
        <f t="shared" si="7"/>
        <v>0</v>
      </c>
      <c r="AK70" s="9"/>
    </row>
    <row r="71" spans="1:37" hidden="1">
      <c r="A71" s="3">
        <v>69</v>
      </c>
      <c r="B71" s="12"/>
      <c r="C71" s="13"/>
      <c r="D71" s="13"/>
      <c r="E71" s="13"/>
      <c r="F71" s="13"/>
      <c r="G71" s="13"/>
      <c r="H71" s="15"/>
      <c r="I71" s="45" t="s">
        <v>729</v>
      </c>
      <c r="J71" s="45" t="s">
        <v>1388</v>
      </c>
      <c r="K71" s="46" t="s">
        <v>663</v>
      </c>
      <c r="L71" s="46" t="s">
        <v>1020</v>
      </c>
      <c r="M71" s="66">
        <f>IFERROR(VLOOKUP($L71,[3]Consolidated!$C$9:$AC$452,27,0),0)</f>
        <v>9492500</v>
      </c>
      <c r="N71" s="66">
        <f>IFERROR(VLOOKUP($L71,[3]Consolidated!$C$9:$AC$452,5,0),0)</f>
        <v>40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4">
        <f>(VLOOKUP($O$2,Prices!$E$3:$K$17,2,FALSE)*O71)+(VLOOKUP($P$2,Prices!$J$3:$K$17,2,FALSE)*P71)+(VLOOKUP($Q$2,Prices!$J$3:$K$17,2,FALSE)*Q71)+(VLOOKUP($R$2,Prices!$J$3:$K$17,2,FALSE)*R71)+(VLOOKUP($S$2,Prices!$J$3:$K$17,2,FALSE)*S71)+(VLOOKUP($T$2,Prices!$J$3:$K$17,2,FALSE)*T71)+(VLOOKUP($U$2,Prices!$J$3:$K$17,2,FALSE)*U71)+(VLOOKUP($V$2,Prices!$J$3:$K$17,2,FALSE)*V71)+(VLOOKUP($W$2,Prices!$J$3:$K$17,2,FALSE)*W71)+(VLOOKUP($X$2,Prices!$J$3:$K$17,2,FALSE)*X71)+(VLOOKUP($Y$2,Prices!$J$3:$K$17,2,FALSE)*Y71)+(VLOOKUP($Z$2,Prices!$J$3:$K$17,2,FALSE)*Z71)+(VLOOKUP($AA$2,Prices!$J$3:$K$17,2,FALSE)*AA71)+(VLOOKUP($AB$2,Prices!$J$3:$K$17,2,FALSE)*AB71)+M71</f>
        <v>9492500</v>
      </c>
      <c r="AD71" s="18"/>
      <c r="AE71" s="18"/>
      <c r="AF71" s="4">
        <f t="shared" si="4"/>
        <v>0</v>
      </c>
      <c r="AG71" s="4"/>
      <c r="AH71" s="16">
        <f t="shared" si="6"/>
        <v>0</v>
      </c>
      <c r="AI71" s="21">
        <f t="shared" si="5"/>
        <v>0</v>
      </c>
      <c r="AJ71" s="20">
        <f t="shared" si="7"/>
        <v>0</v>
      </c>
      <c r="AK71" s="19"/>
    </row>
    <row r="72" spans="1:37" hidden="1">
      <c r="A72" s="3">
        <v>70</v>
      </c>
      <c r="B72" s="12"/>
      <c r="C72" s="13"/>
      <c r="D72" s="13"/>
      <c r="E72" s="13"/>
      <c r="F72" s="13"/>
      <c r="G72" s="13"/>
      <c r="H72" s="15"/>
      <c r="I72" s="45" t="s">
        <v>731</v>
      </c>
      <c r="J72" s="45" t="s">
        <v>1388</v>
      </c>
      <c r="K72" s="46" t="s">
        <v>663</v>
      </c>
      <c r="L72" s="46" t="s">
        <v>1022</v>
      </c>
      <c r="M72" s="66">
        <f>IFERROR(VLOOKUP($L72,[3]Consolidated!$C$9:$AC$452,27,0),0)</f>
        <v>1941500</v>
      </c>
      <c r="N72" s="66">
        <f>IFERROR(VLOOKUP($L72,[3]Consolidated!$C$9:$AC$452,5,0),0)</f>
        <v>10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4">
        <f>(VLOOKUP($O$2,Prices!$E$3:$K$17,2,FALSE)*O72)+(VLOOKUP($P$2,Prices!$J$3:$K$17,2,FALSE)*P72)+(VLOOKUP($Q$2,Prices!$J$3:$K$17,2,FALSE)*Q72)+(VLOOKUP($R$2,Prices!$J$3:$K$17,2,FALSE)*R72)+(VLOOKUP($S$2,Prices!$J$3:$K$17,2,FALSE)*S72)+(VLOOKUP($T$2,Prices!$J$3:$K$17,2,FALSE)*T72)+(VLOOKUP($U$2,Prices!$J$3:$K$17,2,FALSE)*U72)+(VLOOKUP($V$2,Prices!$J$3:$K$17,2,FALSE)*V72)+(VLOOKUP($W$2,Prices!$J$3:$K$17,2,FALSE)*W72)+(VLOOKUP($X$2,Prices!$J$3:$K$17,2,FALSE)*X72)+(VLOOKUP($Y$2,Prices!$J$3:$K$17,2,FALSE)*Y72)+(VLOOKUP($Z$2,Prices!$J$3:$K$17,2,FALSE)*Z72)+(VLOOKUP($AA$2,Prices!$J$3:$K$17,2,FALSE)*AA72)+(VLOOKUP($AB$2,Prices!$J$3:$K$17,2,FALSE)*AB72)+M72</f>
        <v>1941500</v>
      </c>
      <c r="AD72" s="18"/>
      <c r="AE72" s="18"/>
      <c r="AF72" s="4">
        <f t="shared" si="4"/>
        <v>0</v>
      </c>
      <c r="AG72" s="4"/>
      <c r="AH72" s="16">
        <f t="shared" si="6"/>
        <v>0</v>
      </c>
      <c r="AI72" s="21">
        <f t="shared" si="5"/>
        <v>0</v>
      </c>
      <c r="AJ72" s="20">
        <f t="shared" si="7"/>
        <v>0</v>
      </c>
      <c r="AK72" s="9"/>
    </row>
    <row r="73" spans="1:37" hidden="1">
      <c r="A73" s="3">
        <v>71</v>
      </c>
      <c r="B73" s="12"/>
      <c r="C73" s="13"/>
      <c r="D73" s="13"/>
      <c r="E73" s="13"/>
      <c r="F73" s="13"/>
      <c r="G73" s="13"/>
      <c r="H73" s="15"/>
      <c r="I73" s="45" t="s">
        <v>732</v>
      </c>
      <c r="J73" s="45" t="s">
        <v>1388</v>
      </c>
      <c r="K73" s="46" t="s">
        <v>663</v>
      </c>
      <c r="L73" s="47" t="s">
        <v>1023</v>
      </c>
      <c r="M73" s="66">
        <f>IFERROR(VLOOKUP($L73,[3]Consolidated!$C$9:$AC$452,27,0),0)</f>
        <v>1972500</v>
      </c>
      <c r="N73" s="66">
        <f>IFERROR(VLOOKUP($L73,[3]Consolidated!$C$9:$AC$452,5,0),0)</f>
        <v>10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4">
        <f>(VLOOKUP($O$2,Prices!$E$3:$K$17,2,FALSE)*O73)+(VLOOKUP($P$2,Prices!$J$3:$K$17,2,FALSE)*P73)+(VLOOKUP($Q$2,Prices!$J$3:$K$17,2,FALSE)*Q73)+(VLOOKUP($R$2,Prices!$J$3:$K$17,2,FALSE)*R73)+(VLOOKUP($S$2,Prices!$J$3:$K$17,2,FALSE)*S73)+(VLOOKUP($T$2,Prices!$J$3:$K$17,2,FALSE)*T73)+(VLOOKUP($U$2,Prices!$J$3:$K$17,2,FALSE)*U73)+(VLOOKUP($V$2,Prices!$J$3:$K$17,2,FALSE)*V73)+(VLOOKUP($W$2,Prices!$J$3:$K$17,2,FALSE)*W73)+(VLOOKUP($X$2,Prices!$J$3:$K$17,2,FALSE)*X73)+(VLOOKUP($Y$2,Prices!$J$3:$K$17,2,FALSE)*Y73)+(VLOOKUP($Z$2,Prices!$J$3:$K$17,2,FALSE)*Z73)+(VLOOKUP($AA$2,Prices!$J$3:$K$17,2,FALSE)*AA73)+(VLOOKUP($AB$2,Prices!$J$3:$K$17,2,FALSE)*AB73)+M73</f>
        <v>1972500</v>
      </c>
      <c r="AD73" s="18"/>
      <c r="AE73" s="18"/>
      <c r="AF73" s="4">
        <f t="shared" si="4"/>
        <v>0</v>
      </c>
      <c r="AG73" s="4"/>
      <c r="AH73" s="16">
        <f t="shared" si="6"/>
        <v>0</v>
      </c>
      <c r="AI73" s="21">
        <f t="shared" si="5"/>
        <v>0</v>
      </c>
      <c r="AJ73" s="20">
        <f t="shared" si="7"/>
        <v>0</v>
      </c>
      <c r="AK73" s="9"/>
    </row>
    <row r="74" spans="1:37" hidden="1">
      <c r="A74" s="3">
        <v>72</v>
      </c>
      <c r="B74" s="12"/>
      <c r="C74" s="13"/>
      <c r="D74" s="13"/>
      <c r="E74" s="13"/>
      <c r="F74" s="13"/>
      <c r="G74" s="13"/>
      <c r="H74" s="15"/>
      <c r="I74" s="45" t="s">
        <v>733</v>
      </c>
      <c r="J74" s="45" t="s">
        <v>1388</v>
      </c>
      <c r="K74" s="46" t="s">
        <v>663</v>
      </c>
      <c r="L74" s="47" t="s">
        <v>1024</v>
      </c>
      <c r="M74" s="66">
        <f>IFERROR(VLOOKUP($L74,[3]Consolidated!$C$9:$AC$452,27,0),0)</f>
        <v>0</v>
      </c>
      <c r="N74" s="66">
        <f>IFERROR(VLOOKUP($L74,[3]Consolidated!$C$9:$AC$452,5,0),0)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4">
        <f>(VLOOKUP($O$2,Prices!$E$3:$K$17,2,FALSE)*O74)+(VLOOKUP($P$2,Prices!$J$3:$K$17,2,FALSE)*P74)+(VLOOKUP($Q$2,Prices!$J$3:$K$17,2,FALSE)*Q74)+(VLOOKUP($R$2,Prices!$J$3:$K$17,2,FALSE)*R74)+(VLOOKUP($S$2,Prices!$J$3:$K$17,2,FALSE)*S74)+(VLOOKUP($T$2,Prices!$J$3:$K$17,2,FALSE)*T74)+(VLOOKUP($U$2,Prices!$J$3:$K$17,2,FALSE)*U74)+(VLOOKUP($V$2,Prices!$J$3:$K$17,2,FALSE)*V74)+(VLOOKUP($W$2,Prices!$J$3:$K$17,2,FALSE)*W74)+(VLOOKUP($X$2,Prices!$J$3:$K$17,2,FALSE)*X74)+(VLOOKUP($Y$2,Prices!$J$3:$K$17,2,FALSE)*Y74)+(VLOOKUP($Z$2,Prices!$J$3:$K$17,2,FALSE)*Z74)+(VLOOKUP($AA$2,Prices!$J$3:$K$17,2,FALSE)*AA74)+(VLOOKUP($AB$2,Prices!$J$3:$K$17,2,FALSE)*AB74)+M74</f>
        <v>0</v>
      </c>
      <c r="AD74" s="18"/>
      <c r="AE74" s="18"/>
      <c r="AF74" s="4">
        <f t="shared" si="4"/>
        <v>0</v>
      </c>
      <c r="AG74" s="4"/>
      <c r="AH74" s="16">
        <f t="shared" si="6"/>
        <v>0</v>
      </c>
      <c r="AI74" s="21" t="e">
        <f t="shared" si="5"/>
        <v>#DIV/0!</v>
      </c>
      <c r="AJ74" s="20" t="e">
        <f t="shared" si="7"/>
        <v>#DIV/0!</v>
      </c>
      <c r="AK74" s="9"/>
    </row>
    <row r="75" spans="1:37" hidden="1">
      <c r="A75" s="3">
        <v>73</v>
      </c>
      <c r="B75" s="12"/>
      <c r="C75" s="13"/>
      <c r="D75" s="13"/>
      <c r="E75" s="13"/>
      <c r="F75" s="13"/>
      <c r="G75" s="13"/>
      <c r="H75" s="15"/>
      <c r="I75" s="45" t="s">
        <v>734</v>
      </c>
      <c r="J75" s="45" t="s">
        <v>1388</v>
      </c>
      <c r="K75" s="46" t="s">
        <v>663</v>
      </c>
      <c r="L75" s="47" t="s">
        <v>1025</v>
      </c>
      <c r="M75" s="66">
        <f>IFERROR(VLOOKUP($L75,[3]Consolidated!$C$9:$AC$452,27,0),0)</f>
        <v>11558500</v>
      </c>
      <c r="N75" s="66">
        <f>IFERROR(VLOOKUP($L75,[3]Consolidated!$C$9:$AC$452,5,0),0)</f>
        <v>50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4">
        <f>(VLOOKUP($O$2,Prices!$E$3:$K$17,2,FALSE)*O75)+(VLOOKUP($P$2,Prices!$J$3:$K$17,2,FALSE)*P75)+(VLOOKUP($Q$2,Prices!$J$3:$K$17,2,FALSE)*Q75)+(VLOOKUP($R$2,Prices!$J$3:$K$17,2,FALSE)*R75)+(VLOOKUP($S$2,Prices!$J$3:$K$17,2,FALSE)*S75)+(VLOOKUP($T$2,Prices!$J$3:$K$17,2,FALSE)*T75)+(VLOOKUP($U$2,Prices!$J$3:$K$17,2,FALSE)*U75)+(VLOOKUP($V$2,Prices!$J$3:$K$17,2,FALSE)*V75)+(VLOOKUP($W$2,Prices!$J$3:$K$17,2,FALSE)*W75)+(VLOOKUP($X$2,Prices!$J$3:$K$17,2,FALSE)*X75)+(VLOOKUP($Y$2,Prices!$J$3:$K$17,2,FALSE)*Y75)+(VLOOKUP($Z$2,Prices!$J$3:$K$17,2,FALSE)*Z75)+(VLOOKUP($AA$2,Prices!$J$3:$K$17,2,FALSE)*AA75)+(VLOOKUP($AB$2,Prices!$J$3:$K$17,2,FALSE)*AB75)+M75</f>
        <v>11558500</v>
      </c>
      <c r="AD75" s="18"/>
      <c r="AE75" s="18"/>
      <c r="AF75" s="4">
        <f t="shared" si="4"/>
        <v>0</v>
      </c>
      <c r="AG75" s="4"/>
      <c r="AH75" s="16">
        <f t="shared" si="6"/>
        <v>0</v>
      </c>
      <c r="AI75" s="21">
        <f t="shared" si="5"/>
        <v>0</v>
      </c>
      <c r="AJ75" s="20">
        <f t="shared" si="7"/>
        <v>0</v>
      </c>
      <c r="AK75" s="9"/>
    </row>
    <row r="76" spans="1:37" hidden="1">
      <c r="A76" s="3">
        <v>74</v>
      </c>
      <c r="B76" s="12"/>
      <c r="C76" s="13"/>
      <c r="D76" s="13"/>
      <c r="E76" s="13"/>
      <c r="F76" s="13"/>
      <c r="G76" s="13"/>
      <c r="H76" s="15"/>
      <c r="I76" s="45" t="s">
        <v>736</v>
      </c>
      <c r="J76" s="45" t="s">
        <v>1388</v>
      </c>
      <c r="K76" s="46" t="s">
        <v>663</v>
      </c>
      <c r="L76" s="47" t="s">
        <v>1027</v>
      </c>
      <c r="M76" s="66">
        <f>IFERROR(VLOOKUP($L76,[3]Consolidated!$C$9:$AC$452,27,0),0)</f>
        <v>2838750</v>
      </c>
      <c r="N76" s="66">
        <f>IFERROR(VLOOKUP($L76,[3]Consolidated!$C$9:$AC$452,5,0),0)</f>
        <v>15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4">
        <f>(VLOOKUP($O$2,Prices!$E$3:$K$17,2,FALSE)*O76)+(VLOOKUP($P$2,Prices!$J$3:$K$17,2,FALSE)*P76)+(VLOOKUP($Q$2,Prices!$J$3:$K$17,2,FALSE)*Q76)+(VLOOKUP($R$2,Prices!$J$3:$K$17,2,FALSE)*R76)+(VLOOKUP($S$2,Prices!$J$3:$K$17,2,FALSE)*S76)+(VLOOKUP($T$2,Prices!$J$3:$K$17,2,FALSE)*T76)+(VLOOKUP($U$2,Prices!$J$3:$K$17,2,FALSE)*U76)+(VLOOKUP($V$2,Prices!$J$3:$K$17,2,FALSE)*V76)+(VLOOKUP($W$2,Prices!$J$3:$K$17,2,FALSE)*W76)+(VLOOKUP($X$2,Prices!$J$3:$K$17,2,FALSE)*X76)+(VLOOKUP($Y$2,Prices!$J$3:$K$17,2,FALSE)*Y76)+(VLOOKUP($Z$2,Prices!$J$3:$K$17,2,FALSE)*Z76)+(VLOOKUP($AA$2,Prices!$J$3:$K$17,2,FALSE)*AA76)+(VLOOKUP($AB$2,Prices!$J$3:$K$17,2,FALSE)*AB76)+M76</f>
        <v>2838750</v>
      </c>
      <c r="AD76" s="18"/>
      <c r="AE76" s="18"/>
      <c r="AF76" s="4">
        <f t="shared" si="4"/>
        <v>0</v>
      </c>
      <c r="AG76" s="4"/>
      <c r="AH76" s="16">
        <f t="shared" si="6"/>
        <v>0</v>
      </c>
      <c r="AI76" s="21">
        <f t="shared" si="5"/>
        <v>0</v>
      </c>
      <c r="AJ76" s="20">
        <f t="shared" si="7"/>
        <v>0</v>
      </c>
      <c r="AK76" s="9"/>
    </row>
    <row r="77" spans="1:37" hidden="1">
      <c r="A77" s="3">
        <v>75</v>
      </c>
      <c r="B77" s="12"/>
      <c r="C77" s="13"/>
      <c r="D77" s="13"/>
      <c r="E77" s="13"/>
      <c r="F77" s="13"/>
      <c r="G77" s="13"/>
      <c r="H77" s="15"/>
      <c r="I77" s="45" t="s">
        <v>737</v>
      </c>
      <c r="J77" s="45" t="s">
        <v>1388</v>
      </c>
      <c r="K77" s="46" t="s">
        <v>663</v>
      </c>
      <c r="L77" s="47" t="s">
        <v>1028</v>
      </c>
      <c r="M77" s="66">
        <f>IFERROR(VLOOKUP($L77,[3]Consolidated!$C$9:$AC$452,27,0),0)</f>
        <v>2812600</v>
      </c>
      <c r="N77" s="66">
        <f>IFERROR(VLOOKUP($L77,[3]Consolidated!$C$9:$AC$452,5,0),0)</f>
        <v>14.999999999999998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4">
        <f>(VLOOKUP($O$2,Prices!$E$3:$K$17,2,FALSE)*O77)+(VLOOKUP($P$2,Prices!$J$3:$K$17,2,FALSE)*P77)+(VLOOKUP($Q$2,Prices!$J$3:$K$17,2,FALSE)*Q77)+(VLOOKUP($R$2,Prices!$J$3:$K$17,2,FALSE)*R77)+(VLOOKUP($S$2,Prices!$J$3:$K$17,2,FALSE)*S77)+(VLOOKUP($T$2,Prices!$J$3:$K$17,2,FALSE)*T77)+(VLOOKUP($U$2,Prices!$J$3:$K$17,2,FALSE)*U77)+(VLOOKUP($V$2,Prices!$J$3:$K$17,2,FALSE)*V77)+(VLOOKUP($W$2,Prices!$J$3:$K$17,2,FALSE)*W77)+(VLOOKUP($X$2,Prices!$J$3:$K$17,2,FALSE)*X77)+(VLOOKUP($Y$2,Prices!$J$3:$K$17,2,FALSE)*Y77)+(VLOOKUP($Z$2,Prices!$J$3:$K$17,2,FALSE)*Z77)+(VLOOKUP($AA$2,Prices!$J$3:$K$17,2,FALSE)*AA77)+(VLOOKUP($AB$2,Prices!$J$3:$K$17,2,FALSE)*AB77)+M77</f>
        <v>2812600</v>
      </c>
      <c r="AD77" s="18"/>
      <c r="AE77" s="18"/>
      <c r="AF77" s="4">
        <f t="shared" si="4"/>
        <v>0</v>
      </c>
      <c r="AG77" s="4"/>
      <c r="AH77" s="16">
        <f t="shared" si="6"/>
        <v>0</v>
      </c>
      <c r="AI77" s="21">
        <f t="shared" si="5"/>
        <v>0</v>
      </c>
      <c r="AJ77" s="20">
        <f t="shared" si="7"/>
        <v>0</v>
      </c>
      <c r="AK77" s="9"/>
    </row>
    <row r="78" spans="1:37" hidden="1">
      <c r="A78" s="3">
        <v>76</v>
      </c>
      <c r="B78" s="12"/>
      <c r="C78" s="13"/>
      <c r="D78" s="13"/>
      <c r="E78" s="13"/>
      <c r="F78" s="13"/>
      <c r="G78" s="13"/>
      <c r="H78" s="15"/>
      <c r="I78" s="45" t="s">
        <v>738</v>
      </c>
      <c r="J78" s="45" t="s">
        <v>1388</v>
      </c>
      <c r="K78" s="46" t="s">
        <v>663</v>
      </c>
      <c r="L78" s="47" t="s">
        <v>1029</v>
      </c>
      <c r="M78" s="66">
        <f>IFERROR(VLOOKUP($L78,[3]Consolidated!$C$9:$AC$452,27,0),0)</f>
        <v>0</v>
      </c>
      <c r="N78" s="66">
        <f>IFERROR(VLOOKUP($L78,[3]Consolidated!$C$9:$AC$452,5,0),0)</f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4">
        <f>(VLOOKUP($O$2,Prices!$E$3:$K$17,2,FALSE)*O78)+(VLOOKUP($P$2,Prices!$J$3:$K$17,2,FALSE)*P78)+(VLOOKUP($Q$2,Prices!$J$3:$K$17,2,FALSE)*Q78)+(VLOOKUP($R$2,Prices!$J$3:$K$17,2,FALSE)*R78)+(VLOOKUP($S$2,Prices!$J$3:$K$17,2,FALSE)*S78)+(VLOOKUP($T$2,Prices!$J$3:$K$17,2,FALSE)*T78)+(VLOOKUP($U$2,Prices!$J$3:$K$17,2,FALSE)*U78)+(VLOOKUP($V$2,Prices!$J$3:$K$17,2,FALSE)*V78)+(VLOOKUP($W$2,Prices!$J$3:$K$17,2,FALSE)*W78)+(VLOOKUP($X$2,Prices!$J$3:$K$17,2,FALSE)*X78)+(VLOOKUP($Y$2,Prices!$J$3:$K$17,2,FALSE)*Y78)+(VLOOKUP($Z$2,Prices!$J$3:$K$17,2,FALSE)*Z78)+(VLOOKUP($AA$2,Prices!$J$3:$K$17,2,FALSE)*AA78)+(VLOOKUP($AB$2,Prices!$J$3:$K$17,2,FALSE)*AB78)+M78</f>
        <v>0</v>
      </c>
      <c r="AD78" s="18"/>
      <c r="AE78" s="18"/>
      <c r="AF78" s="4">
        <f t="shared" si="4"/>
        <v>0</v>
      </c>
      <c r="AG78" s="4"/>
      <c r="AH78" s="16">
        <f t="shared" si="6"/>
        <v>0</v>
      </c>
      <c r="AI78" s="21" t="e">
        <f t="shared" si="5"/>
        <v>#DIV/0!</v>
      </c>
      <c r="AJ78" s="20" t="e">
        <f t="shared" si="7"/>
        <v>#DIV/0!</v>
      </c>
      <c r="AK78" s="9"/>
    </row>
    <row r="79" spans="1:37" hidden="1">
      <c r="A79" s="3">
        <v>77</v>
      </c>
      <c r="B79" s="12"/>
      <c r="C79" s="13"/>
      <c r="D79" s="13"/>
      <c r="E79" s="13"/>
      <c r="F79" s="13"/>
      <c r="G79" s="13"/>
      <c r="H79" s="15"/>
      <c r="I79" s="45" t="s">
        <v>1319</v>
      </c>
      <c r="J79" s="45" t="s">
        <v>1388</v>
      </c>
      <c r="K79" s="46" t="s">
        <v>663</v>
      </c>
      <c r="L79" s="47" t="s">
        <v>1346</v>
      </c>
      <c r="M79" s="66">
        <f>IFERROR(VLOOKUP($L79,[3]Consolidated!$C$9:$AC$452,27,0),0)</f>
        <v>1786500</v>
      </c>
      <c r="N79" s="66">
        <f>IFERROR(VLOOKUP($L79,[3]Consolidated!$C$9:$AC$452,5,0),0)</f>
        <v>10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4">
        <f>(VLOOKUP($O$2,Prices!$E$3:$K$17,2,FALSE)*O79)+(VLOOKUP($P$2,Prices!$J$3:$K$17,2,FALSE)*P79)+(VLOOKUP($Q$2,Prices!$J$3:$K$17,2,FALSE)*Q79)+(VLOOKUP($R$2,Prices!$J$3:$K$17,2,FALSE)*R79)+(VLOOKUP($S$2,Prices!$J$3:$K$17,2,FALSE)*S79)+(VLOOKUP($T$2,Prices!$J$3:$K$17,2,FALSE)*T79)+(VLOOKUP($U$2,Prices!$J$3:$K$17,2,FALSE)*U79)+(VLOOKUP($V$2,Prices!$J$3:$K$17,2,FALSE)*V79)+(VLOOKUP($W$2,Prices!$J$3:$K$17,2,FALSE)*W79)+(VLOOKUP($X$2,Prices!$J$3:$K$17,2,FALSE)*X79)+(VLOOKUP($Y$2,Prices!$J$3:$K$17,2,FALSE)*Y79)+(VLOOKUP($Z$2,Prices!$J$3:$K$17,2,FALSE)*Z79)+(VLOOKUP($AA$2,Prices!$J$3:$K$17,2,FALSE)*AA79)+(VLOOKUP($AB$2,Prices!$J$3:$K$17,2,FALSE)*AB79)+M79</f>
        <v>1786500</v>
      </c>
      <c r="AD79" s="18"/>
      <c r="AE79" s="18"/>
      <c r="AF79" s="4">
        <f t="shared" si="4"/>
        <v>0</v>
      </c>
      <c r="AG79" s="4"/>
      <c r="AH79" s="16">
        <f t="shared" si="6"/>
        <v>0</v>
      </c>
      <c r="AI79" s="21">
        <f t="shared" si="5"/>
        <v>0</v>
      </c>
      <c r="AJ79" s="20">
        <f t="shared" si="7"/>
        <v>0</v>
      </c>
      <c r="AK79" s="9"/>
    </row>
    <row r="80" spans="1:37" hidden="1">
      <c r="A80" s="3">
        <v>78</v>
      </c>
      <c r="B80" s="12"/>
      <c r="C80" s="13"/>
      <c r="D80" s="13"/>
      <c r="E80" s="13"/>
      <c r="F80" s="13"/>
      <c r="G80" s="13"/>
      <c r="H80" s="15"/>
      <c r="I80" s="45" t="s">
        <v>1322</v>
      </c>
      <c r="J80" s="45" t="s">
        <v>1388</v>
      </c>
      <c r="K80" s="46" t="s">
        <v>663</v>
      </c>
      <c r="L80" s="47" t="s">
        <v>1056</v>
      </c>
      <c r="M80" s="66">
        <f>IFERROR(VLOOKUP($L80,[3]Consolidated!$C$9:$AC$452,27,0),0)</f>
        <v>9038500</v>
      </c>
      <c r="N80" s="66">
        <f>IFERROR(VLOOKUP($L80,[3]Consolidated!$C$9:$AC$452,5,0),0)</f>
        <v>40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4">
        <f>(VLOOKUP($O$2,Prices!$E$3:$K$17,2,FALSE)*O80)+(VLOOKUP($P$2,Prices!$J$3:$K$17,2,FALSE)*P80)+(VLOOKUP($Q$2,Prices!$J$3:$K$17,2,FALSE)*Q80)+(VLOOKUP($R$2,Prices!$J$3:$K$17,2,FALSE)*R80)+(VLOOKUP($S$2,Prices!$J$3:$K$17,2,FALSE)*S80)+(VLOOKUP($T$2,Prices!$J$3:$K$17,2,FALSE)*T80)+(VLOOKUP($U$2,Prices!$J$3:$K$17,2,FALSE)*U80)+(VLOOKUP($V$2,Prices!$J$3:$K$17,2,FALSE)*V80)+(VLOOKUP($W$2,Prices!$J$3:$K$17,2,FALSE)*W80)+(VLOOKUP($X$2,Prices!$J$3:$K$17,2,FALSE)*X80)+(VLOOKUP($Y$2,Prices!$J$3:$K$17,2,FALSE)*Y80)+(VLOOKUP($Z$2,Prices!$J$3:$K$17,2,FALSE)*Z80)+(VLOOKUP($AA$2,Prices!$J$3:$K$17,2,FALSE)*AA80)+(VLOOKUP($AB$2,Prices!$J$3:$K$17,2,FALSE)*AB80)+M80</f>
        <v>9038500</v>
      </c>
      <c r="AD80" s="18"/>
      <c r="AE80" s="18"/>
      <c r="AF80" s="4">
        <f t="shared" si="4"/>
        <v>0</v>
      </c>
      <c r="AG80" s="4"/>
      <c r="AH80" s="16">
        <f t="shared" si="6"/>
        <v>0</v>
      </c>
      <c r="AI80" s="21">
        <f t="shared" si="5"/>
        <v>0</v>
      </c>
      <c r="AJ80" s="20">
        <f t="shared" si="7"/>
        <v>0</v>
      </c>
      <c r="AK80" s="19"/>
    </row>
    <row r="81" spans="1:37" hidden="1">
      <c r="A81" s="3">
        <v>79</v>
      </c>
      <c r="B81" s="12"/>
      <c r="C81" s="13"/>
      <c r="D81" s="13"/>
      <c r="E81" s="13"/>
      <c r="F81" s="13"/>
      <c r="G81" s="13"/>
      <c r="H81" s="15"/>
      <c r="I81" s="45" t="s">
        <v>1323</v>
      </c>
      <c r="J81" s="45" t="s">
        <v>1388</v>
      </c>
      <c r="K81" s="46" t="s">
        <v>663</v>
      </c>
      <c r="L81" s="47" t="s">
        <v>1057</v>
      </c>
      <c r="M81" s="66">
        <f>IFERROR(VLOOKUP($L81,[3]Consolidated!$C$9:$AC$452,27,0),0)</f>
        <v>8129500</v>
      </c>
      <c r="N81" s="66">
        <f>IFERROR(VLOOKUP($L81,[3]Consolidated!$C$9:$AC$452,5,0),0)</f>
        <v>35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4">
        <f>(VLOOKUP($O$2,Prices!$E$3:$K$17,2,FALSE)*O81)+(VLOOKUP($P$2,Prices!$J$3:$K$17,2,FALSE)*P81)+(VLOOKUP($Q$2,Prices!$J$3:$K$17,2,FALSE)*Q81)+(VLOOKUP($R$2,Prices!$J$3:$K$17,2,FALSE)*R81)+(VLOOKUP($S$2,Prices!$J$3:$K$17,2,FALSE)*S81)+(VLOOKUP($T$2,Prices!$J$3:$K$17,2,FALSE)*T81)+(VLOOKUP($U$2,Prices!$J$3:$K$17,2,FALSE)*U81)+(VLOOKUP($V$2,Prices!$J$3:$K$17,2,FALSE)*V81)+(VLOOKUP($W$2,Prices!$J$3:$K$17,2,FALSE)*W81)+(VLOOKUP($X$2,Prices!$J$3:$K$17,2,FALSE)*X81)+(VLOOKUP($Y$2,Prices!$J$3:$K$17,2,FALSE)*Y81)+(VLOOKUP($Z$2,Prices!$J$3:$K$17,2,FALSE)*Z81)+(VLOOKUP($AA$2,Prices!$J$3:$K$17,2,FALSE)*AA81)+(VLOOKUP($AB$2,Prices!$J$3:$K$17,2,FALSE)*AB81)+M81</f>
        <v>8129500</v>
      </c>
      <c r="AD81" s="18"/>
      <c r="AE81" s="18"/>
      <c r="AF81" s="4">
        <f t="shared" si="4"/>
        <v>0</v>
      </c>
      <c r="AG81" s="4"/>
      <c r="AH81" s="16">
        <f t="shared" si="6"/>
        <v>0</v>
      </c>
      <c r="AI81" s="21">
        <f t="shared" si="5"/>
        <v>0</v>
      </c>
      <c r="AJ81" s="20">
        <f t="shared" si="7"/>
        <v>0</v>
      </c>
      <c r="AK81" s="9"/>
    </row>
    <row r="82" spans="1:37" hidden="1">
      <c r="A82" s="3">
        <v>80</v>
      </c>
      <c r="B82" s="12"/>
      <c r="C82" s="13"/>
      <c r="D82" s="13"/>
      <c r="E82" s="13"/>
      <c r="F82" s="13"/>
      <c r="G82" s="13"/>
      <c r="H82" s="15"/>
      <c r="I82" s="45" t="s">
        <v>1324</v>
      </c>
      <c r="J82" s="45" t="s">
        <v>1388</v>
      </c>
      <c r="K82" s="46" t="s">
        <v>663</v>
      </c>
      <c r="L82" s="47" t="s">
        <v>1058</v>
      </c>
      <c r="M82" s="66">
        <f>IFERROR(VLOOKUP($L82,[3]Consolidated!$C$9:$AC$452,27,0),0)</f>
        <v>0</v>
      </c>
      <c r="N82" s="66">
        <f>IFERROR(VLOOKUP($L82,[3]Consolidated!$C$9:$AC$452,5,0),0)</f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4">
        <f>(VLOOKUP($O$2,Prices!$E$3:$K$17,2,FALSE)*O82)+(VLOOKUP($P$2,Prices!$J$3:$K$17,2,FALSE)*P82)+(VLOOKUP($Q$2,Prices!$J$3:$K$17,2,FALSE)*Q82)+(VLOOKUP($R$2,Prices!$J$3:$K$17,2,FALSE)*R82)+(VLOOKUP($S$2,Prices!$J$3:$K$17,2,FALSE)*S82)+(VLOOKUP($T$2,Prices!$J$3:$K$17,2,FALSE)*T82)+(VLOOKUP($U$2,Prices!$J$3:$K$17,2,FALSE)*U82)+(VLOOKUP($V$2,Prices!$J$3:$K$17,2,FALSE)*V82)+(VLOOKUP($W$2,Prices!$J$3:$K$17,2,FALSE)*W82)+(VLOOKUP($X$2,Prices!$J$3:$K$17,2,FALSE)*X82)+(VLOOKUP($Y$2,Prices!$J$3:$K$17,2,FALSE)*Y82)+(VLOOKUP($Z$2,Prices!$J$3:$K$17,2,FALSE)*Z82)+(VLOOKUP($AA$2,Prices!$J$3:$K$17,2,FALSE)*AA82)+(VLOOKUP($AB$2,Prices!$J$3:$K$17,2,FALSE)*AB82)+M82</f>
        <v>0</v>
      </c>
      <c r="AD82" s="18"/>
      <c r="AE82" s="18"/>
      <c r="AF82" s="4">
        <f t="shared" si="4"/>
        <v>0</v>
      </c>
      <c r="AG82" s="4"/>
      <c r="AH82" s="16">
        <f t="shared" si="6"/>
        <v>0</v>
      </c>
      <c r="AI82" s="21" t="e">
        <f t="shared" si="5"/>
        <v>#DIV/0!</v>
      </c>
      <c r="AJ82" s="20" t="e">
        <f t="shared" si="7"/>
        <v>#DIV/0!</v>
      </c>
      <c r="AK82" s="9"/>
    </row>
    <row r="83" spans="1:37" hidden="1">
      <c r="A83" s="3">
        <v>81</v>
      </c>
      <c r="B83" s="12"/>
      <c r="C83" s="13"/>
      <c r="D83" s="13"/>
      <c r="E83" s="13"/>
      <c r="F83" s="13"/>
      <c r="G83" s="13"/>
      <c r="H83" s="15"/>
      <c r="I83" s="45" t="s">
        <v>1325</v>
      </c>
      <c r="J83" s="45" t="s">
        <v>1388</v>
      </c>
      <c r="K83" s="46" t="s">
        <v>663</v>
      </c>
      <c r="L83" s="47" t="s">
        <v>1055</v>
      </c>
      <c r="M83" s="66">
        <f>IFERROR(VLOOKUP($L83,[3]Consolidated!$C$9:$AC$452,27,0),0)</f>
        <v>13016500</v>
      </c>
      <c r="N83" s="66">
        <f>IFERROR(VLOOKUP($L83,[3]Consolidated!$C$9:$AC$452,5,0),0)</f>
        <v>70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4">
        <f>(VLOOKUP($O$2,Prices!$E$3:$K$17,2,FALSE)*O83)+(VLOOKUP($P$2,Prices!$J$3:$K$17,2,FALSE)*P83)+(VLOOKUP($Q$2,Prices!$J$3:$K$17,2,FALSE)*Q83)+(VLOOKUP($R$2,Prices!$J$3:$K$17,2,FALSE)*R83)+(VLOOKUP($S$2,Prices!$J$3:$K$17,2,FALSE)*S83)+(VLOOKUP($T$2,Prices!$J$3:$K$17,2,FALSE)*T83)+(VLOOKUP($U$2,Prices!$J$3:$K$17,2,FALSE)*U83)+(VLOOKUP($V$2,Prices!$J$3:$K$17,2,FALSE)*V83)+(VLOOKUP($W$2,Prices!$J$3:$K$17,2,FALSE)*W83)+(VLOOKUP($X$2,Prices!$J$3:$K$17,2,FALSE)*X83)+(VLOOKUP($Y$2,Prices!$J$3:$K$17,2,FALSE)*Y83)+(VLOOKUP($Z$2,Prices!$J$3:$K$17,2,FALSE)*Z83)+(VLOOKUP($AA$2,Prices!$J$3:$K$17,2,FALSE)*AA83)+(VLOOKUP($AB$2,Prices!$J$3:$K$17,2,FALSE)*AB83)+M83</f>
        <v>13016500</v>
      </c>
      <c r="AD83" s="18"/>
      <c r="AE83" s="18"/>
      <c r="AF83" s="4">
        <f t="shared" si="4"/>
        <v>0</v>
      </c>
      <c r="AG83" s="4"/>
      <c r="AH83" s="16">
        <f t="shared" si="6"/>
        <v>0</v>
      </c>
      <c r="AI83" s="21">
        <f t="shared" si="5"/>
        <v>0</v>
      </c>
      <c r="AJ83" s="20">
        <f t="shared" si="7"/>
        <v>0</v>
      </c>
      <c r="AK83" s="9"/>
    </row>
    <row r="84" spans="1:37" hidden="1">
      <c r="A84" s="3">
        <v>82</v>
      </c>
      <c r="B84" s="12"/>
      <c r="C84" s="13"/>
      <c r="D84" s="13"/>
      <c r="E84" s="13"/>
      <c r="F84" s="13"/>
      <c r="G84" s="13"/>
      <c r="H84" s="15"/>
      <c r="I84" s="45" t="s">
        <v>763</v>
      </c>
      <c r="J84" s="45" t="s">
        <v>1388</v>
      </c>
      <c r="K84" s="46" t="s">
        <v>663</v>
      </c>
      <c r="L84" s="47" t="s">
        <v>1059</v>
      </c>
      <c r="M84" s="66">
        <f>IFERROR(VLOOKUP($L84,[3]Consolidated!$C$9:$AC$452,27,0),0)</f>
        <v>2812600</v>
      </c>
      <c r="N84" s="66">
        <f>IFERROR(VLOOKUP($L84,[3]Consolidated!$C$9:$AC$452,5,0),0)</f>
        <v>14.999999999999998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4">
        <f>(VLOOKUP($O$2,Prices!$E$3:$K$17,2,FALSE)*O84)+(VLOOKUP($P$2,Prices!$J$3:$K$17,2,FALSE)*P84)+(VLOOKUP($Q$2,Prices!$J$3:$K$17,2,FALSE)*Q84)+(VLOOKUP($R$2,Prices!$J$3:$K$17,2,FALSE)*R84)+(VLOOKUP($S$2,Prices!$J$3:$K$17,2,FALSE)*S84)+(VLOOKUP($T$2,Prices!$J$3:$K$17,2,FALSE)*T84)+(VLOOKUP($U$2,Prices!$J$3:$K$17,2,FALSE)*U84)+(VLOOKUP($V$2,Prices!$J$3:$K$17,2,FALSE)*V84)+(VLOOKUP($W$2,Prices!$J$3:$K$17,2,FALSE)*W84)+(VLOOKUP($X$2,Prices!$J$3:$K$17,2,FALSE)*X84)+(VLOOKUP($Y$2,Prices!$J$3:$K$17,2,FALSE)*Y84)+(VLOOKUP($Z$2,Prices!$J$3:$K$17,2,FALSE)*Z84)+(VLOOKUP($AA$2,Prices!$J$3:$K$17,2,FALSE)*AA84)+(VLOOKUP($AB$2,Prices!$J$3:$K$17,2,FALSE)*AB84)+M84</f>
        <v>2812600</v>
      </c>
      <c r="AD84" s="18"/>
      <c r="AE84" s="18"/>
      <c r="AF84" s="4">
        <f t="shared" si="4"/>
        <v>0</v>
      </c>
      <c r="AG84" s="4"/>
      <c r="AH84" s="16">
        <f t="shared" si="6"/>
        <v>0</v>
      </c>
      <c r="AI84" s="21">
        <f t="shared" si="5"/>
        <v>0</v>
      </c>
      <c r="AJ84" s="20">
        <f t="shared" si="7"/>
        <v>0</v>
      </c>
      <c r="AK84" s="9"/>
    </row>
    <row r="85" spans="1:37" hidden="1">
      <c r="A85" s="3">
        <v>83</v>
      </c>
      <c r="B85" s="12"/>
      <c r="C85" s="13"/>
      <c r="D85" s="13"/>
      <c r="E85" s="13"/>
      <c r="F85" s="13"/>
      <c r="G85" s="13"/>
      <c r="H85" s="15"/>
      <c r="I85" s="45" t="s">
        <v>722</v>
      </c>
      <c r="J85" s="45" t="s">
        <v>1388</v>
      </c>
      <c r="K85" s="46" t="s">
        <v>663</v>
      </c>
      <c r="L85" s="47" t="s">
        <v>1013</v>
      </c>
      <c r="M85" s="66">
        <f>IFERROR(VLOOKUP($L85,[3]Consolidated!$C$9:$AC$452,27,0),0)</f>
        <v>1786500</v>
      </c>
      <c r="N85" s="66">
        <f>IFERROR(VLOOKUP($L85,[3]Consolidated!$C$9:$AC$452,5,0),0)</f>
        <v>10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4">
        <f>(VLOOKUP($O$2,Prices!$E$3:$K$17,2,FALSE)*O85)+(VLOOKUP($P$2,Prices!$J$3:$K$17,2,FALSE)*P85)+(VLOOKUP($Q$2,Prices!$J$3:$K$17,2,FALSE)*Q85)+(VLOOKUP($R$2,Prices!$J$3:$K$17,2,FALSE)*R85)+(VLOOKUP($S$2,Prices!$J$3:$K$17,2,FALSE)*S85)+(VLOOKUP($T$2,Prices!$J$3:$K$17,2,FALSE)*T85)+(VLOOKUP($U$2,Prices!$J$3:$K$17,2,FALSE)*U85)+(VLOOKUP($V$2,Prices!$J$3:$K$17,2,FALSE)*V85)+(VLOOKUP($W$2,Prices!$J$3:$K$17,2,FALSE)*W85)+(VLOOKUP($X$2,Prices!$J$3:$K$17,2,FALSE)*X85)+(VLOOKUP($Y$2,Prices!$J$3:$K$17,2,FALSE)*Y85)+(VLOOKUP($Z$2,Prices!$J$3:$K$17,2,FALSE)*Z85)+(VLOOKUP($AA$2,Prices!$J$3:$K$17,2,FALSE)*AA85)+(VLOOKUP($AB$2,Prices!$J$3:$K$17,2,FALSE)*AB85)+M85</f>
        <v>1786500</v>
      </c>
      <c r="AD85" s="18"/>
      <c r="AE85" s="18"/>
      <c r="AF85" s="4">
        <f t="shared" si="4"/>
        <v>0</v>
      </c>
      <c r="AG85" s="4"/>
      <c r="AH85" s="16">
        <f t="shared" si="6"/>
        <v>0</v>
      </c>
      <c r="AI85" s="21">
        <f t="shared" si="5"/>
        <v>0</v>
      </c>
      <c r="AJ85" s="20">
        <f t="shared" si="7"/>
        <v>0</v>
      </c>
      <c r="AK85" s="9"/>
    </row>
    <row r="86" spans="1:37" hidden="1">
      <c r="A86" s="3">
        <v>84</v>
      </c>
      <c r="B86" s="12"/>
      <c r="C86" s="13"/>
      <c r="D86" s="13"/>
      <c r="E86" s="13"/>
      <c r="F86" s="13"/>
      <c r="G86" s="13"/>
      <c r="H86" s="15"/>
      <c r="I86" s="45" t="s">
        <v>730</v>
      </c>
      <c r="J86" s="45" t="s">
        <v>1388</v>
      </c>
      <c r="K86" s="46" t="s">
        <v>663</v>
      </c>
      <c r="L86" s="47" t="s">
        <v>1021</v>
      </c>
      <c r="M86" s="66">
        <f>IFERROR(VLOOKUP($L86,[3]Consolidated!$C$9:$AC$452,27,0),0)</f>
        <v>1786500</v>
      </c>
      <c r="N86" s="66">
        <f>IFERROR(VLOOKUP($L86,[3]Consolidated!$C$9:$AC$452,5,0),0)</f>
        <v>10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4">
        <f>(VLOOKUP($O$2,Prices!$E$3:$K$17,2,FALSE)*O86)+(VLOOKUP($P$2,Prices!$J$3:$K$17,2,FALSE)*P86)+(VLOOKUP($Q$2,Prices!$J$3:$K$17,2,FALSE)*Q86)+(VLOOKUP($R$2,Prices!$J$3:$K$17,2,FALSE)*R86)+(VLOOKUP($S$2,Prices!$J$3:$K$17,2,FALSE)*S86)+(VLOOKUP($T$2,Prices!$J$3:$K$17,2,FALSE)*T86)+(VLOOKUP($U$2,Prices!$J$3:$K$17,2,FALSE)*U86)+(VLOOKUP($V$2,Prices!$J$3:$K$17,2,FALSE)*V86)+(VLOOKUP($W$2,Prices!$J$3:$K$17,2,FALSE)*W86)+(VLOOKUP($X$2,Prices!$J$3:$K$17,2,FALSE)*X86)+(VLOOKUP($Y$2,Prices!$J$3:$K$17,2,FALSE)*Y86)+(VLOOKUP($Z$2,Prices!$J$3:$K$17,2,FALSE)*Z86)+(VLOOKUP($AA$2,Prices!$J$3:$K$17,2,FALSE)*AA86)+(VLOOKUP($AB$2,Prices!$J$3:$K$17,2,FALSE)*AB86)+M86</f>
        <v>1786500</v>
      </c>
      <c r="AD86" s="18"/>
      <c r="AE86" s="18"/>
      <c r="AF86" s="4">
        <f t="shared" si="4"/>
        <v>0</v>
      </c>
      <c r="AG86" s="4"/>
      <c r="AH86" s="16">
        <f t="shared" si="6"/>
        <v>0</v>
      </c>
      <c r="AI86" s="21">
        <f t="shared" si="5"/>
        <v>0</v>
      </c>
      <c r="AJ86" s="20">
        <f t="shared" si="7"/>
        <v>0</v>
      </c>
      <c r="AK86" s="9"/>
    </row>
    <row r="87" spans="1:37" hidden="1">
      <c r="A87" s="3">
        <v>85</v>
      </c>
      <c r="B87" s="12"/>
      <c r="C87" s="13"/>
      <c r="D87" s="13"/>
      <c r="E87" s="13"/>
      <c r="F87" s="13"/>
      <c r="G87" s="13"/>
      <c r="H87" s="15"/>
      <c r="I87" s="45" t="s">
        <v>1395</v>
      </c>
      <c r="J87" s="45" t="s">
        <v>1388</v>
      </c>
      <c r="K87" s="46" t="s">
        <v>663</v>
      </c>
      <c r="L87" s="47" t="s">
        <v>1393</v>
      </c>
      <c r="M87" s="66">
        <f>IFERROR(VLOOKUP($L87,[3]Consolidated!$C$9:$AC$452,27,0),0)</f>
        <v>1786500</v>
      </c>
      <c r="N87" s="66">
        <f>IFERROR(VLOOKUP($L87,[3]Consolidated!$C$9:$AC$452,5,0),0)</f>
        <v>10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4">
        <f>(VLOOKUP($O$2,Prices!$E$3:$K$17,2,FALSE)*O87)+(VLOOKUP($P$2,Prices!$J$3:$K$17,2,FALSE)*P87)+(VLOOKUP($Q$2,Prices!$J$3:$K$17,2,FALSE)*Q87)+(VLOOKUP($R$2,Prices!$J$3:$K$17,2,FALSE)*R87)+(VLOOKUP($S$2,Prices!$J$3:$K$17,2,FALSE)*S87)+(VLOOKUP($T$2,Prices!$J$3:$K$17,2,FALSE)*T87)+(VLOOKUP($U$2,Prices!$J$3:$K$17,2,FALSE)*U87)+(VLOOKUP($V$2,Prices!$J$3:$K$17,2,FALSE)*V87)+(VLOOKUP($W$2,Prices!$J$3:$K$17,2,FALSE)*W87)+(VLOOKUP($X$2,Prices!$J$3:$K$17,2,FALSE)*X87)+(VLOOKUP($Y$2,Prices!$J$3:$K$17,2,FALSE)*Y87)+(VLOOKUP($Z$2,Prices!$J$3:$K$17,2,FALSE)*Z87)+(VLOOKUP($AA$2,Prices!$J$3:$K$17,2,FALSE)*AA87)+(VLOOKUP($AB$2,Prices!$J$3:$K$17,2,FALSE)*AB87)+M87</f>
        <v>1786500</v>
      </c>
      <c r="AD87" s="18"/>
      <c r="AE87" s="18"/>
      <c r="AF87" s="4">
        <f t="shared" si="4"/>
        <v>0</v>
      </c>
      <c r="AG87" s="4"/>
      <c r="AH87" s="16">
        <f t="shared" si="6"/>
        <v>0</v>
      </c>
      <c r="AI87" s="21">
        <f t="shared" si="5"/>
        <v>0</v>
      </c>
      <c r="AJ87" s="20">
        <f t="shared" si="7"/>
        <v>0</v>
      </c>
      <c r="AK87" s="9"/>
    </row>
    <row r="88" spans="1:37" hidden="1">
      <c r="A88" s="3">
        <v>86</v>
      </c>
      <c r="B88" s="12"/>
      <c r="C88" s="13"/>
      <c r="D88" s="13"/>
      <c r="E88" s="13"/>
      <c r="F88" s="13"/>
      <c r="G88" s="13"/>
      <c r="H88" s="15"/>
      <c r="I88" s="45" t="s">
        <v>735</v>
      </c>
      <c r="J88" s="45" t="s">
        <v>1388</v>
      </c>
      <c r="K88" s="46" t="s">
        <v>663</v>
      </c>
      <c r="L88" s="47" t="s">
        <v>1026</v>
      </c>
      <c r="M88" s="66">
        <f>IFERROR(VLOOKUP($L88,[3]Consolidated!$C$9:$AC$452,27,0),0)</f>
        <v>9534500</v>
      </c>
      <c r="N88" s="66">
        <f>IFERROR(VLOOKUP($L88,[3]Consolidated!$C$9:$AC$452,5,0),0)</f>
        <v>40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4">
        <f>(VLOOKUP($O$2,Prices!$E$3:$K$17,2,FALSE)*O88)+(VLOOKUP($P$2,Prices!$J$3:$K$17,2,FALSE)*P88)+(VLOOKUP($Q$2,Prices!$J$3:$K$17,2,FALSE)*Q88)+(VLOOKUP($R$2,Prices!$J$3:$K$17,2,FALSE)*R88)+(VLOOKUP($S$2,Prices!$J$3:$K$17,2,FALSE)*S88)+(VLOOKUP($T$2,Prices!$J$3:$K$17,2,FALSE)*T88)+(VLOOKUP($U$2,Prices!$J$3:$K$17,2,FALSE)*U88)+(VLOOKUP($V$2,Prices!$J$3:$K$17,2,FALSE)*V88)+(VLOOKUP($W$2,Prices!$J$3:$K$17,2,FALSE)*W88)+(VLOOKUP($X$2,Prices!$J$3:$K$17,2,FALSE)*X88)+(VLOOKUP($Y$2,Prices!$J$3:$K$17,2,FALSE)*Y88)+(VLOOKUP($Z$2,Prices!$J$3:$K$17,2,FALSE)*Z88)+(VLOOKUP($AA$2,Prices!$J$3:$K$17,2,FALSE)*AA88)+(VLOOKUP($AB$2,Prices!$J$3:$K$17,2,FALSE)*AB88)+M88</f>
        <v>9534500</v>
      </c>
      <c r="AD88" s="18"/>
      <c r="AE88" s="18"/>
      <c r="AF88" s="4">
        <f t="shared" si="4"/>
        <v>0</v>
      </c>
      <c r="AG88" s="4"/>
      <c r="AH88" s="16">
        <f t="shared" si="6"/>
        <v>0</v>
      </c>
      <c r="AI88" s="21">
        <f t="shared" si="5"/>
        <v>0</v>
      </c>
      <c r="AJ88" s="20">
        <f t="shared" si="7"/>
        <v>0</v>
      </c>
      <c r="AK88" s="9"/>
    </row>
    <row r="89" spans="1:37" hidden="1">
      <c r="A89" s="3">
        <v>87</v>
      </c>
      <c r="B89" s="12"/>
      <c r="C89" s="13"/>
      <c r="D89" s="13"/>
      <c r="E89" s="13"/>
      <c r="F89" s="13"/>
      <c r="G89" s="13"/>
      <c r="H89" s="15"/>
      <c r="I89" s="45" t="s">
        <v>708</v>
      </c>
      <c r="J89" s="45" t="s">
        <v>1388</v>
      </c>
      <c r="K89" s="46" t="s">
        <v>20</v>
      </c>
      <c r="L89" s="47" t="s">
        <v>999</v>
      </c>
      <c r="M89" s="66">
        <f>IFERROR(VLOOKUP($L89,[3]Consolidated!$C$9:$AC$452,27,0),0)</f>
        <v>2058500</v>
      </c>
      <c r="N89" s="66">
        <f>IFERROR(VLOOKUP($L89,[3]Consolidated!$C$9:$AC$452,5,0),0)</f>
        <v>10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4">
        <f>(VLOOKUP($O$2,Prices!$E$3:$K$17,2,FALSE)*O89)+(VLOOKUP($P$2,Prices!$J$3:$K$17,2,FALSE)*P89)+(VLOOKUP($Q$2,Prices!$J$3:$K$17,2,FALSE)*Q89)+(VLOOKUP($R$2,Prices!$J$3:$K$17,2,FALSE)*R89)+(VLOOKUP($S$2,Prices!$J$3:$K$17,2,FALSE)*S89)+(VLOOKUP($T$2,Prices!$J$3:$K$17,2,FALSE)*T89)+(VLOOKUP($U$2,Prices!$J$3:$K$17,2,FALSE)*U89)+(VLOOKUP($V$2,Prices!$J$3:$K$17,2,FALSE)*V89)+(VLOOKUP($W$2,Prices!$J$3:$K$17,2,FALSE)*W89)+(VLOOKUP($X$2,Prices!$J$3:$K$17,2,FALSE)*X89)+(VLOOKUP($Y$2,Prices!$J$3:$K$17,2,FALSE)*Y89)+(VLOOKUP($Z$2,Prices!$J$3:$K$17,2,FALSE)*Z89)+(VLOOKUP($AA$2,Prices!$J$3:$K$17,2,FALSE)*AA89)+(VLOOKUP($AB$2,Prices!$J$3:$K$17,2,FALSE)*AB89)+M89</f>
        <v>2058500</v>
      </c>
      <c r="AD89" s="18"/>
      <c r="AE89" s="18"/>
      <c r="AF89" s="4">
        <f t="shared" si="4"/>
        <v>0</v>
      </c>
      <c r="AG89" s="4"/>
      <c r="AH89" s="16">
        <f t="shared" si="6"/>
        <v>0</v>
      </c>
      <c r="AI89" s="21">
        <f t="shared" si="5"/>
        <v>0</v>
      </c>
      <c r="AJ89" s="20">
        <f t="shared" si="7"/>
        <v>0</v>
      </c>
      <c r="AK89" s="9"/>
    </row>
    <row r="90" spans="1:37" hidden="1">
      <c r="A90" s="3">
        <v>88</v>
      </c>
      <c r="B90" s="12"/>
      <c r="C90" s="13"/>
      <c r="D90" s="13"/>
      <c r="E90" s="13"/>
      <c r="F90" s="13"/>
      <c r="G90" s="13"/>
      <c r="H90" s="15"/>
      <c r="I90" s="45" t="s">
        <v>1396</v>
      </c>
      <c r="J90" s="45" t="s">
        <v>1388</v>
      </c>
      <c r="K90" s="46" t="s">
        <v>20</v>
      </c>
      <c r="L90" s="46" t="s">
        <v>1030</v>
      </c>
      <c r="M90" s="66">
        <f>IFERROR(VLOOKUP($L90,[3]Consolidated!$C$9:$AC$452,27,0),0)</f>
        <v>6829900</v>
      </c>
      <c r="N90" s="66">
        <f>IFERROR(VLOOKUP($L90,[3]Consolidated!$C$9:$AC$452,5,0),0)</f>
        <v>35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4">
        <f>(VLOOKUP($O$2,Prices!$E$3:$K$17,2,FALSE)*O90)+(VLOOKUP($P$2,Prices!$J$3:$K$17,2,FALSE)*P90)+(VLOOKUP($Q$2,Prices!$J$3:$K$17,2,FALSE)*Q90)+(VLOOKUP($R$2,Prices!$J$3:$K$17,2,FALSE)*R90)+(VLOOKUP($S$2,Prices!$J$3:$K$17,2,FALSE)*S90)+(VLOOKUP($T$2,Prices!$J$3:$K$17,2,FALSE)*T90)+(VLOOKUP($U$2,Prices!$J$3:$K$17,2,FALSE)*U90)+(VLOOKUP($V$2,Prices!$J$3:$K$17,2,FALSE)*V90)+(VLOOKUP($W$2,Prices!$J$3:$K$17,2,FALSE)*W90)+(VLOOKUP($X$2,Prices!$J$3:$K$17,2,FALSE)*X90)+(VLOOKUP($Y$2,Prices!$J$3:$K$17,2,FALSE)*Y90)+(VLOOKUP($Z$2,Prices!$J$3:$K$17,2,FALSE)*Z90)+(VLOOKUP($AA$2,Prices!$J$3:$K$17,2,FALSE)*AA90)+(VLOOKUP($AB$2,Prices!$J$3:$K$17,2,FALSE)*AB90)+M90</f>
        <v>6829900</v>
      </c>
      <c r="AD90" s="18"/>
      <c r="AE90" s="18"/>
      <c r="AF90" s="4">
        <f t="shared" si="4"/>
        <v>0</v>
      </c>
      <c r="AG90" s="4"/>
      <c r="AH90" s="16">
        <f t="shared" si="6"/>
        <v>0</v>
      </c>
      <c r="AI90" s="21">
        <f t="shared" si="5"/>
        <v>0</v>
      </c>
      <c r="AJ90" s="20">
        <f t="shared" si="7"/>
        <v>0</v>
      </c>
      <c r="AK90" s="9"/>
    </row>
    <row r="91" spans="1:37" hidden="1">
      <c r="A91" s="3">
        <v>89</v>
      </c>
      <c r="B91" s="12"/>
      <c r="C91" s="13"/>
      <c r="D91" s="13"/>
      <c r="E91" s="13"/>
      <c r="F91" s="13"/>
      <c r="G91" s="13"/>
      <c r="H91" s="15"/>
      <c r="I91" s="45" t="s">
        <v>739</v>
      </c>
      <c r="J91" s="45" t="s">
        <v>1388</v>
      </c>
      <c r="K91" s="46" t="s">
        <v>20</v>
      </c>
      <c r="L91" s="46" t="s">
        <v>1031</v>
      </c>
      <c r="M91" s="66">
        <f>IFERROR(VLOOKUP($L91,[3]Consolidated!$C$9:$AC$452,27,0),0)</f>
        <v>1984650</v>
      </c>
      <c r="N91" s="66">
        <f>IFERROR(VLOOKUP($L91,[3]Consolidated!$C$9:$AC$452,5,0),0)</f>
        <v>10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4">
        <f>(VLOOKUP($O$2,Prices!$E$3:$K$17,2,FALSE)*O91)+(VLOOKUP($P$2,Prices!$J$3:$K$17,2,FALSE)*P91)+(VLOOKUP($Q$2,Prices!$J$3:$K$17,2,FALSE)*Q91)+(VLOOKUP($R$2,Prices!$J$3:$K$17,2,FALSE)*R91)+(VLOOKUP($S$2,Prices!$J$3:$K$17,2,FALSE)*S91)+(VLOOKUP($T$2,Prices!$J$3:$K$17,2,FALSE)*T91)+(VLOOKUP($U$2,Prices!$J$3:$K$17,2,FALSE)*U91)+(VLOOKUP($V$2,Prices!$J$3:$K$17,2,FALSE)*V91)+(VLOOKUP($W$2,Prices!$J$3:$K$17,2,FALSE)*W91)+(VLOOKUP($X$2,Prices!$J$3:$K$17,2,FALSE)*X91)+(VLOOKUP($Y$2,Prices!$J$3:$K$17,2,FALSE)*Y91)+(VLOOKUP($Z$2,Prices!$J$3:$K$17,2,FALSE)*Z91)+(VLOOKUP($AA$2,Prices!$J$3:$K$17,2,FALSE)*AA91)+(VLOOKUP($AB$2,Prices!$J$3:$K$17,2,FALSE)*AB91)+M91</f>
        <v>1984650</v>
      </c>
      <c r="AD91" s="18"/>
      <c r="AE91" s="18"/>
      <c r="AF91" s="4">
        <f t="shared" si="4"/>
        <v>0</v>
      </c>
      <c r="AG91" s="4"/>
      <c r="AH91" s="16">
        <f t="shared" si="6"/>
        <v>0</v>
      </c>
      <c r="AI91" s="21">
        <f t="shared" si="5"/>
        <v>0</v>
      </c>
      <c r="AJ91" s="20">
        <f t="shared" si="7"/>
        <v>0</v>
      </c>
      <c r="AK91" s="9"/>
    </row>
    <row r="92" spans="1:37" hidden="1">
      <c r="A92" s="3">
        <v>90</v>
      </c>
      <c r="B92" s="12"/>
      <c r="C92" s="13"/>
      <c r="D92" s="13"/>
      <c r="E92" s="13"/>
      <c r="F92" s="13"/>
      <c r="G92" s="13"/>
      <c r="H92" s="15"/>
      <c r="I92" s="45" t="s">
        <v>740</v>
      </c>
      <c r="J92" s="45" t="s">
        <v>1388</v>
      </c>
      <c r="K92" s="46" t="s">
        <v>20</v>
      </c>
      <c r="L92" s="46" t="s">
        <v>1032</v>
      </c>
      <c r="M92" s="66">
        <f>IFERROR(VLOOKUP($L92,[3]Consolidated!$C$9:$AC$452,27,0),0)</f>
        <v>2025400</v>
      </c>
      <c r="N92" s="66">
        <f>IFERROR(VLOOKUP($L92,[3]Consolidated!$C$9:$AC$452,5,0),0)</f>
        <v>10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4">
        <f>(VLOOKUP($O$2,Prices!$E$3:$K$17,2,FALSE)*O92)+(VLOOKUP($P$2,Prices!$J$3:$K$17,2,FALSE)*P92)+(VLOOKUP($Q$2,Prices!$J$3:$K$17,2,FALSE)*Q92)+(VLOOKUP($R$2,Prices!$J$3:$K$17,2,FALSE)*R92)+(VLOOKUP($S$2,Prices!$J$3:$K$17,2,FALSE)*S92)+(VLOOKUP($T$2,Prices!$J$3:$K$17,2,FALSE)*T92)+(VLOOKUP($U$2,Prices!$J$3:$K$17,2,FALSE)*U92)+(VLOOKUP($V$2,Prices!$J$3:$K$17,2,FALSE)*V92)+(VLOOKUP($W$2,Prices!$J$3:$K$17,2,FALSE)*W92)+(VLOOKUP($X$2,Prices!$J$3:$K$17,2,FALSE)*X92)+(VLOOKUP($Y$2,Prices!$J$3:$K$17,2,FALSE)*Y92)+(VLOOKUP($Z$2,Prices!$J$3:$K$17,2,FALSE)*Z92)+(VLOOKUP($AA$2,Prices!$J$3:$K$17,2,FALSE)*AA92)+(VLOOKUP($AB$2,Prices!$J$3:$K$17,2,FALSE)*AB92)+M92</f>
        <v>2025400</v>
      </c>
      <c r="AD92" s="18"/>
      <c r="AE92" s="18"/>
      <c r="AF92" s="4">
        <f t="shared" si="4"/>
        <v>0</v>
      </c>
      <c r="AG92" s="4"/>
      <c r="AH92" s="16">
        <f t="shared" si="6"/>
        <v>0</v>
      </c>
      <c r="AI92" s="21">
        <f t="shared" si="5"/>
        <v>0</v>
      </c>
      <c r="AJ92" s="20">
        <f t="shared" si="7"/>
        <v>0</v>
      </c>
      <c r="AK92" s="19"/>
    </row>
    <row r="93" spans="1:37" hidden="1">
      <c r="A93" s="3">
        <v>91</v>
      </c>
      <c r="B93" s="12"/>
      <c r="C93" s="13"/>
      <c r="D93" s="13"/>
      <c r="E93" s="13"/>
      <c r="F93" s="13"/>
      <c r="G93" s="13"/>
      <c r="H93" s="15"/>
      <c r="I93" s="45" t="s">
        <v>757</v>
      </c>
      <c r="J93" s="45" t="s">
        <v>1388</v>
      </c>
      <c r="K93" s="46" t="s">
        <v>20</v>
      </c>
      <c r="L93" s="46" t="s">
        <v>1049</v>
      </c>
      <c r="M93" s="66">
        <f>IFERROR(VLOOKUP($L93,[3]Consolidated!$C$9:$AC$452,27,0),0)</f>
        <v>1845500</v>
      </c>
      <c r="N93" s="66">
        <f>IFERROR(VLOOKUP($L93,[3]Consolidated!$C$9:$AC$452,5,0),0)</f>
        <v>10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4">
        <f>(VLOOKUP($O$2,Prices!$E$3:$K$17,2,FALSE)*O93)+(VLOOKUP($P$2,Prices!$J$3:$K$17,2,FALSE)*P93)+(VLOOKUP($Q$2,Prices!$J$3:$K$17,2,FALSE)*Q93)+(VLOOKUP($R$2,Prices!$J$3:$K$17,2,FALSE)*R93)+(VLOOKUP($S$2,Prices!$J$3:$K$17,2,FALSE)*S93)+(VLOOKUP($T$2,Prices!$J$3:$K$17,2,FALSE)*T93)+(VLOOKUP($U$2,Prices!$J$3:$K$17,2,FALSE)*U93)+(VLOOKUP($V$2,Prices!$J$3:$K$17,2,FALSE)*V93)+(VLOOKUP($W$2,Prices!$J$3:$K$17,2,FALSE)*W93)+(VLOOKUP($X$2,Prices!$J$3:$K$17,2,FALSE)*X93)+(VLOOKUP($Y$2,Prices!$J$3:$K$17,2,FALSE)*Y93)+(VLOOKUP($Z$2,Prices!$J$3:$K$17,2,FALSE)*Z93)+(VLOOKUP($AA$2,Prices!$J$3:$K$17,2,FALSE)*AA93)+(VLOOKUP($AB$2,Prices!$J$3:$K$17,2,FALSE)*AB93)+M93</f>
        <v>1845500</v>
      </c>
      <c r="AD93" s="18"/>
      <c r="AE93" s="18"/>
      <c r="AF93" s="4">
        <f t="shared" si="4"/>
        <v>0</v>
      </c>
      <c r="AG93" s="4"/>
      <c r="AH93" s="16">
        <f t="shared" si="6"/>
        <v>0</v>
      </c>
      <c r="AI93" s="21">
        <f t="shared" si="5"/>
        <v>0</v>
      </c>
      <c r="AJ93" s="20">
        <f t="shared" si="7"/>
        <v>0</v>
      </c>
      <c r="AK93" s="9"/>
    </row>
    <row r="94" spans="1:37" hidden="1">
      <c r="A94" s="3">
        <v>92</v>
      </c>
      <c r="B94" s="12"/>
      <c r="C94" s="13"/>
      <c r="D94" s="13"/>
      <c r="E94" s="13"/>
      <c r="F94" s="13"/>
      <c r="G94" s="13"/>
      <c r="H94" s="15"/>
      <c r="I94" s="45" t="s">
        <v>1320</v>
      </c>
      <c r="J94" s="45" t="s">
        <v>1388</v>
      </c>
      <c r="K94" s="46" t="s">
        <v>20</v>
      </c>
      <c r="L94" s="47" t="s">
        <v>1335</v>
      </c>
      <c r="M94" s="66">
        <f>IFERROR(VLOOKUP($L94,[3]Consolidated!$C$9:$AC$452,27,0),0)</f>
        <v>0</v>
      </c>
      <c r="N94" s="66">
        <f>IFERROR(VLOOKUP($L94,[3]Consolidated!$C$9:$AC$452,5,0),0)</f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4">
        <f>(VLOOKUP($O$2,Prices!$E$3:$K$17,2,FALSE)*O94)+(VLOOKUP($P$2,Prices!$J$3:$K$17,2,FALSE)*P94)+(VLOOKUP($Q$2,Prices!$J$3:$K$17,2,FALSE)*Q94)+(VLOOKUP($R$2,Prices!$J$3:$K$17,2,FALSE)*R94)+(VLOOKUP($S$2,Prices!$J$3:$K$17,2,FALSE)*S94)+(VLOOKUP($T$2,Prices!$J$3:$K$17,2,FALSE)*T94)+(VLOOKUP($U$2,Prices!$J$3:$K$17,2,FALSE)*U94)+(VLOOKUP($V$2,Prices!$J$3:$K$17,2,FALSE)*V94)+(VLOOKUP($W$2,Prices!$J$3:$K$17,2,FALSE)*W94)+(VLOOKUP($X$2,Prices!$J$3:$K$17,2,FALSE)*X94)+(VLOOKUP($Y$2,Prices!$J$3:$K$17,2,FALSE)*Y94)+(VLOOKUP($Z$2,Prices!$J$3:$K$17,2,FALSE)*Z94)+(VLOOKUP($AA$2,Prices!$J$3:$K$17,2,FALSE)*AA94)+(VLOOKUP($AB$2,Prices!$J$3:$K$17,2,FALSE)*AB94)+M94</f>
        <v>0</v>
      </c>
      <c r="AD94" s="18"/>
      <c r="AE94" s="18"/>
      <c r="AF94" s="4">
        <f t="shared" si="4"/>
        <v>0</v>
      </c>
      <c r="AG94" s="4"/>
      <c r="AH94" s="16">
        <f t="shared" si="6"/>
        <v>0</v>
      </c>
      <c r="AI94" s="21" t="e">
        <f t="shared" si="5"/>
        <v>#DIV/0!</v>
      </c>
      <c r="AJ94" s="20" t="e">
        <f t="shared" si="7"/>
        <v>#DIV/0!</v>
      </c>
      <c r="AK94" s="9"/>
    </row>
    <row r="95" spans="1:37" hidden="1">
      <c r="A95" s="3">
        <v>93</v>
      </c>
      <c r="B95" s="12"/>
      <c r="C95" s="13"/>
      <c r="D95" s="13"/>
      <c r="E95" s="13"/>
      <c r="F95" s="13"/>
      <c r="G95" s="13"/>
      <c r="H95" s="15"/>
      <c r="I95" s="45" t="s">
        <v>741</v>
      </c>
      <c r="J95" s="45" t="s">
        <v>1388</v>
      </c>
      <c r="K95" s="46" t="s">
        <v>664</v>
      </c>
      <c r="L95" s="47" t="s">
        <v>1033</v>
      </c>
      <c r="M95" s="66">
        <f>IFERROR(VLOOKUP($L95,[3]Consolidated!$C$9:$AC$452,27,0),0)</f>
        <v>2974950</v>
      </c>
      <c r="N95" s="66">
        <f>IFERROR(VLOOKUP($L95,[3]Consolidated!$C$9:$AC$452,5,0),0)</f>
        <v>15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4">
        <f>(VLOOKUP($O$2,Prices!$E$3:$K$17,2,FALSE)*O95)+(VLOOKUP($P$2,Prices!$J$3:$K$17,2,FALSE)*P95)+(VLOOKUP($Q$2,Prices!$J$3:$K$17,2,FALSE)*Q95)+(VLOOKUP($R$2,Prices!$J$3:$K$17,2,FALSE)*R95)+(VLOOKUP($S$2,Prices!$J$3:$K$17,2,FALSE)*S95)+(VLOOKUP($T$2,Prices!$J$3:$K$17,2,FALSE)*T95)+(VLOOKUP($U$2,Prices!$J$3:$K$17,2,FALSE)*U95)+(VLOOKUP($V$2,Prices!$J$3:$K$17,2,FALSE)*V95)+(VLOOKUP($W$2,Prices!$J$3:$K$17,2,FALSE)*W95)+(VLOOKUP($X$2,Prices!$J$3:$K$17,2,FALSE)*X95)+(VLOOKUP($Y$2,Prices!$J$3:$K$17,2,FALSE)*Y95)+(VLOOKUP($Z$2,Prices!$J$3:$K$17,2,FALSE)*Z95)+(VLOOKUP($AA$2,Prices!$J$3:$K$17,2,FALSE)*AA95)+(VLOOKUP($AB$2,Prices!$J$3:$K$17,2,FALSE)*AB95)+M95</f>
        <v>2974950</v>
      </c>
      <c r="AD95" s="18"/>
      <c r="AE95" s="18"/>
      <c r="AF95" s="4">
        <f t="shared" si="4"/>
        <v>0</v>
      </c>
      <c r="AG95" s="4"/>
      <c r="AH95" s="16">
        <f t="shared" si="6"/>
        <v>0</v>
      </c>
      <c r="AI95" s="21">
        <f t="shared" si="5"/>
        <v>0</v>
      </c>
      <c r="AJ95" s="20">
        <f t="shared" si="7"/>
        <v>0</v>
      </c>
      <c r="AK95" s="9"/>
    </row>
    <row r="96" spans="1:37" hidden="1">
      <c r="A96" s="3">
        <v>94</v>
      </c>
      <c r="B96" s="12"/>
      <c r="C96" s="13"/>
      <c r="D96" s="13"/>
      <c r="E96" s="13"/>
      <c r="F96" s="13"/>
      <c r="G96" s="13"/>
      <c r="H96" s="15"/>
      <c r="I96" s="45" t="s">
        <v>742</v>
      </c>
      <c r="J96" s="45" t="s">
        <v>1388</v>
      </c>
      <c r="K96" s="46" t="s">
        <v>664</v>
      </c>
      <c r="L96" s="47" t="s">
        <v>1034</v>
      </c>
      <c r="M96" s="66">
        <f>IFERROR(VLOOKUP($L96,[3]Consolidated!$C$9:$AC$452,27,0),0)</f>
        <v>2034550</v>
      </c>
      <c r="N96" s="66">
        <f>IFERROR(VLOOKUP($L96,[3]Consolidated!$C$9:$AC$452,5,0),0)</f>
        <v>10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4">
        <f>(VLOOKUP($O$2,Prices!$E$3:$K$17,2,FALSE)*O96)+(VLOOKUP($P$2,Prices!$J$3:$K$17,2,FALSE)*P96)+(VLOOKUP($Q$2,Prices!$J$3:$K$17,2,FALSE)*Q96)+(VLOOKUP($R$2,Prices!$J$3:$K$17,2,FALSE)*R96)+(VLOOKUP($S$2,Prices!$J$3:$K$17,2,FALSE)*S96)+(VLOOKUP($T$2,Prices!$J$3:$K$17,2,FALSE)*T96)+(VLOOKUP($U$2,Prices!$J$3:$K$17,2,FALSE)*U96)+(VLOOKUP($V$2,Prices!$J$3:$K$17,2,FALSE)*V96)+(VLOOKUP($W$2,Prices!$J$3:$K$17,2,FALSE)*W96)+(VLOOKUP($X$2,Prices!$J$3:$K$17,2,FALSE)*X96)+(VLOOKUP($Y$2,Prices!$J$3:$K$17,2,FALSE)*Y96)+(VLOOKUP($Z$2,Prices!$J$3:$K$17,2,FALSE)*Z96)+(VLOOKUP($AA$2,Prices!$J$3:$K$17,2,FALSE)*AA96)+(VLOOKUP($AB$2,Prices!$J$3:$K$17,2,FALSE)*AB96)+M96</f>
        <v>2034550</v>
      </c>
      <c r="AD96" s="18"/>
      <c r="AE96" s="18"/>
      <c r="AF96" s="4">
        <f t="shared" si="4"/>
        <v>0</v>
      </c>
      <c r="AG96" s="4"/>
      <c r="AH96" s="16">
        <f t="shared" si="6"/>
        <v>0</v>
      </c>
      <c r="AI96" s="21">
        <f t="shared" si="5"/>
        <v>0</v>
      </c>
      <c r="AJ96" s="20">
        <f t="shared" si="7"/>
        <v>0</v>
      </c>
      <c r="AK96" s="9"/>
    </row>
    <row r="97" spans="1:37" hidden="1">
      <c r="A97" s="3">
        <v>95</v>
      </c>
      <c r="B97" s="12"/>
      <c r="C97" s="13"/>
      <c r="D97" s="13"/>
      <c r="E97" s="13"/>
      <c r="F97" s="13"/>
      <c r="G97" s="13"/>
      <c r="H97" s="15"/>
      <c r="I97" s="45" t="s">
        <v>743</v>
      </c>
      <c r="J97" s="45" t="s">
        <v>1388</v>
      </c>
      <c r="K97" s="46" t="s">
        <v>664</v>
      </c>
      <c r="L97" s="47" t="s">
        <v>1035</v>
      </c>
      <c r="M97" s="66">
        <f>IFERROR(VLOOKUP($L97,[3]Consolidated!$C$9:$AC$452,27,0),0)</f>
        <v>7656500</v>
      </c>
      <c r="N97" s="66">
        <f>IFERROR(VLOOKUP($L97,[3]Consolidated!$C$9:$AC$452,5,0),0)</f>
        <v>40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4">
        <f>(VLOOKUP($O$2,Prices!$E$3:$K$17,2,FALSE)*O97)+(VLOOKUP($P$2,Prices!$J$3:$K$17,2,FALSE)*P97)+(VLOOKUP($Q$2,Prices!$J$3:$K$17,2,FALSE)*Q97)+(VLOOKUP($R$2,Prices!$J$3:$K$17,2,FALSE)*R97)+(VLOOKUP($S$2,Prices!$J$3:$K$17,2,FALSE)*S97)+(VLOOKUP($T$2,Prices!$J$3:$K$17,2,FALSE)*T97)+(VLOOKUP($U$2,Prices!$J$3:$K$17,2,FALSE)*U97)+(VLOOKUP($V$2,Prices!$J$3:$K$17,2,FALSE)*V97)+(VLOOKUP($W$2,Prices!$J$3:$K$17,2,FALSE)*W97)+(VLOOKUP($X$2,Prices!$J$3:$K$17,2,FALSE)*X97)+(VLOOKUP($Y$2,Prices!$J$3:$K$17,2,FALSE)*Y97)+(VLOOKUP($Z$2,Prices!$J$3:$K$17,2,FALSE)*Z97)+(VLOOKUP($AA$2,Prices!$J$3:$K$17,2,FALSE)*AA97)+(VLOOKUP($AB$2,Prices!$J$3:$K$17,2,FALSE)*AB97)+M97</f>
        <v>7656500</v>
      </c>
      <c r="AD97" s="18"/>
      <c r="AE97" s="18"/>
      <c r="AF97" s="4">
        <f t="shared" si="4"/>
        <v>0</v>
      </c>
      <c r="AG97" s="4"/>
      <c r="AH97" s="16">
        <f t="shared" si="6"/>
        <v>0</v>
      </c>
      <c r="AI97" s="21">
        <f t="shared" si="5"/>
        <v>0</v>
      </c>
      <c r="AJ97" s="20">
        <f t="shared" si="7"/>
        <v>0</v>
      </c>
      <c r="AK97" s="9"/>
    </row>
    <row r="98" spans="1:37" hidden="1">
      <c r="A98" s="3">
        <v>96</v>
      </c>
      <c r="B98" s="12"/>
      <c r="C98" s="13"/>
      <c r="D98" s="13"/>
      <c r="E98" s="13"/>
      <c r="F98" s="13"/>
      <c r="G98" s="13"/>
      <c r="H98" s="15"/>
      <c r="I98" s="45" t="s">
        <v>744</v>
      </c>
      <c r="J98" s="45" t="s">
        <v>1388</v>
      </c>
      <c r="K98" s="46" t="s">
        <v>664</v>
      </c>
      <c r="L98" s="47" t="s">
        <v>1036</v>
      </c>
      <c r="M98" s="66">
        <f>IFERROR(VLOOKUP($L98,[3]Consolidated!$C$9:$AC$452,27,0),0)</f>
        <v>2016300</v>
      </c>
      <c r="N98" s="66">
        <f>IFERROR(VLOOKUP($L98,[3]Consolidated!$C$9:$AC$452,5,0),0)</f>
        <v>10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4">
        <f>(VLOOKUP($O$2,Prices!$E$3:$K$17,2,FALSE)*O98)+(VLOOKUP($P$2,Prices!$J$3:$K$17,2,FALSE)*P98)+(VLOOKUP($Q$2,Prices!$J$3:$K$17,2,FALSE)*Q98)+(VLOOKUP($R$2,Prices!$J$3:$K$17,2,FALSE)*R98)+(VLOOKUP($S$2,Prices!$J$3:$K$17,2,FALSE)*S98)+(VLOOKUP($T$2,Prices!$J$3:$K$17,2,FALSE)*T98)+(VLOOKUP($U$2,Prices!$J$3:$K$17,2,FALSE)*U98)+(VLOOKUP($V$2,Prices!$J$3:$K$17,2,FALSE)*V98)+(VLOOKUP($W$2,Prices!$J$3:$K$17,2,FALSE)*W98)+(VLOOKUP($X$2,Prices!$J$3:$K$17,2,FALSE)*X98)+(VLOOKUP($Y$2,Prices!$J$3:$K$17,2,FALSE)*Y98)+(VLOOKUP($Z$2,Prices!$J$3:$K$17,2,FALSE)*Z98)+(VLOOKUP($AA$2,Prices!$J$3:$K$17,2,FALSE)*AA98)+(VLOOKUP($AB$2,Prices!$J$3:$K$17,2,FALSE)*AB98)+M98</f>
        <v>2016300</v>
      </c>
      <c r="AD98" s="18"/>
      <c r="AE98" s="18"/>
      <c r="AF98" s="4">
        <f t="shared" si="4"/>
        <v>0</v>
      </c>
      <c r="AG98" s="4"/>
      <c r="AH98" s="16">
        <f t="shared" si="6"/>
        <v>0</v>
      </c>
      <c r="AI98" s="21">
        <f t="shared" si="5"/>
        <v>0</v>
      </c>
      <c r="AJ98" s="20">
        <f t="shared" si="7"/>
        <v>0</v>
      </c>
      <c r="AK98" s="9"/>
    </row>
    <row r="99" spans="1:37" hidden="1">
      <c r="A99" s="3">
        <v>97</v>
      </c>
      <c r="B99" s="12"/>
      <c r="C99" s="13"/>
      <c r="D99" s="13"/>
      <c r="E99" s="13"/>
      <c r="F99" s="13"/>
      <c r="G99" s="13"/>
      <c r="H99" s="15"/>
      <c r="I99" s="45" t="s">
        <v>745</v>
      </c>
      <c r="J99" s="45" t="s">
        <v>1388</v>
      </c>
      <c r="K99" s="46" t="s">
        <v>664</v>
      </c>
      <c r="L99" s="47" t="s">
        <v>1037</v>
      </c>
      <c r="M99" s="66">
        <f>IFERROR(VLOOKUP($L99,[3]Consolidated!$C$9:$AC$452,27,0),0)</f>
        <v>10465700</v>
      </c>
      <c r="N99" s="66">
        <f>IFERROR(VLOOKUP($L99,[3]Consolidated!$C$9:$AC$452,5,0),0)</f>
        <v>50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4">
        <f>(VLOOKUP($O$2,Prices!$E$3:$K$17,2,FALSE)*O99)+(VLOOKUP($P$2,Prices!$J$3:$K$17,2,FALSE)*P99)+(VLOOKUP($Q$2,Prices!$J$3:$K$17,2,FALSE)*Q99)+(VLOOKUP($R$2,Prices!$J$3:$K$17,2,FALSE)*R99)+(VLOOKUP($S$2,Prices!$J$3:$K$17,2,FALSE)*S99)+(VLOOKUP($T$2,Prices!$J$3:$K$17,2,FALSE)*T99)+(VLOOKUP($U$2,Prices!$J$3:$K$17,2,FALSE)*U99)+(VLOOKUP($V$2,Prices!$J$3:$K$17,2,FALSE)*V99)+(VLOOKUP($W$2,Prices!$J$3:$K$17,2,FALSE)*W99)+(VLOOKUP($X$2,Prices!$J$3:$K$17,2,FALSE)*X99)+(VLOOKUP($Y$2,Prices!$J$3:$K$17,2,FALSE)*Y99)+(VLOOKUP($Z$2,Prices!$J$3:$K$17,2,FALSE)*Z99)+(VLOOKUP($AA$2,Prices!$J$3:$K$17,2,FALSE)*AA99)+(VLOOKUP($AB$2,Prices!$J$3:$K$17,2,FALSE)*AB99)+M99</f>
        <v>10465700</v>
      </c>
      <c r="AD99" s="18"/>
      <c r="AE99" s="18"/>
      <c r="AF99" s="4">
        <f t="shared" si="4"/>
        <v>0</v>
      </c>
      <c r="AG99" s="4"/>
      <c r="AH99" s="16">
        <f t="shared" si="6"/>
        <v>0</v>
      </c>
      <c r="AI99" s="21">
        <f t="shared" si="5"/>
        <v>0</v>
      </c>
      <c r="AJ99" s="20">
        <f t="shared" si="7"/>
        <v>0</v>
      </c>
      <c r="AK99" s="9"/>
    </row>
    <row r="100" spans="1:37" hidden="1">
      <c r="A100" s="3">
        <v>98</v>
      </c>
      <c r="B100" s="12"/>
      <c r="C100" s="13"/>
      <c r="D100" s="13"/>
      <c r="E100" s="13"/>
      <c r="F100" s="13"/>
      <c r="G100" s="13"/>
      <c r="H100" s="15"/>
      <c r="I100" s="45" t="s">
        <v>746</v>
      </c>
      <c r="J100" s="45" t="s">
        <v>1388</v>
      </c>
      <c r="K100" s="46" t="s">
        <v>664</v>
      </c>
      <c r="L100" s="47" t="s">
        <v>1038</v>
      </c>
      <c r="M100" s="66">
        <f>IFERROR(VLOOKUP($L100,[3]Consolidated!$C$9:$AC$452,27,0),0)</f>
        <v>9637500</v>
      </c>
      <c r="N100" s="66">
        <f>IFERROR(VLOOKUP($L100,[3]Consolidated!$C$9:$AC$452,5,0),0)</f>
        <v>50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4">
        <f>(VLOOKUP($O$2,Prices!$E$3:$K$17,2,FALSE)*O100)+(VLOOKUP($P$2,Prices!$J$3:$K$17,2,FALSE)*P100)+(VLOOKUP($Q$2,Prices!$J$3:$K$17,2,FALSE)*Q100)+(VLOOKUP($R$2,Prices!$J$3:$K$17,2,FALSE)*R100)+(VLOOKUP($S$2,Prices!$J$3:$K$17,2,FALSE)*S100)+(VLOOKUP($T$2,Prices!$J$3:$K$17,2,FALSE)*T100)+(VLOOKUP($U$2,Prices!$J$3:$K$17,2,FALSE)*U100)+(VLOOKUP($V$2,Prices!$J$3:$K$17,2,FALSE)*V100)+(VLOOKUP($W$2,Prices!$J$3:$K$17,2,FALSE)*W100)+(VLOOKUP($X$2,Prices!$J$3:$K$17,2,FALSE)*X100)+(VLOOKUP($Y$2,Prices!$J$3:$K$17,2,FALSE)*Y100)+(VLOOKUP($Z$2,Prices!$J$3:$K$17,2,FALSE)*Z100)+(VLOOKUP($AA$2,Prices!$J$3:$K$17,2,FALSE)*AA100)+(VLOOKUP($AB$2,Prices!$J$3:$K$17,2,FALSE)*AB100)+M100</f>
        <v>9637500</v>
      </c>
      <c r="AD100" s="18"/>
      <c r="AE100" s="18"/>
      <c r="AF100" s="4">
        <f t="shared" si="4"/>
        <v>0</v>
      </c>
      <c r="AG100" s="4"/>
      <c r="AH100" s="16">
        <f t="shared" si="6"/>
        <v>0</v>
      </c>
      <c r="AI100" s="21">
        <f t="shared" si="5"/>
        <v>0</v>
      </c>
      <c r="AJ100" s="20">
        <f t="shared" si="7"/>
        <v>0</v>
      </c>
      <c r="AK100" s="9"/>
    </row>
    <row r="101" spans="1:37" hidden="1">
      <c r="A101" s="3">
        <v>99</v>
      </c>
      <c r="B101" s="12"/>
      <c r="C101" s="13"/>
      <c r="D101" s="13"/>
      <c r="E101" s="13"/>
      <c r="F101" s="13"/>
      <c r="G101" s="13"/>
      <c r="H101" s="15"/>
      <c r="I101" s="45" t="s">
        <v>747</v>
      </c>
      <c r="J101" s="45" t="s">
        <v>1388</v>
      </c>
      <c r="K101" s="46" t="s">
        <v>664</v>
      </c>
      <c r="L101" s="47" t="s">
        <v>1039</v>
      </c>
      <c r="M101" s="66">
        <f>IFERROR(VLOOKUP($L101,[3]Consolidated!$C$9:$AC$452,27,0),0)</f>
        <v>12040150</v>
      </c>
      <c r="N101" s="66">
        <f>IFERROR(VLOOKUP($L101,[3]Consolidated!$C$9:$AC$452,5,0),0)</f>
        <v>60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4">
        <f>(VLOOKUP($O$2,Prices!$E$3:$K$17,2,FALSE)*O101)+(VLOOKUP($P$2,Prices!$J$3:$K$17,2,FALSE)*P101)+(VLOOKUP($Q$2,Prices!$J$3:$K$17,2,FALSE)*Q101)+(VLOOKUP($R$2,Prices!$J$3:$K$17,2,FALSE)*R101)+(VLOOKUP($S$2,Prices!$J$3:$K$17,2,FALSE)*S101)+(VLOOKUP($T$2,Prices!$J$3:$K$17,2,FALSE)*T101)+(VLOOKUP($U$2,Prices!$J$3:$K$17,2,FALSE)*U101)+(VLOOKUP($V$2,Prices!$J$3:$K$17,2,FALSE)*V101)+(VLOOKUP($W$2,Prices!$J$3:$K$17,2,FALSE)*W101)+(VLOOKUP($X$2,Prices!$J$3:$K$17,2,FALSE)*X101)+(VLOOKUP($Y$2,Prices!$J$3:$K$17,2,FALSE)*Y101)+(VLOOKUP($Z$2,Prices!$J$3:$K$17,2,FALSE)*Z101)+(VLOOKUP($AA$2,Prices!$J$3:$K$17,2,FALSE)*AA101)+(VLOOKUP($AB$2,Prices!$J$3:$K$17,2,FALSE)*AB101)+M101</f>
        <v>12040150</v>
      </c>
      <c r="AD101" s="18"/>
      <c r="AE101" s="18"/>
      <c r="AF101" s="4">
        <f t="shared" si="4"/>
        <v>0</v>
      </c>
      <c r="AG101" s="4"/>
      <c r="AH101" s="16">
        <f t="shared" si="6"/>
        <v>0</v>
      </c>
      <c r="AI101" s="21">
        <f t="shared" si="5"/>
        <v>0</v>
      </c>
      <c r="AJ101" s="20">
        <f t="shared" si="7"/>
        <v>0</v>
      </c>
      <c r="AK101" s="19"/>
    </row>
    <row r="102" spans="1:37" hidden="1">
      <c r="A102" s="3">
        <v>100</v>
      </c>
      <c r="B102" s="12"/>
      <c r="C102" s="13"/>
      <c r="D102" s="13"/>
      <c r="E102" s="13"/>
      <c r="F102" s="13"/>
      <c r="G102" s="13"/>
      <c r="H102" s="15"/>
      <c r="I102" s="45" t="s">
        <v>748</v>
      </c>
      <c r="J102" s="45" t="s">
        <v>1388</v>
      </c>
      <c r="K102" s="46" t="s">
        <v>664</v>
      </c>
      <c r="L102" s="47" t="s">
        <v>1040</v>
      </c>
      <c r="M102" s="66">
        <f>IFERROR(VLOOKUP($L102,[3]Consolidated!$C$9:$AC$452,27,0),0)</f>
        <v>0</v>
      </c>
      <c r="N102" s="66">
        <f>IFERROR(VLOOKUP($L102,[3]Consolidated!$C$9:$AC$452,5,0),0)</f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4">
        <f>(VLOOKUP($O$2,Prices!$E$3:$K$17,2,FALSE)*O102)+(VLOOKUP($P$2,Prices!$J$3:$K$17,2,FALSE)*P102)+(VLOOKUP($Q$2,Prices!$J$3:$K$17,2,FALSE)*Q102)+(VLOOKUP($R$2,Prices!$J$3:$K$17,2,FALSE)*R102)+(VLOOKUP($S$2,Prices!$J$3:$K$17,2,FALSE)*S102)+(VLOOKUP($T$2,Prices!$J$3:$K$17,2,FALSE)*T102)+(VLOOKUP($U$2,Prices!$J$3:$K$17,2,FALSE)*U102)+(VLOOKUP($V$2,Prices!$J$3:$K$17,2,FALSE)*V102)+(VLOOKUP($W$2,Prices!$J$3:$K$17,2,FALSE)*W102)+(VLOOKUP($X$2,Prices!$J$3:$K$17,2,FALSE)*X102)+(VLOOKUP($Y$2,Prices!$J$3:$K$17,2,FALSE)*Y102)+(VLOOKUP($Z$2,Prices!$J$3:$K$17,2,FALSE)*Z102)+(VLOOKUP($AA$2,Prices!$J$3:$K$17,2,FALSE)*AA102)+(VLOOKUP($AB$2,Prices!$J$3:$K$17,2,FALSE)*AB102)+M102</f>
        <v>0</v>
      </c>
      <c r="AD102" s="18"/>
      <c r="AE102" s="18"/>
      <c r="AF102" s="4">
        <f t="shared" si="4"/>
        <v>0</v>
      </c>
      <c r="AG102" s="4"/>
      <c r="AH102" s="16">
        <f t="shared" si="6"/>
        <v>0</v>
      </c>
      <c r="AI102" s="21" t="e">
        <f t="shared" si="5"/>
        <v>#DIV/0!</v>
      </c>
      <c r="AJ102" s="20" t="e">
        <f t="shared" si="7"/>
        <v>#DIV/0!</v>
      </c>
      <c r="AK102" s="9"/>
    </row>
    <row r="103" spans="1:37" hidden="1">
      <c r="A103" s="3">
        <v>101</v>
      </c>
      <c r="B103" s="12"/>
      <c r="C103" s="13"/>
      <c r="D103" s="13"/>
      <c r="E103" s="13"/>
      <c r="F103" s="13"/>
      <c r="G103" s="13"/>
      <c r="H103" s="15"/>
      <c r="I103" s="45" t="s">
        <v>749</v>
      </c>
      <c r="J103" s="45" t="s">
        <v>1388</v>
      </c>
      <c r="K103" s="46" t="s">
        <v>664</v>
      </c>
      <c r="L103" s="47" t="s">
        <v>1041</v>
      </c>
      <c r="M103" s="66">
        <f>IFERROR(VLOOKUP($L103,[3]Consolidated!$C$9:$AC$452,27,0),0)</f>
        <v>2977500</v>
      </c>
      <c r="N103" s="66">
        <f>IFERROR(VLOOKUP($L103,[3]Consolidated!$C$9:$AC$452,5,0),0)</f>
        <v>15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4">
        <f>(VLOOKUP($O$2,Prices!$E$3:$K$17,2,FALSE)*O103)+(VLOOKUP($P$2,Prices!$J$3:$K$17,2,FALSE)*P103)+(VLOOKUP($Q$2,Prices!$J$3:$K$17,2,FALSE)*Q103)+(VLOOKUP($R$2,Prices!$J$3:$K$17,2,FALSE)*R103)+(VLOOKUP($S$2,Prices!$J$3:$K$17,2,FALSE)*S103)+(VLOOKUP($T$2,Prices!$J$3:$K$17,2,FALSE)*T103)+(VLOOKUP($U$2,Prices!$J$3:$K$17,2,FALSE)*U103)+(VLOOKUP($V$2,Prices!$J$3:$K$17,2,FALSE)*V103)+(VLOOKUP($W$2,Prices!$J$3:$K$17,2,FALSE)*W103)+(VLOOKUP($X$2,Prices!$J$3:$K$17,2,FALSE)*X103)+(VLOOKUP($Y$2,Prices!$J$3:$K$17,2,FALSE)*Y103)+(VLOOKUP($Z$2,Prices!$J$3:$K$17,2,FALSE)*Z103)+(VLOOKUP($AA$2,Prices!$J$3:$K$17,2,FALSE)*AA103)+(VLOOKUP($AB$2,Prices!$J$3:$K$17,2,FALSE)*AB103)+M103</f>
        <v>2977500</v>
      </c>
      <c r="AD103" s="18"/>
      <c r="AE103" s="18"/>
      <c r="AF103" s="4">
        <f t="shared" si="4"/>
        <v>0</v>
      </c>
      <c r="AG103" s="4"/>
      <c r="AH103" s="16">
        <f t="shared" si="6"/>
        <v>0</v>
      </c>
      <c r="AI103" s="21">
        <f t="shared" si="5"/>
        <v>0</v>
      </c>
      <c r="AJ103" s="20">
        <f t="shared" si="7"/>
        <v>0</v>
      </c>
      <c r="AK103" s="9"/>
    </row>
    <row r="104" spans="1:37" hidden="1">
      <c r="A104" s="3">
        <v>102</v>
      </c>
      <c r="B104" s="12"/>
      <c r="C104" s="13"/>
      <c r="D104" s="13"/>
      <c r="E104" s="13"/>
      <c r="F104" s="13"/>
      <c r="G104" s="13"/>
      <c r="H104" s="15"/>
      <c r="I104" s="45" t="s">
        <v>750</v>
      </c>
      <c r="J104" s="45" t="s">
        <v>1388</v>
      </c>
      <c r="K104" s="46" t="s">
        <v>664</v>
      </c>
      <c r="L104" s="47" t="s">
        <v>1042</v>
      </c>
      <c r="M104" s="66">
        <f>IFERROR(VLOOKUP($L104,[3]Consolidated!$C$9:$AC$452,27,0),0)</f>
        <v>3248000</v>
      </c>
      <c r="N104" s="66">
        <f>IFERROR(VLOOKUP($L104,[3]Consolidated!$C$9:$AC$452,5,0),0)</f>
        <v>15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4">
        <f>(VLOOKUP($O$2,Prices!$E$3:$K$17,2,FALSE)*O104)+(VLOOKUP($P$2,Prices!$J$3:$K$17,2,FALSE)*P104)+(VLOOKUP($Q$2,Prices!$J$3:$K$17,2,FALSE)*Q104)+(VLOOKUP($R$2,Prices!$J$3:$K$17,2,FALSE)*R104)+(VLOOKUP($S$2,Prices!$J$3:$K$17,2,FALSE)*S104)+(VLOOKUP($T$2,Prices!$J$3:$K$17,2,FALSE)*T104)+(VLOOKUP($U$2,Prices!$J$3:$K$17,2,FALSE)*U104)+(VLOOKUP($V$2,Prices!$J$3:$K$17,2,FALSE)*V104)+(VLOOKUP($W$2,Prices!$J$3:$K$17,2,FALSE)*W104)+(VLOOKUP($X$2,Prices!$J$3:$K$17,2,FALSE)*X104)+(VLOOKUP($Y$2,Prices!$J$3:$K$17,2,FALSE)*Y104)+(VLOOKUP($Z$2,Prices!$J$3:$K$17,2,FALSE)*Z104)+(VLOOKUP($AA$2,Prices!$J$3:$K$17,2,FALSE)*AA104)+(VLOOKUP($AB$2,Prices!$J$3:$K$17,2,FALSE)*AB104)+M104</f>
        <v>3248000</v>
      </c>
      <c r="AD104" s="18"/>
      <c r="AE104" s="18"/>
      <c r="AF104" s="4">
        <f t="shared" si="4"/>
        <v>0</v>
      </c>
      <c r="AG104" s="4"/>
      <c r="AH104" s="16">
        <f t="shared" si="6"/>
        <v>0</v>
      </c>
      <c r="AI104" s="21">
        <f t="shared" si="5"/>
        <v>0</v>
      </c>
      <c r="AJ104" s="20">
        <f t="shared" si="7"/>
        <v>0</v>
      </c>
      <c r="AK104" s="9"/>
    </row>
    <row r="105" spans="1:37" hidden="1">
      <c r="A105" s="3">
        <v>103</v>
      </c>
      <c r="B105" s="12"/>
      <c r="C105" s="13"/>
      <c r="D105" s="13"/>
      <c r="E105" s="13"/>
      <c r="F105" s="13"/>
      <c r="G105" s="13"/>
      <c r="H105" s="15"/>
      <c r="I105" s="45" t="s">
        <v>751</v>
      </c>
      <c r="J105" s="45" t="s">
        <v>1388</v>
      </c>
      <c r="K105" s="46" t="s">
        <v>664</v>
      </c>
      <c r="L105" s="47" t="s">
        <v>1043</v>
      </c>
      <c r="M105" s="66">
        <f>IFERROR(VLOOKUP($L105,[3]Consolidated!$C$9:$AC$452,27,0),0)</f>
        <v>7263300</v>
      </c>
      <c r="N105" s="66">
        <f>IFERROR(VLOOKUP($L105,[3]Consolidated!$C$9:$AC$452,5,0),0)</f>
        <v>35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4">
        <f>(VLOOKUP($O$2,Prices!$E$3:$K$17,2,FALSE)*O105)+(VLOOKUP($P$2,Prices!$J$3:$K$17,2,FALSE)*P105)+(VLOOKUP($Q$2,Prices!$J$3:$K$17,2,FALSE)*Q105)+(VLOOKUP($R$2,Prices!$J$3:$K$17,2,FALSE)*R105)+(VLOOKUP($S$2,Prices!$J$3:$K$17,2,FALSE)*S105)+(VLOOKUP($T$2,Prices!$J$3:$K$17,2,FALSE)*T105)+(VLOOKUP($U$2,Prices!$J$3:$K$17,2,FALSE)*U105)+(VLOOKUP($V$2,Prices!$J$3:$K$17,2,FALSE)*V105)+(VLOOKUP($W$2,Prices!$J$3:$K$17,2,FALSE)*W105)+(VLOOKUP($X$2,Prices!$J$3:$K$17,2,FALSE)*X105)+(VLOOKUP($Y$2,Prices!$J$3:$K$17,2,FALSE)*Y105)+(VLOOKUP($Z$2,Prices!$J$3:$K$17,2,FALSE)*Z105)+(VLOOKUP($AA$2,Prices!$J$3:$K$17,2,FALSE)*AA105)+(VLOOKUP($AB$2,Prices!$J$3:$K$17,2,FALSE)*AB105)+M105</f>
        <v>7263300</v>
      </c>
      <c r="AD105" s="18"/>
      <c r="AE105" s="18"/>
      <c r="AF105" s="4">
        <f t="shared" si="4"/>
        <v>0</v>
      </c>
      <c r="AG105" s="4"/>
      <c r="AH105" s="16">
        <f t="shared" si="6"/>
        <v>0</v>
      </c>
      <c r="AI105" s="21">
        <f t="shared" si="5"/>
        <v>0</v>
      </c>
      <c r="AJ105" s="20">
        <f t="shared" si="7"/>
        <v>0</v>
      </c>
      <c r="AK105" s="9"/>
    </row>
    <row r="106" spans="1:37" hidden="1">
      <c r="A106" s="3">
        <v>104</v>
      </c>
      <c r="B106" s="12"/>
      <c r="C106" s="13"/>
      <c r="D106" s="13"/>
      <c r="E106" s="13"/>
      <c r="F106" s="13"/>
      <c r="G106" s="13"/>
      <c r="H106" s="15"/>
      <c r="I106" s="45" t="s">
        <v>752</v>
      </c>
      <c r="J106" s="45" t="s">
        <v>1388</v>
      </c>
      <c r="K106" s="46" t="s">
        <v>664</v>
      </c>
      <c r="L106" s="47" t="s">
        <v>1044</v>
      </c>
      <c r="M106" s="66">
        <f>IFERROR(VLOOKUP($L106,[3]Consolidated!$C$9:$AC$452,27,0),0)</f>
        <v>7473000</v>
      </c>
      <c r="N106" s="66">
        <f>IFERROR(VLOOKUP($L106,[3]Consolidated!$C$9:$AC$452,5,0),0)</f>
        <v>35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4">
        <f>(VLOOKUP($O$2,Prices!$E$3:$K$17,2,FALSE)*O106)+(VLOOKUP($P$2,Prices!$J$3:$K$17,2,FALSE)*P106)+(VLOOKUP($Q$2,Prices!$J$3:$K$17,2,FALSE)*Q106)+(VLOOKUP($R$2,Prices!$J$3:$K$17,2,FALSE)*R106)+(VLOOKUP($S$2,Prices!$J$3:$K$17,2,FALSE)*S106)+(VLOOKUP($T$2,Prices!$J$3:$K$17,2,FALSE)*T106)+(VLOOKUP($U$2,Prices!$J$3:$K$17,2,FALSE)*U106)+(VLOOKUP($V$2,Prices!$J$3:$K$17,2,FALSE)*V106)+(VLOOKUP($W$2,Prices!$J$3:$K$17,2,FALSE)*W106)+(VLOOKUP($X$2,Prices!$J$3:$K$17,2,FALSE)*X106)+(VLOOKUP($Y$2,Prices!$J$3:$K$17,2,FALSE)*Y106)+(VLOOKUP($Z$2,Prices!$J$3:$K$17,2,FALSE)*Z106)+(VLOOKUP($AA$2,Prices!$J$3:$K$17,2,FALSE)*AA106)+(VLOOKUP($AB$2,Prices!$J$3:$K$17,2,FALSE)*AB106)+M106</f>
        <v>7473000</v>
      </c>
      <c r="AD106" s="18"/>
      <c r="AE106" s="18"/>
      <c r="AF106" s="4">
        <f t="shared" si="4"/>
        <v>0</v>
      </c>
      <c r="AG106" s="4"/>
      <c r="AH106" s="16">
        <f t="shared" si="6"/>
        <v>0</v>
      </c>
      <c r="AI106" s="21">
        <f t="shared" si="5"/>
        <v>0</v>
      </c>
      <c r="AJ106" s="20">
        <f t="shared" si="7"/>
        <v>0</v>
      </c>
      <c r="AK106" s="9"/>
    </row>
    <row r="107" spans="1:37" hidden="1">
      <c r="A107" s="3">
        <v>105</v>
      </c>
      <c r="B107" s="12"/>
      <c r="C107" s="13"/>
      <c r="D107" s="13"/>
      <c r="E107" s="13"/>
      <c r="F107" s="13"/>
      <c r="G107" s="13"/>
      <c r="H107" s="15"/>
      <c r="I107" s="45" t="s">
        <v>753</v>
      </c>
      <c r="J107" s="45" t="s">
        <v>1388</v>
      </c>
      <c r="K107" s="46" t="s">
        <v>664</v>
      </c>
      <c r="L107" s="47" t="s">
        <v>1045</v>
      </c>
      <c r="M107" s="66">
        <f>IFERROR(VLOOKUP($L107,[3]Consolidated!$C$9:$AC$452,27,0),0)</f>
        <v>7004650</v>
      </c>
      <c r="N107" s="66">
        <f>IFERROR(VLOOKUP($L107,[3]Consolidated!$C$9:$AC$452,5,0),0)</f>
        <v>35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4">
        <f>(VLOOKUP($O$2,Prices!$E$3:$K$17,2,FALSE)*O107)+(VLOOKUP($P$2,Prices!$J$3:$K$17,2,FALSE)*P107)+(VLOOKUP($Q$2,Prices!$J$3:$K$17,2,FALSE)*Q107)+(VLOOKUP($R$2,Prices!$J$3:$K$17,2,FALSE)*R107)+(VLOOKUP($S$2,Prices!$J$3:$K$17,2,FALSE)*S107)+(VLOOKUP($T$2,Prices!$J$3:$K$17,2,FALSE)*T107)+(VLOOKUP($U$2,Prices!$J$3:$K$17,2,FALSE)*U107)+(VLOOKUP($V$2,Prices!$J$3:$K$17,2,FALSE)*V107)+(VLOOKUP($W$2,Prices!$J$3:$K$17,2,FALSE)*W107)+(VLOOKUP($X$2,Prices!$J$3:$K$17,2,FALSE)*X107)+(VLOOKUP($Y$2,Prices!$J$3:$K$17,2,FALSE)*Y107)+(VLOOKUP($Z$2,Prices!$J$3:$K$17,2,FALSE)*Z107)+(VLOOKUP($AA$2,Prices!$J$3:$K$17,2,FALSE)*AA107)+(VLOOKUP($AB$2,Prices!$J$3:$K$17,2,FALSE)*AB107)+M107</f>
        <v>7004650</v>
      </c>
      <c r="AD107" s="18"/>
      <c r="AE107" s="18"/>
      <c r="AF107" s="4">
        <f t="shared" si="4"/>
        <v>0</v>
      </c>
      <c r="AG107" s="4"/>
      <c r="AH107" s="16">
        <f t="shared" si="6"/>
        <v>0</v>
      </c>
      <c r="AI107" s="21">
        <f t="shared" si="5"/>
        <v>0</v>
      </c>
      <c r="AJ107" s="20">
        <f t="shared" si="7"/>
        <v>0</v>
      </c>
      <c r="AK107" s="9"/>
    </row>
    <row r="108" spans="1:37" hidden="1">
      <c r="A108" s="3">
        <v>106</v>
      </c>
      <c r="B108" s="12"/>
      <c r="C108" s="13"/>
      <c r="D108" s="13"/>
      <c r="E108" s="13"/>
      <c r="F108" s="13"/>
      <c r="G108" s="13"/>
      <c r="H108" s="15"/>
      <c r="I108" s="45" t="s">
        <v>754</v>
      </c>
      <c r="J108" s="45" t="s">
        <v>1388</v>
      </c>
      <c r="K108" s="46" t="s">
        <v>664</v>
      </c>
      <c r="L108" s="47" t="s">
        <v>1046</v>
      </c>
      <c r="M108" s="66">
        <f>IFERROR(VLOOKUP($L108,[3]Consolidated!$C$9:$AC$452,27,0),0)</f>
        <v>2006350</v>
      </c>
      <c r="N108" s="66">
        <f>IFERROR(VLOOKUP($L108,[3]Consolidated!$C$9:$AC$452,5,0),0)</f>
        <v>10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4">
        <f>(VLOOKUP($O$2,Prices!$E$3:$K$17,2,FALSE)*O108)+(VLOOKUP($P$2,Prices!$J$3:$K$17,2,FALSE)*P108)+(VLOOKUP($Q$2,Prices!$J$3:$K$17,2,FALSE)*Q108)+(VLOOKUP($R$2,Prices!$J$3:$K$17,2,FALSE)*R108)+(VLOOKUP($S$2,Prices!$J$3:$K$17,2,FALSE)*S108)+(VLOOKUP($T$2,Prices!$J$3:$K$17,2,FALSE)*T108)+(VLOOKUP($U$2,Prices!$J$3:$K$17,2,FALSE)*U108)+(VLOOKUP($V$2,Prices!$J$3:$K$17,2,FALSE)*V108)+(VLOOKUP($W$2,Prices!$J$3:$K$17,2,FALSE)*W108)+(VLOOKUP($X$2,Prices!$J$3:$K$17,2,FALSE)*X108)+(VLOOKUP($Y$2,Prices!$J$3:$K$17,2,FALSE)*Y108)+(VLOOKUP($Z$2,Prices!$J$3:$K$17,2,FALSE)*Z108)+(VLOOKUP($AA$2,Prices!$J$3:$K$17,2,FALSE)*AA108)+(VLOOKUP($AB$2,Prices!$J$3:$K$17,2,FALSE)*AB108)+M108</f>
        <v>2006350</v>
      </c>
      <c r="AD108" s="18"/>
      <c r="AE108" s="18"/>
      <c r="AF108" s="4">
        <f t="shared" si="4"/>
        <v>0</v>
      </c>
      <c r="AG108" s="4"/>
      <c r="AH108" s="16">
        <f t="shared" si="6"/>
        <v>0</v>
      </c>
      <c r="AI108" s="21">
        <f t="shared" si="5"/>
        <v>0</v>
      </c>
      <c r="AJ108" s="20">
        <f t="shared" si="7"/>
        <v>0</v>
      </c>
      <c r="AK108" s="9"/>
    </row>
    <row r="109" spans="1:37" hidden="1">
      <c r="A109" s="3">
        <v>107</v>
      </c>
      <c r="B109" s="12"/>
      <c r="C109" s="13"/>
      <c r="D109" s="13"/>
      <c r="E109" s="13"/>
      <c r="F109" s="13"/>
      <c r="G109" s="13"/>
      <c r="H109" s="15"/>
      <c r="I109" s="45" t="s">
        <v>755</v>
      </c>
      <c r="J109" s="45" t="s">
        <v>1388</v>
      </c>
      <c r="K109" s="46" t="s">
        <v>664</v>
      </c>
      <c r="L109" s="47" t="s">
        <v>1047</v>
      </c>
      <c r="M109" s="66">
        <f>IFERROR(VLOOKUP($L109,[3]Consolidated!$C$9:$AC$452,27,0),0)</f>
        <v>2051000</v>
      </c>
      <c r="N109" s="66">
        <f>IFERROR(VLOOKUP($L109,[3]Consolidated!$C$9:$AC$452,5,0),0)</f>
        <v>10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4">
        <f>(VLOOKUP($O$2,Prices!$E$3:$K$17,2,FALSE)*O109)+(VLOOKUP($P$2,Prices!$J$3:$K$17,2,FALSE)*P109)+(VLOOKUP($Q$2,Prices!$J$3:$K$17,2,FALSE)*Q109)+(VLOOKUP($R$2,Prices!$J$3:$K$17,2,FALSE)*R109)+(VLOOKUP($S$2,Prices!$J$3:$K$17,2,FALSE)*S109)+(VLOOKUP($T$2,Prices!$J$3:$K$17,2,FALSE)*T109)+(VLOOKUP($U$2,Prices!$J$3:$K$17,2,FALSE)*U109)+(VLOOKUP($V$2,Prices!$J$3:$K$17,2,FALSE)*V109)+(VLOOKUP($W$2,Prices!$J$3:$K$17,2,FALSE)*W109)+(VLOOKUP($X$2,Prices!$J$3:$K$17,2,FALSE)*X109)+(VLOOKUP($Y$2,Prices!$J$3:$K$17,2,FALSE)*Y109)+(VLOOKUP($Z$2,Prices!$J$3:$K$17,2,FALSE)*Z109)+(VLOOKUP($AA$2,Prices!$J$3:$K$17,2,FALSE)*AA109)+(VLOOKUP($AB$2,Prices!$J$3:$K$17,2,FALSE)*AB109)+M109</f>
        <v>2051000</v>
      </c>
      <c r="AD109" s="18"/>
      <c r="AE109" s="18"/>
      <c r="AF109" s="4">
        <f t="shared" si="4"/>
        <v>0</v>
      </c>
      <c r="AG109" s="4"/>
      <c r="AH109" s="16">
        <f t="shared" si="6"/>
        <v>0</v>
      </c>
      <c r="AI109" s="21">
        <f t="shared" si="5"/>
        <v>0</v>
      </c>
      <c r="AJ109" s="20">
        <f t="shared" si="7"/>
        <v>0</v>
      </c>
      <c r="AK109" s="9"/>
    </row>
    <row r="110" spans="1:37" hidden="1">
      <c r="A110" s="3">
        <v>108</v>
      </c>
      <c r="B110" s="12"/>
      <c r="C110" s="13"/>
      <c r="D110" s="13"/>
      <c r="E110" s="13"/>
      <c r="F110" s="13"/>
      <c r="G110" s="13"/>
      <c r="H110" s="15"/>
      <c r="I110" s="45" t="s">
        <v>756</v>
      </c>
      <c r="J110" s="45" t="s">
        <v>1388</v>
      </c>
      <c r="K110" s="46" t="s">
        <v>664</v>
      </c>
      <c r="L110" s="47" t="s">
        <v>1048</v>
      </c>
      <c r="M110" s="66">
        <f>IFERROR(VLOOKUP($L110,[3]Consolidated!$C$9:$AC$452,27,0),0)</f>
        <v>6287500</v>
      </c>
      <c r="N110" s="66">
        <f>IFERROR(VLOOKUP($L110,[3]Consolidated!$C$9:$AC$452,5,0),0)</f>
        <v>35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4">
        <f>(VLOOKUP($O$2,Prices!$E$3:$K$17,2,FALSE)*O110)+(VLOOKUP($P$2,Prices!$J$3:$K$17,2,FALSE)*P110)+(VLOOKUP($Q$2,Prices!$J$3:$K$17,2,FALSE)*Q110)+(VLOOKUP($R$2,Prices!$J$3:$K$17,2,FALSE)*R110)+(VLOOKUP($S$2,Prices!$J$3:$K$17,2,FALSE)*S110)+(VLOOKUP($T$2,Prices!$J$3:$K$17,2,FALSE)*T110)+(VLOOKUP($U$2,Prices!$J$3:$K$17,2,FALSE)*U110)+(VLOOKUP($V$2,Prices!$J$3:$K$17,2,FALSE)*V110)+(VLOOKUP($W$2,Prices!$J$3:$K$17,2,FALSE)*W110)+(VLOOKUP($X$2,Prices!$J$3:$K$17,2,FALSE)*X110)+(VLOOKUP($Y$2,Prices!$J$3:$K$17,2,FALSE)*Y110)+(VLOOKUP($Z$2,Prices!$J$3:$K$17,2,FALSE)*Z110)+(VLOOKUP($AA$2,Prices!$J$3:$K$17,2,FALSE)*AA110)+(VLOOKUP($AB$2,Prices!$J$3:$K$17,2,FALSE)*AB110)+M110</f>
        <v>6287500</v>
      </c>
      <c r="AD110" s="18"/>
      <c r="AE110" s="18"/>
      <c r="AF110" s="4">
        <f t="shared" si="4"/>
        <v>0</v>
      </c>
      <c r="AG110" s="4"/>
      <c r="AH110" s="16">
        <f t="shared" si="6"/>
        <v>0</v>
      </c>
      <c r="AI110" s="21">
        <f t="shared" si="5"/>
        <v>0</v>
      </c>
      <c r="AJ110" s="20">
        <f t="shared" si="7"/>
        <v>0</v>
      </c>
      <c r="AK110" s="9"/>
    </row>
    <row r="111" spans="1:37" hidden="1">
      <c r="A111" s="3">
        <v>109</v>
      </c>
      <c r="B111" s="12"/>
      <c r="C111" s="13"/>
      <c r="D111" s="13"/>
      <c r="E111" s="13"/>
      <c r="F111" s="13"/>
      <c r="G111" s="13"/>
      <c r="H111" s="15"/>
      <c r="I111" s="45" t="s">
        <v>1358</v>
      </c>
      <c r="J111" s="45" t="s">
        <v>1388</v>
      </c>
      <c r="K111" s="46" t="s">
        <v>664</v>
      </c>
      <c r="L111" s="46" t="s">
        <v>1365</v>
      </c>
      <c r="M111" s="66">
        <f>IFERROR(VLOOKUP($L111,[3]Consolidated!$C$9:$AC$452,27,0),0)</f>
        <v>2129000</v>
      </c>
      <c r="N111" s="66">
        <f>IFERROR(VLOOKUP($L111,[3]Consolidated!$C$9:$AC$452,5,0),0)</f>
        <v>10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4">
        <f>(VLOOKUP($O$2,Prices!$E$3:$K$17,2,FALSE)*O111)+(VLOOKUP($P$2,Prices!$J$3:$K$17,2,FALSE)*P111)+(VLOOKUP($Q$2,Prices!$J$3:$K$17,2,FALSE)*Q111)+(VLOOKUP($R$2,Prices!$J$3:$K$17,2,FALSE)*R111)+(VLOOKUP($S$2,Prices!$J$3:$K$17,2,FALSE)*S111)+(VLOOKUP($T$2,Prices!$J$3:$K$17,2,FALSE)*T111)+(VLOOKUP($U$2,Prices!$J$3:$K$17,2,FALSE)*U111)+(VLOOKUP($V$2,Prices!$J$3:$K$17,2,FALSE)*V111)+(VLOOKUP($W$2,Prices!$J$3:$K$17,2,FALSE)*W111)+(VLOOKUP($X$2,Prices!$J$3:$K$17,2,FALSE)*X111)+(VLOOKUP($Y$2,Prices!$J$3:$K$17,2,FALSE)*Y111)+(VLOOKUP($Z$2,Prices!$J$3:$K$17,2,FALSE)*Z111)+(VLOOKUP($AA$2,Prices!$J$3:$K$17,2,FALSE)*AA111)+(VLOOKUP($AB$2,Prices!$J$3:$K$17,2,FALSE)*AB111)+M111</f>
        <v>2129000</v>
      </c>
      <c r="AD111" s="18"/>
      <c r="AE111" s="18"/>
      <c r="AF111" s="4">
        <f t="shared" si="4"/>
        <v>0</v>
      </c>
      <c r="AG111" s="4"/>
      <c r="AH111" s="16">
        <f t="shared" si="6"/>
        <v>0</v>
      </c>
      <c r="AI111" s="21">
        <f t="shared" si="5"/>
        <v>0</v>
      </c>
      <c r="AJ111" s="20">
        <f t="shared" si="7"/>
        <v>0</v>
      </c>
      <c r="AK111" s="9"/>
    </row>
    <row r="112" spans="1:37" hidden="1">
      <c r="A112" s="3">
        <v>110</v>
      </c>
      <c r="B112" s="12"/>
      <c r="C112" s="13"/>
      <c r="D112" s="13"/>
      <c r="E112" s="13"/>
      <c r="F112" s="13"/>
      <c r="G112" s="13"/>
      <c r="H112" s="15"/>
      <c r="I112" s="45" t="s">
        <v>1359</v>
      </c>
      <c r="J112" s="45" t="s">
        <v>1388</v>
      </c>
      <c r="K112" s="46" t="s">
        <v>664</v>
      </c>
      <c r="L112" s="46" t="s">
        <v>1366</v>
      </c>
      <c r="M112" s="66">
        <f>IFERROR(VLOOKUP($L112,[3]Consolidated!$C$9:$AC$452,27,0),0)</f>
        <v>2144150</v>
      </c>
      <c r="N112" s="66">
        <f>IFERROR(VLOOKUP($L112,[3]Consolidated!$C$9:$AC$452,5,0),0)</f>
        <v>10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4">
        <f>(VLOOKUP($O$2,Prices!$E$3:$K$17,2,FALSE)*O112)+(VLOOKUP($P$2,Prices!$J$3:$K$17,2,FALSE)*P112)+(VLOOKUP($Q$2,Prices!$J$3:$K$17,2,FALSE)*Q112)+(VLOOKUP($R$2,Prices!$J$3:$K$17,2,FALSE)*R112)+(VLOOKUP($S$2,Prices!$J$3:$K$17,2,FALSE)*S112)+(VLOOKUP($T$2,Prices!$J$3:$K$17,2,FALSE)*T112)+(VLOOKUP($U$2,Prices!$J$3:$K$17,2,FALSE)*U112)+(VLOOKUP($V$2,Prices!$J$3:$K$17,2,FALSE)*V112)+(VLOOKUP($W$2,Prices!$J$3:$K$17,2,FALSE)*W112)+(VLOOKUP($X$2,Prices!$J$3:$K$17,2,FALSE)*X112)+(VLOOKUP($Y$2,Prices!$J$3:$K$17,2,FALSE)*Y112)+(VLOOKUP($Z$2,Prices!$J$3:$K$17,2,FALSE)*Z112)+(VLOOKUP($AA$2,Prices!$J$3:$K$17,2,FALSE)*AA112)+(VLOOKUP($AB$2,Prices!$J$3:$K$17,2,FALSE)*AB112)+M112</f>
        <v>2144150</v>
      </c>
      <c r="AD112" s="18"/>
      <c r="AE112" s="18"/>
      <c r="AF112" s="4">
        <f t="shared" si="4"/>
        <v>0</v>
      </c>
      <c r="AG112" s="4"/>
      <c r="AH112" s="16">
        <f t="shared" si="6"/>
        <v>0</v>
      </c>
      <c r="AI112" s="21">
        <f t="shared" ref="AI112" si="8">AH112/M112</f>
        <v>0</v>
      </c>
      <c r="AJ112" s="20">
        <f t="shared" ref="AJ112" si="9">AH112/AC112</f>
        <v>0</v>
      </c>
      <c r="AK112" s="9"/>
    </row>
    <row r="113" spans="1:37" hidden="1">
      <c r="A113" s="3">
        <v>111</v>
      </c>
      <c r="B113" s="12"/>
      <c r="C113" s="13"/>
      <c r="D113" s="13"/>
      <c r="E113" s="13"/>
      <c r="F113" s="13"/>
      <c r="G113" s="13"/>
      <c r="H113" s="15"/>
      <c r="I113" s="45" t="s">
        <v>1360</v>
      </c>
      <c r="J113" s="45" t="s">
        <v>1388</v>
      </c>
      <c r="K113" s="46" t="s">
        <v>664</v>
      </c>
      <c r="L113" s="46" t="s">
        <v>1367</v>
      </c>
      <c r="M113" s="66">
        <f>IFERROR(VLOOKUP($L113,[3]Consolidated!$C$9:$AC$452,27,0),0)</f>
        <v>2144150</v>
      </c>
      <c r="N113" s="66">
        <f>IFERROR(VLOOKUP($L113,[3]Consolidated!$C$9:$AC$452,5,0),0)</f>
        <v>10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4">
        <f>(VLOOKUP($O$2,Prices!$E$3:$K$17,2,FALSE)*O113)+(VLOOKUP($P$2,Prices!$J$3:$K$17,2,FALSE)*P113)+(VLOOKUP($Q$2,Prices!$J$3:$K$17,2,FALSE)*Q113)+(VLOOKUP($R$2,Prices!$J$3:$K$17,2,FALSE)*R113)+(VLOOKUP($S$2,Prices!$J$3:$K$17,2,FALSE)*S113)+(VLOOKUP($T$2,Prices!$J$3:$K$17,2,FALSE)*T113)+(VLOOKUP($U$2,Prices!$J$3:$K$17,2,FALSE)*U113)+(VLOOKUP($V$2,Prices!$J$3:$K$17,2,FALSE)*V113)+(VLOOKUP($W$2,Prices!$J$3:$K$17,2,FALSE)*W113)+(VLOOKUP($X$2,Prices!$J$3:$K$17,2,FALSE)*X113)+(VLOOKUP($Y$2,Prices!$J$3:$K$17,2,FALSE)*Y113)+(VLOOKUP($Z$2,Prices!$J$3:$K$17,2,FALSE)*Z113)+(VLOOKUP($AA$2,Prices!$J$3:$K$17,2,FALSE)*AA113)+(VLOOKUP($AB$2,Prices!$J$3:$K$17,2,FALSE)*AB113)+M113</f>
        <v>2144150</v>
      </c>
      <c r="AD113" s="18"/>
      <c r="AE113" s="18"/>
      <c r="AF113" s="4">
        <f t="shared" si="4"/>
        <v>0</v>
      </c>
      <c r="AG113" s="4"/>
      <c r="AH113" s="16">
        <f t="shared" si="6"/>
        <v>0</v>
      </c>
      <c r="AI113" s="21">
        <f t="shared" si="5"/>
        <v>0</v>
      </c>
      <c r="AJ113" s="20">
        <f t="shared" si="7"/>
        <v>0</v>
      </c>
      <c r="AK113" s="9"/>
    </row>
    <row r="114" spans="1:37" hidden="1">
      <c r="A114" s="3">
        <v>112</v>
      </c>
      <c r="B114" s="12"/>
      <c r="C114" s="13"/>
      <c r="D114" s="13"/>
      <c r="E114" s="13"/>
      <c r="F114" s="13"/>
      <c r="G114" s="13"/>
      <c r="H114" s="15"/>
      <c r="I114" s="45" t="s">
        <v>1321</v>
      </c>
      <c r="J114" s="45" t="s">
        <v>1388</v>
      </c>
      <c r="K114" s="46" t="s">
        <v>664</v>
      </c>
      <c r="L114" s="46" t="s">
        <v>1060</v>
      </c>
      <c r="M114" s="66">
        <f>IFERROR(VLOOKUP($L114,[3]Consolidated!$C$9:$AC$452,27,0),0)</f>
        <v>7721400</v>
      </c>
      <c r="N114" s="66">
        <f>IFERROR(VLOOKUP($L114,[3]Consolidated!$C$9:$AC$452,5,0),0)</f>
        <v>35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4">
        <f>(VLOOKUP($O$2,Prices!$E$3:$K$17,2,FALSE)*O114)+(VLOOKUP($P$2,Prices!$J$3:$K$17,2,FALSE)*P114)+(VLOOKUP($Q$2,Prices!$J$3:$K$17,2,FALSE)*Q114)+(VLOOKUP($R$2,Prices!$J$3:$K$17,2,FALSE)*R114)+(VLOOKUP($S$2,Prices!$J$3:$K$17,2,FALSE)*S114)+(VLOOKUP($T$2,Prices!$J$3:$K$17,2,FALSE)*T114)+(VLOOKUP($U$2,Prices!$J$3:$K$17,2,FALSE)*U114)+(VLOOKUP($V$2,Prices!$J$3:$K$17,2,FALSE)*V114)+(VLOOKUP($W$2,Prices!$J$3:$K$17,2,FALSE)*W114)+(VLOOKUP($X$2,Prices!$J$3:$K$17,2,FALSE)*X114)+(VLOOKUP($Y$2,Prices!$J$3:$K$17,2,FALSE)*Y114)+(VLOOKUP($Z$2,Prices!$J$3:$K$17,2,FALSE)*Z114)+(VLOOKUP($AA$2,Prices!$J$3:$K$17,2,FALSE)*AA114)+(VLOOKUP($AB$2,Prices!$J$3:$K$17,2,FALSE)*AB114)+M114</f>
        <v>7721400</v>
      </c>
      <c r="AD114" s="18"/>
      <c r="AE114" s="18"/>
      <c r="AF114" s="4">
        <f t="shared" si="4"/>
        <v>0</v>
      </c>
      <c r="AG114" s="4"/>
      <c r="AH114" s="16">
        <f t="shared" si="6"/>
        <v>0</v>
      </c>
      <c r="AI114" s="21">
        <f t="shared" si="5"/>
        <v>0</v>
      </c>
      <c r="AJ114" s="20">
        <f t="shared" si="7"/>
        <v>0</v>
      </c>
      <c r="AK114" s="19"/>
    </row>
    <row r="115" spans="1:37" hidden="1">
      <c r="A115" s="3">
        <v>113</v>
      </c>
      <c r="B115" s="12"/>
      <c r="C115" s="13"/>
      <c r="D115" s="13"/>
      <c r="E115" s="13"/>
      <c r="F115" s="13"/>
      <c r="G115" s="13"/>
      <c r="H115" s="15"/>
      <c r="I115" s="45" t="s">
        <v>863</v>
      </c>
      <c r="J115" s="45" t="s">
        <v>1387</v>
      </c>
      <c r="K115" s="46" t="s">
        <v>652</v>
      </c>
      <c r="L115" s="47" t="s">
        <v>1213</v>
      </c>
      <c r="M115" s="66">
        <f>IFERROR(VLOOKUP($L115,[3]Consolidated!$C$9:$AC$452,27,0),0)</f>
        <v>29059500</v>
      </c>
      <c r="N115" s="66">
        <f>IFERROR(VLOOKUP($L115,[3]Consolidated!$C$9:$AC$452,5,0),0)</f>
        <v>151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4">
        <f>(VLOOKUP($O$2,Prices!$E$3:$K$17,2,FALSE)*O115)+(VLOOKUP($P$2,Prices!$J$3:$K$17,2,FALSE)*P115)+(VLOOKUP($Q$2,Prices!$J$3:$K$17,2,FALSE)*Q115)+(VLOOKUP($R$2,Prices!$J$3:$K$17,2,FALSE)*R115)+(VLOOKUP($S$2,Prices!$J$3:$K$17,2,FALSE)*S115)+(VLOOKUP($T$2,Prices!$J$3:$K$17,2,FALSE)*T115)+(VLOOKUP($U$2,Prices!$J$3:$K$17,2,FALSE)*U115)+(VLOOKUP($V$2,Prices!$J$3:$K$17,2,FALSE)*V115)+(VLOOKUP($W$2,Prices!$J$3:$K$17,2,FALSE)*W115)+(VLOOKUP($X$2,Prices!$J$3:$K$17,2,FALSE)*X115)+(VLOOKUP($Y$2,Prices!$J$3:$K$17,2,FALSE)*Y115)+(VLOOKUP($Z$2,Prices!$J$3:$K$17,2,FALSE)*Z115)+(VLOOKUP($AA$2,Prices!$J$3:$K$17,2,FALSE)*AA115)+(VLOOKUP($AB$2,Prices!$J$3:$K$17,2,FALSE)*AB115)+M115</f>
        <v>29059500</v>
      </c>
      <c r="AD115" s="69">
        <v>5298000</v>
      </c>
      <c r="AE115" s="18"/>
      <c r="AF115" s="4">
        <f t="shared" ref="AF115:AF146" si="10">AD115-AE115</f>
        <v>5298000</v>
      </c>
      <c r="AG115" s="4"/>
      <c r="AH115" s="16">
        <f t="shared" ref="AH115:AH146" si="11">AD115+AG115</f>
        <v>5298000</v>
      </c>
      <c r="AI115" s="21">
        <f t="shared" si="5"/>
        <v>0.18231559386775409</v>
      </c>
      <c r="AJ115" s="20">
        <f t="shared" ref="AJ115:AJ146" si="12">AH115/AC115</f>
        <v>0.18231559386775409</v>
      </c>
      <c r="AK115" s="9"/>
    </row>
    <row r="116" spans="1:37" hidden="1">
      <c r="A116" s="3">
        <v>114</v>
      </c>
      <c r="B116" s="12"/>
      <c r="C116" s="13"/>
      <c r="D116" s="13"/>
      <c r="E116" s="13"/>
      <c r="F116" s="13"/>
      <c r="G116" s="13"/>
      <c r="H116" s="15"/>
      <c r="I116" s="45" t="s">
        <v>865</v>
      </c>
      <c r="J116" s="45" t="s">
        <v>1387</v>
      </c>
      <c r="K116" s="46" t="s">
        <v>652</v>
      </c>
      <c r="L116" s="47" t="s">
        <v>1215</v>
      </c>
      <c r="M116" s="66">
        <f>IFERROR(VLOOKUP($L116,[3]Consolidated!$C$9:$AC$452,27,0),0)</f>
        <v>9265000</v>
      </c>
      <c r="N116" s="66">
        <f>IFERROR(VLOOKUP($L116,[3]Consolidated!$C$9:$AC$452,5,0),0)</f>
        <v>48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4">
        <f>(VLOOKUP($O$2,Prices!$E$3:$K$17,2,FALSE)*O116)+(VLOOKUP($P$2,Prices!$J$3:$K$17,2,FALSE)*P116)+(VLOOKUP($Q$2,Prices!$J$3:$K$17,2,FALSE)*Q116)+(VLOOKUP($R$2,Prices!$J$3:$K$17,2,FALSE)*R116)+(VLOOKUP($S$2,Prices!$J$3:$K$17,2,FALSE)*S116)+(VLOOKUP($T$2,Prices!$J$3:$K$17,2,FALSE)*T116)+(VLOOKUP($U$2,Prices!$J$3:$K$17,2,FALSE)*U116)+(VLOOKUP($V$2,Prices!$J$3:$K$17,2,FALSE)*V116)+(VLOOKUP($W$2,Prices!$J$3:$K$17,2,FALSE)*W116)+(VLOOKUP($X$2,Prices!$J$3:$K$17,2,FALSE)*X116)+(VLOOKUP($Y$2,Prices!$J$3:$K$17,2,FALSE)*Y116)+(VLOOKUP($Z$2,Prices!$J$3:$K$17,2,FALSE)*Z116)+(VLOOKUP($AA$2,Prices!$J$3:$K$17,2,FALSE)*AA116)+(VLOOKUP($AB$2,Prices!$J$3:$K$17,2,FALSE)*AB116)+M116</f>
        <v>9265000</v>
      </c>
      <c r="AD116" s="69">
        <v>1882500</v>
      </c>
      <c r="AE116" s="18"/>
      <c r="AF116" s="4">
        <f t="shared" si="10"/>
        <v>1882500</v>
      </c>
      <c r="AG116" s="4"/>
      <c r="AH116" s="16">
        <f t="shared" si="11"/>
        <v>1882500</v>
      </c>
      <c r="AI116" s="21">
        <f t="shared" si="5"/>
        <v>0.20318402590393955</v>
      </c>
      <c r="AJ116" s="20">
        <f t="shared" si="12"/>
        <v>0.20318402590393955</v>
      </c>
      <c r="AK116" s="9"/>
    </row>
    <row r="117" spans="1:37" hidden="1">
      <c r="A117" s="3">
        <v>115</v>
      </c>
      <c r="B117" s="12"/>
      <c r="C117" s="13"/>
      <c r="D117" s="13"/>
      <c r="E117" s="13"/>
      <c r="F117" s="13"/>
      <c r="G117" s="13"/>
      <c r="H117" s="15"/>
      <c r="I117" s="45" t="s">
        <v>868</v>
      </c>
      <c r="J117" s="45" t="s">
        <v>1387</v>
      </c>
      <c r="K117" s="46" t="s">
        <v>652</v>
      </c>
      <c r="L117" s="47" t="s">
        <v>1218</v>
      </c>
      <c r="M117" s="66">
        <f>IFERROR(VLOOKUP($L117,[3]Consolidated!$C$9:$AC$452,27,0),0)</f>
        <v>0</v>
      </c>
      <c r="N117" s="66">
        <f>IFERROR(VLOOKUP($L117,[3]Consolidated!$C$9:$AC$452,5,0),0)</f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4">
        <f>(VLOOKUP($O$2,Prices!$E$3:$K$17,2,FALSE)*O117)+(VLOOKUP($P$2,Prices!$J$3:$K$17,2,FALSE)*P117)+(VLOOKUP($Q$2,Prices!$J$3:$K$17,2,FALSE)*Q117)+(VLOOKUP($R$2,Prices!$J$3:$K$17,2,FALSE)*R117)+(VLOOKUP($S$2,Prices!$J$3:$K$17,2,FALSE)*S117)+(VLOOKUP($T$2,Prices!$J$3:$K$17,2,FALSE)*T117)+(VLOOKUP($U$2,Prices!$J$3:$K$17,2,FALSE)*U117)+(VLOOKUP($V$2,Prices!$J$3:$K$17,2,FALSE)*V117)+(VLOOKUP($W$2,Prices!$J$3:$K$17,2,FALSE)*W117)+(VLOOKUP($X$2,Prices!$J$3:$K$17,2,FALSE)*X117)+(VLOOKUP($Y$2,Prices!$J$3:$K$17,2,FALSE)*Y117)+(VLOOKUP($Z$2,Prices!$J$3:$K$17,2,FALSE)*Z117)+(VLOOKUP($AA$2,Prices!$J$3:$K$17,2,FALSE)*AA117)+(VLOOKUP($AB$2,Prices!$J$3:$K$17,2,FALSE)*AB117)+M117</f>
        <v>0</v>
      </c>
      <c r="AD117" s="13">
        <v>0</v>
      </c>
      <c r="AE117" s="18"/>
      <c r="AF117" s="4">
        <f t="shared" si="10"/>
        <v>0</v>
      </c>
      <c r="AG117" s="4"/>
      <c r="AH117" s="16">
        <f t="shared" si="11"/>
        <v>0</v>
      </c>
      <c r="AI117" s="21" t="e">
        <f t="shared" si="5"/>
        <v>#DIV/0!</v>
      </c>
      <c r="AJ117" s="20" t="e">
        <f t="shared" si="12"/>
        <v>#DIV/0!</v>
      </c>
      <c r="AK117" s="9"/>
    </row>
    <row r="118" spans="1:37" hidden="1">
      <c r="A118" s="3">
        <v>116</v>
      </c>
      <c r="B118" s="12"/>
      <c r="C118" s="13"/>
      <c r="D118" s="13"/>
      <c r="E118" s="13"/>
      <c r="F118" s="13"/>
      <c r="G118" s="13"/>
      <c r="H118" s="15"/>
      <c r="I118" s="45" t="s">
        <v>869</v>
      </c>
      <c r="J118" s="45" t="s">
        <v>1387</v>
      </c>
      <c r="K118" s="46" t="s">
        <v>652</v>
      </c>
      <c r="L118" s="47" t="s">
        <v>1219</v>
      </c>
      <c r="M118" s="66">
        <f>IFERROR(VLOOKUP($L118,[3]Consolidated!$C$9:$AC$452,27,0),0)</f>
        <v>4464000</v>
      </c>
      <c r="N118" s="66">
        <f>IFERROR(VLOOKUP($L118,[3]Consolidated!$C$9:$AC$452,5,0),0)</f>
        <v>22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4">
        <f>(VLOOKUP($O$2,Prices!$E$3:$K$17,2,FALSE)*O118)+(VLOOKUP($P$2,Prices!$J$3:$K$17,2,FALSE)*P118)+(VLOOKUP($Q$2,Prices!$J$3:$K$17,2,FALSE)*Q118)+(VLOOKUP($R$2,Prices!$J$3:$K$17,2,FALSE)*R118)+(VLOOKUP($S$2,Prices!$J$3:$K$17,2,FALSE)*S118)+(VLOOKUP($T$2,Prices!$J$3:$K$17,2,FALSE)*T118)+(VLOOKUP($U$2,Prices!$J$3:$K$17,2,FALSE)*U118)+(VLOOKUP($V$2,Prices!$J$3:$K$17,2,FALSE)*V118)+(VLOOKUP($W$2,Prices!$J$3:$K$17,2,FALSE)*W118)+(VLOOKUP($X$2,Prices!$J$3:$K$17,2,FALSE)*X118)+(VLOOKUP($Y$2,Prices!$J$3:$K$17,2,FALSE)*Y118)+(VLOOKUP($Z$2,Prices!$J$3:$K$17,2,FALSE)*Z118)+(VLOOKUP($AA$2,Prices!$J$3:$K$17,2,FALSE)*AA118)+(VLOOKUP($AB$2,Prices!$J$3:$K$17,2,FALSE)*AB118)+M118</f>
        <v>4464000</v>
      </c>
      <c r="AD118" s="69">
        <v>709750</v>
      </c>
      <c r="AE118" s="18"/>
      <c r="AF118" s="4">
        <f t="shared" si="10"/>
        <v>709750</v>
      </c>
      <c r="AG118" s="4"/>
      <c r="AH118" s="16">
        <f t="shared" si="11"/>
        <v>709750</v>
      </c>
      <c r="AI118" s="21">
        <f t="shared" si="5"/>
        <v>0.15899417562724014</v>
      </c>
      <c r="AJ118" s="20">
        <f t="shared" si="12"/>
        <v>0.15899417562724014</v>
      </c>
      <c r="AK118" s="9"/>
    </row>
    <row r="119" spans="1:37" hidden="1">
      <c r="A119" s="3">
        <v>117</v>
      </c>
      <c r="B119" s="12"/>
      <c r="C119" s="13"/>
      <c r="D119" s="13"/>
      <c r="E119" s="13"/>
      <c r="F119" s="13"/>
      <c r="G119" s="13"/>
      <c r="H119" s="15"/>
      <c r="I119" s="45" t="s">
        <v>872</v>
      </c>
      <c r="J119" s="45" t="s">
        <v>1387</v>
      </c>
      <c r="K119" s="46" t="s">
        <v>652</v>
      </c>
      <c r="L119" s="47" t="s">
        <v>1222</v>
      </c>
      <c r="M119" s="66">
        <f>IFERROR(VLOOKUP($L119,[3]Consolidated!$C$9:$AC$452,27,0),0)</f>
        <v>5022500</v>
      </c>
      <c r="N119" s="66">
        <f>IFERROR(VLOOKUP($L119,[3]Consolidated!$C$9:$AC$452,5,0),0)</f>
        <v>26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4">
        <f>(VLOOKUP($O$2,Prices!$E$3:$K$17,2,FALSE)*O119)+(VLOOKUP($P$2,Prices!$J$3:$K$17,2,FALSE)*P119)+(VLOOKUP($Q$2,Prices!$J$3:$K$17,2,FALSE)*Q119)+(VLOOKUP($R$2,Prices!$J$3:$K$17,2,FALSE)*R119)+(VLOOKUP($S$2,Prices!$J$3:$K$17,2,FALSE)*S119)+(VLOOKUP($T$2,Prices!$J$3:$K$17,2,FALSE)*T119)+(VLOOKUP($U$2,Prices!$J$3:$K$17,2,FALSE)*U119)+(VLOOKUP($V$2,Prices!$J$3:$K$17,2,FALSE)*V119)+(VLOOKUP($W$2,Prices!$J$3:$K$17,2,FALSE)*W119)+(VLOOKUP($X$2,Prices!$J$3:$K$17,2,FALSE)*X119)+(VLOOKUP($Y$2,Prices!$J$3:$K$17,2,FALSE)*Y119)+(VLOOKUP($Z$2,Prices!$J$3:$K$17,2,FALSE)*Z119)+(VLOOKUP($AA$2,Prices!$J$3:$K$17,2,FALSE)*AA119)+(VLOOKUP($AB$2,Prices!$J$3:$K$17,2,FALSE)*AB119)+M119</f>
        <v>5022500</v>
      </c>
      <c r="AD119" s="69">
        <v>825000</v>
      </c>
      <c r="AE119" s="18"/>
      <c r="AF119" s="4">
        <f t="shared" si="10"/>
        <v>825000</v>
      </c>
      <c r="AG119" s="4"/>
      <c r="AH119" s="16">
        <f t="shared" si="11"/>
        <v>825000</v>
      </c>
      <c r="AI119" s="21">
        <f t="shared" si="5"/>
        <v>0.16426082628173219</v>
      </c>
      <c r="AJ119" s="20">
        <f t="shared" si="12"/>
        <v>0.16426082628173219</v>
      </c>
      <c r="AK119" s="9"/>
    </row>
    <row r="120" spans="1:37" hidden="1">
      <c r="A120" s="3">
        <v>118</v>
      </c>
      <c r="B120" s="12"/>
      <c r="C120" s="13"/>
      <c r="D120" s="13"/>
      <c r="E120" s="13"/>
      <c r="F120" s="13"/>
      <c r="G120" s="13"/>
      <c r="H120" s="15"/>
      <c r="I120" s="45" t="s">
        <v>957</v>
      </c>
      <c r="J120" s="45" t="s">
        <v>1387</v>
      </c>
      <c r="K120" s="46" t="s">
        <v>652</v>
      </c>
      <c r="L120" s="47" t="s">
        <v>1309</v>
      </c>
      <c r="M120" s="66">
        <f>IFERROR(VLOOKUP($L120,[3]Consolidated!$C$9:$AC$452,27,0),0)</f>
        <v>5232500</v>
      </c>
      <c r="N120" s="66">
        <f>IFERROR(VLOOKUP($L120,[3]Consolidated!$C$9:$AC$452,5,0),0)</f>
        <v>26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4">
        <f>(VLOOKUP($O$2,Prices!$E$3:$K$17,2,FALSE)*O120)+(VLOOKUP($P$2,Prices!$J$3:$K$17,2,FALSE)*P120)+(VLOOKUP($Q$2,Prices!$J$3:$K$17,2,FALSE)*Q120)+(VLOOKUP($R$2,Prices!$J$3:$K$17,2,FALSE)*R120)+(VLOOKUP($S$2,Prices!$J$3:$K$17,2,FALSE)*S120)+(VLOOKUP($T$2,Prices!$J$3:$K$17,2,FALSE)*T120)+(VLOOKUP($U$2,Prices!$J$3:$K$17,2,FALSE)*U120)+(VLOOKUP($V$2,Prices!$J$3:$K$17,2,FALSE)*V120)+(VLOOKUP($W$2,Prices!$J$3:$K$17,2,FALSE)*W120)+(VLOOKUP($X$2,Prices!$J$3:$K$17,2,FALSE)*X120)+(VLOOKUP($Y$2,Prices!$J$3:$K$17,2,FALSE)*Y120)+(VLOOKUP($Z$2,Prices!$J$3:$K$17,2,FALSE)*Z120)+(VLOOKUP($AA$2,Prices!$J$3:$K$17,2,FALSE)*AA120)+(VLOOKUP($AB$2,Prices!$J$3:$K$17,2,FALSE)*AB120)+M120</f>
        <v>5232500</v>
      </c>
      <c r="AD120" s="13">
        <v>0</v>
      </c>
      <c r="AE120" s="18"/>
      <c r="AF120" s="4">
        <f t="shared" si="10"/>
        <v>0</v>
      </c>
      <c r="AG120" s="4"/>
      <c r="AH120" s="16">
        <f t="shared" si="11"/>
        <v>0</v>
      </c>
      <c r="AI120" s="21">
        <f t="shared" si="5"/>
        <v>0</v>
      </c>
      <c r="AJ120" s="20">
        <f t="shared" si="12"/>
        <v>0</v>
      </c>
      <c r="AK120" s="9"/>
    </row>
    <row r="121" spans="1:37" hidden="1">
      <c r="A121" s="3">
        <v>119</v>
      </c>
      <c r="B121" s="12"/>
      <c r="C121" s="13"/>
      <c r="D121" s="13"/>
      <c r="E121" s="13"/>
      <c r="F121" s="13"/>
      <c r="G121" s="13"/>
      <c r="H121" s="15"/>
      <c r="I121" s="45" t="s">
        <v>958</v>
      </c>
      <c r="J121" s="45" t="s">
        <v>1387</v>
      </c>
      <c r="K121" s="46" t="s">
        <v>652</v>
      </c>
      <c r="L121" s="47" t="s">
        <v>1310</v>
      </c>
      <c r="M121" s="66">
        <f>IFERROR(VLOOKUP($L121,[3]Consolidated!$C$9:$AC$452,27,0),0)</f>
        <v>11372000</v>
      </c>
      <c r="N121" s="66">
        <f>IFERROR(VLOOKUP($L121,[3]Consolidated!$C$9:$AC$452,5,0),0)</f>
        <v>55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4">
        <f>(VLOOKUP($O$2,Prices!$E$3:$K$17,2,FALSE)*O121)+(VLOOKUP($P$2,Prices!$J$3:$K$17,2,FALSE)*P121)+(VLOOKUP($Q$2,Prices!$J$3:$K$17,2,FALSE)*Q121)+(VLOOKUP($R$2,Prices!$J$3:$K$17,2,FALSE)*R121)+(VLOOKUP($S$2,Prices!$J$3:$K$17,2,FALSE)*S121)+(VLOOKUP($T$2,Prices!$J$3:$K$17,2,FALSE)*T121)+(VLOOKUP($U$2,Prices!$J$3:$K$17,2,FALSE)*U121)+(VLOOKUP($V$2,Prices!$J$3:$K$17,2,FALSE)*V121)+(VLOOKUP($W$2,Prices!$J$3:$K$17,2,FALSE)*W121)+(VLOOKUP($X$2,Prices!$J$3:$K$17,2,FALSE)*X121)+(VLOOKUP($Y$2,Prices!$J$3:$K$17,2,FALSE)*Y121)+(VLOOKUP($Z$2,Prices!$J$3:$K$17,2,FALSE)*Z121)+(VLOOKUP($AA$2,Prices!$J$3:$K$17,2,FALSE)*AA121)+(VLOOKUP($AB$2,Prices!$J$3:$K$17,2,FALSE)*AB121)+M121</f>
        <v>11372000</v>
      </c>
      <c r="AD121" s="69">
        <v>1736000</v>
      </c>
      <c r="AE121" s="18"/>
      <c r="AF121" s="4">
        <f t="shared" si="10"/>
        <v>1736000</v>
      </c>
      <c r="AG121" s="4"/>
      <c r="AH121" s="16">
        <f t="shared" si="11"/>
        <v>1736000</v>
      </c>
      <c r="AI121" s="21">
        <f t="shared" si="5"/>
        <v>0.15265564544495253</v>
      </c>
      <c r="AJ121" s="20">
        <f t="shared" si="12"/>
        <v>0.15265564544495253</v>
      </c>
      <c r="AK121" s="9"/>
    </row>
    <row r="122" spans="1:37" hidden="1">
      <c r="A122" s="3">
        <v>120</v>
      </c>
      <c r="B122" s="12"/>
      <c r="C122" s="13"/>
      <c r="D122" s="13"/>
      <c r="E122" s="13"/>
      <c r="F122" s="13"/>
      <c r="G122" s="13"/>
      <c r="H122" s="15"/>
      <c r="I122" s="45" t="s">
        <v>867</v>
      </c>
      <c r="J122" s="45" t="s">
        <v>1387</v>
      </c>
      <c r="K122" s="46" t="s">
        <v>652</v>
      </c>
      <c r="L122" s="46" t="s">
        <v>1217</v>
      </c>
      <c r="M122" s="66">
        <f>IFERROR(VLOOKUP($L122,[3]Consolidated!$C$9:$AC$452,27,0),0)</f>
        <v>0</v>
      </c>
      <c r="N122" s="66">
        <f>IFERROR(VLOOKUP($L122,[3]Consolidated!$C$9:$AC$452,5,0),0)</f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4">
        <f>(VLOOKUP($O$2,Prices!$E$3:$K$17,2,FALSE)*O122)+(VLOOKUP($P$2,Prices!$J$3:$K$17,2,FALSE)*P122)+(VLOOKUP($Q$2,Prices!$J$3:$K$17,2,FALSE)*Q122)+(VLOOKUP($R$2,Prices!$J$3:$K$17,2,FALSE)*R122)+(VLOOKUP($S$2,Prices!$J$3:$K$17,2,FALSE)*S122)+(VLOOKUP($T$2,Prices!$J$3:$K$17,2,FALSE)*T122)+(VLOOKUP($U$2,Prices!$J$3:$K$17,2,FALSE)*U122)+(VLOOKUP($V$2,Prices!$J$3:$K$17,2,FALSE)*V122)+(VLOOKUP($W$2,Prices!$J$3:$K$17,2,FALSE)*W122)+(VLOOKUP($X$2,Prices!$J$3:$K$17,2,FALSE)*X122)+(VLOOKUP($Y$2,Prices!$J$3:$K$17,2,FALSE)*Y122)+(VLOOKUP($Z$2,Prices!$J$3:$K$17,2,FALSE)*Z122)+(VLOOKUP($AA$2,Prices!$J$3:$K$17,2,FALSE)*AA122)+(VLOOKUP($AB$2,Prices!$J$3:$K$17,2,FALSE)*AB122)+M122</f>
        <v>0</v>
      </c>
      <c r="AD122" s="13">
        <v>0</v>
      </c>
      <c r="AE122" s="18"/>
      <c r="AF122" s="4">
        <f t="shared" si="10"/>
        <v>0</v>
      </c>
      <c r="AG122" s="4"/>
      <c r="AH122" s="16">
        <f t="shared" si="11"/>
        <v>0</v>
      </c>
      <c r="AI122" s="21" t="e">
        <f t="shared" si="5"/>
        <v>#DIV/0!</v>
      </c>
      <c r="AJ122" s="20" t="e">
        <f t="shared" si="12"/>
        <v>#DIV/0!</v>
      </c>
      <c r="AK122" s="9"/>
    </row>
    <row r="123" spans="1:37" hidden="1">
      <c r="A123" s="3">
        <v>121</v>
      </c>
      <c r="B123" s="12"/>
      <c r="C123" s="13"/>
      <c r="D123" s="13"/>
      <c r="E123" s="13"/>
      <c r="F123" s="13"/>
      <c r="G123" s="13"/>
      <c r="H123" s="15"/>
      <c r="I123" s="45" t="s">
        <v>1331</v>
      </c>
      <c r="J123" s="45" t="s">
        <v>1387</v>
      </c>
      <c r="K123" s="46" t="s">
        <v>652</v>
      </c>
      <c r="L123" s="47" t="s">
        <v>1341</v>
      </c>
      <c r="M123" s="66">
        <f>IFERROR(VLOOKUP($L123,[3]Consolidated!$C$9:$AC$452,27,0),0)</f>
        <v>4142500</v>
      </c>
      <c r="N123" s="66">
        <f>IFERROR(VLOOKUP($L123,[3]Consolidated!$C$9:$AC$452,5,0),0)</f>
        <v>20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4">
        <f>(VLOOKUP($O$2,Prices!$E$3:$K$17,2,FALSE)*O123)+(VLOOKUP($P$2,Prices!$J$3:$K$17,2,FALSE)*P123)+(VLOOKUP($Q$2,Prices!$J$3:$K$17,2,FALSE)*Q123)+(VLOOKUP($R$2,Prices!$J$3:$K$17,2,FALSE)*R123)+(VLOOKUP($S$2,Prices!$J$3:$K$17,2,FALSE)*S123)+(VLOOKUP($T$2,Prices!$J$3:$K$17,2,FALSE)*T123)+(VLOOKUP($U$2,Prices!$J$3:$K$17,2,FALSE)*U123)+(VLOOKUP($V$2,Prices!$J$3:$K$17,2,FALSE)*V123)+(VLOOKUP($W$2,Prices!$J$3:$K$17,2,FALSE)*W123)+(VLOOKUP($X$2,Prices!$J$3:$K$17,2,FALSE)*X123)+(VLOOKUP($Y$2,Prices!$J$3:$K$17,2,FALSE)*Y123)+(VLOOKUP($Z$2,Prices!$J$3:$K$17,2,FALSE)*Z123)+(VLOOKUP($AA$2,Prices!$J$3:$K$17,2,FALSE)*AA123)+(VLOOKUP($AB$2,Prices!$J$3:$K$17,2,FALSE)*AB123)+M123</f>
        <v>4142500</v>
      </c>
      <c r="AD123" s="69">
        <v>825000</v>
      </c>
      <c r="AE123" s="18"/>
      <c r="AF123" s="4">
        <f t="shared" si="10"/>
        <v>825000</v>
      </c>
      <c r="AG123" s="4"/>
      <c r="AH123" s="16">
        <f t="shared" si="11"/>
        <v>825000</v>
      </c>
      <c r="AI123" s="21">
        <f t="shared" si="5"/>
        <v>0.19915509957754979</v>
      </c>
      <c r="AJ123" s="20">
        <f t="shared" si="12"/>
        <v>0.19915509957754979</v>
      </c>
      <c r="AK123" s="19"/>
    </row>
    <row r="124" spans="1:37" hidden="1">
      <c r="A124" s="3">
        <v>122</v>
      </c>
      <c r="B124" s="12"/>
      <c r="C124" s="13"/>
      <c r="D124" s="13"/>
      <c r="E124" s="13"/>
      <c r="F124" s="13"/>
      <c r="G124" s="13"/>
      <c r="H124" s="15"/>
      <c r="I124" s="45" t="s">
        <v>862</v>
      </c>
      <c r="J124" s="45" t="s">
        <v>1387</v>
      </c>
      <c r="K124" s="46" t="s">
        <v>652</v>
      </c>
      <c r="L124" s="47" t="s">
        <v>1212</v>
      </c>
      <c r="M124" s="66">
        <f>IFERROR(VLOOKUP($L124,[3]Consolidated!$C$9:$AC$452,27,0),0)</f>
        <v>0</v>
      </c>
      <c r="N124" s="66">
        <f>IFERROR(VLOOKUP($L124,[3]Consolidated!$C$9:$AC$452,5,0),0)</f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4">
        <f>(VLOOKUP($O$2,Prices!$E$3:$K$17,2,FALSE)*O124)+(VLOOKUP($P$2,Prices!$J$3:$K$17,2,FALSE)*P124)+(VLOOKUP($Q$2,Prices!$J$3:$K$17,2,FALSE)*Q124)+(VLOOKUP($R$2,Prices!$J$3:$K$17,2,FALSE)*R124)+(VLOOKUP($S$2,Prices!$J$3:$K$17,2,FALSE)*S124)+(VLOOKUP($T$2,Prices!$J$3:$K$17,2,FALSE)*T124)+(VLOOKUP($U$2,Prices!$J$3:$K$17,2,FALSE)*U124)+(VLOOKUP($V$2,Prices!$J$3:$K$17,2,FALSE)*V124)+(VLOOKUP($W$2,Prices!$J$3:$K$17,2,FALSE)*W124)+(VLOOKUP($X$2,Prices!$J$3:$K$17,2,FALSE)*X124)+(VLOOKUP($Y$2,Prices!$J$3:$K$17,2,FALSE)*Y124)+(VLOOKUP($Z$2,Prices!$J$3:$K$17,2,FALSE)*Z124)+(VLOOKUP($AA$2,Prices!$J$3:$K$17,2,FALSE)*AA124)+(VLOOKUP($AB$2,Prices!$J$3:$K$17,2,FALSE)*AB124)+M124</f>
        <v>0</v>
      </c>
      <c r="AD124" s="13">
        <v>0</v>
      </c>
      <c r="AE124" s="18"/>
      <c r="AF124" s="4">
        <f t="shared" si="10"/>
        <v>0</v>
      </c>
      <c r="AG124" s="4"/>
      <c r="AH124" s="16">
        <f t="shared" si="11"/>
        <v>0</v>
      </c>
      <c r="AI124" s="21" t="e">
        <f t="shared" si="5"/>
        <v>#DIV/0!</v>
      </c>
      <c r="AJ124" s="20" t="e">
        <f t="shared" si="12"/>
        <v>#DIV/0!</v>
      </c>
      <c r="AK124" s="9"/>
    </row>
    <row r="125" spans="1:37" hidden="1">
      <c r="A125" s="3">
        <v>123</v>
      </c>
      <c r="B125" s="12"/>
      <c r="C125" s="13"/>
      <c r="D125" s="13"/>
      <c r="E125" s="13"/>
      <c r="F125" s="13"/>
      <c r="G125" s="13"/>
      <c r="H125" s="15"/>
      <c r="I125" s="45" t="s">
        <v>864</v>
      </c>
      <c r="J125" s="45" t="s">
        <v>1387</v>
      </c>
      <c r="K125" s="46" t="s">
        <v>652</v>
      </c>
      <c r="L125" s="47" t="s">
        <v>1214</v>
      </c>
      <c r="M125" s="66">
        <f>IFERROR(VLOOKUP($L125,[3]Consolidated!$C$9:$AC$452,27,0),0)</f>
        <v>23345500</v>
      </c>
      <c r="N125" s="66">
        <f>IFERROR(VLOOKUP($L125,[3]Consolidated!$C$9:$AC$452,5,0),0)</f>
        <v>121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4">
        <f>(VLOOKUP($O$2,Prices!$E$3:$K$17,2,FALSE)*O125)+(VLOOKUP($P$2,Prices!$J$3:$K$17,2,FALSE)*P125)+(VLOOKUP($Q$2,Prices!$J$3:$K$17,2,FALSE)*Q125)+(VLOOKUP($R$2,Prices!$J$3:$K$17,2,FALSE)*R125)+(VLOOKUP($S$2,Prices!$J$3:$K$17,2,FALSE)*S125)+(VLOOKUP($T$2,Prices!$J$3:$K$17,2,FALSE)*T125)+(VLOOKUP($U$2,Prices!$J$3:$K$17,2,FALSE)*U125)+(VLOOKUP($V$2,Prices!$J$3:$K$17,2,FALSE)*V125)+(VLOOKUP($W$2,Prices!$J$3:$K$17,2,FALSE)*W125)+(VLOOKUP($X$2,Prices!$J$3:$K$17,2,FALSE)*X125)+(VLOOKUP($Y$2,Prices!$J$3:$K$17,2,FALSE)*Y125)+(VLOOKUP($Z$2,Prices!$J$3:$K$17,2,FALSE)*Z125)+(VLOOKUP($AA$2,Prices!$J$3:$K$17,2,FALSE)*AA125)+(VLOOKUP($AB$2,Prices!$J$3:$K$17,2,FALSE)*AB125)+M125</f>
        <v>23345500</v>
      </c>
      <c r="AD125" s="69">
        <v>4806000</v>
      </c>
      <c r="AE125" s="18"/>
      <c r="AF125" s="4">
        <f t="shared" si="10"/>
        <v>4806000</v>
      </c>
      <c r="AG125" s="4"/>
      <c r="AH125" s="16">
        <f t="shared" si="11"/>
        <v>4806000</v>
      </c>
      <c r="AI125" s="21">
        <f t="shared" si="5"/>
        <v>0.20586408515559743</v>
      </c>
      <c r="AJ125" s="20">
        <f t="shared" si="12"/>
        <v>0.20586408515559743</v>
      </c>
      <c r="AK125" s="9"/>
    </row>
    <row r="126" spans="1:37" hidden="1">
      <c r="A126" s="3">
        <v>124</v>
      </c>
      <c r="B126" s="12"/>
      <c r="C126" s="13"/>
      <c r="D126" s="13"/>
      <c r="E126" s="13"/>
      <c r="F126" s="13"/>
      <c r="G126" s="13"/>
      <c r="H126" s="15"/>
      <c r="I126" s="45" t="s">
        <v>874</v>
      </c>
      <c r="J126" s="45" t="s">
        <v>1387</v>
      </c>
      <c r="K126" s="46" t="s">
        <v>653</v>
      </c>
      <c r="L126" s="47" t="s">
        <v>1224</v>
      </c>
      <c r="M126" s="66">
        <f>IFERROR(VLOOKUP($L126,[3]Consolidated!$C$9:$AC$452,27,0),0)</f>
        <v>5230000</v>
      </c>
      <c r="N126" s="66">
        <f>IFERROR(VLOOKUP($L126,[3]Consolidated!$C$9:$AC$452,5,0),0)</f>
        <v>20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4">
        <f>(VLOOKUP($O$2,Prices!$E$3:$K$17,2,FALSE)*O126)+(VLOOKUP($P$2,Prices!$J$3:$K$17,2,FALSE)*P126)+(VLOOKUP($Q$2,Prices!$J$3:$K$17,2,FALSE)*Q126)+(VLOOKUP($R$2,Prices!$J$3:$K$17,2,FALSE)*R126)+(VLOOKUP($S$2,Prices!$J$3:$K$17,2,FALSE)*S126)+(VLOOKUP($T$2,Prices!$J$3:$K$17,2,FALSE)*T126)+(VLOOKUP($U$2,Prices!$J$3:$K$17,2,FALSE)*U126)+(VLOOKUP($V$2,Prices!$J$3:$K$17,2,FALSE)*V126)+(VLOOKUP($W$2,Prices!$J$3:$K$17,2,FALSE)*W126)+(VLOOKUP($X$2,Prices!$J$3:$K$17,2,FALSE)*X126)+(VLOOKUP($Y$2,Prices!$J$3:$K$17,2,FALSE)*Y126)+(VLOOKUP($Z$2,Prices!$J$3:$K$17,2,FALSE)*Z126)+(VLOOKUP($AA$2,Prices!$J$3:$K$17,2,FALSE)*AA126)+(VLOOKUP($AB$2,Prices!$J$3:$K$17,2,FALSE)*AB126)+M126</f>
        <v>5230000</v>
      </c>
      <c r="AD126" s="69">
        <v>842100</v>
      </c>
      <c r="AE126" s="18"/>
      <c r="AF126" s="4">
        <f t="shared" si="10"/>
        <v>842100</v>
      </c>
      <c r="AG126" s="4"/>
      <c r="AH126" s="16">
        <f t="shared" si="11"/>
        <v>842100</v>
      </c>
      <c r="AI126" s="21">
        <f t="shared" si="5"/>
        <v>0.1610133843212237</v>
      </c>
      <c r="AJ126" s="20">
        <f t="shared" si="12"/>
        <v>0.1610133843212237</v>
      </c>
      <c r="AK126" s="9"/>
    </row>
    <row r="127" spans="1:37" hidden="1">
      <c r="A127" s="3">
        <v>125</v>
      </c>
      <c r="B127" s="12"/>
      <c r="C127" s="13"/>
      <c r="D127" s="13"/>
      <c r="E127" s="13"/>
      <c r="F127" s="13"/>
      <c r="G127" s="13"/>
      <c r="H127" s="15"/>
      <c r="I127" s="45" t="s">
        <v>875</v>
      </c>
      <c r="J127" s="45" t="s">
        <v>1387</v>
      </c>
      <c r="K127" s="46" t="s">
        <v>653</v>
      </c>
      <c r="L127" s="47" t="s">
        <v>1225</v>
      </c>
      <c r="M127" s="66">
        <f>IFERROR(VLOOKUP($L127,[3]Consolidated!$C$9:$AC$452,27,0),0)</f>
        <v>11767500</v>
      </c>
      <c r="N127" s="66">
        <f>IFERROR(VLOOKUP($L127,[3]Consolidated!$C$9:$AC$452,5,0),0)</f>
        <v>45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4">
        <f>(VLOOKUP($O$2,Prices!$E$3:$K$17,2,FALSE)*O127)+(VLOOKUP($P$2,Prices!$J$3:$K$17,2,FALSE)*P127)+(VLOOKUP($Q$2,Prices!$J$3:$K$17,2,FALSE)*Q127)+(VLOOKUP($R$2,Prices!$J$3:$K$17,2,FALSE)*R127)+(VLOOKUP($S$2,Prices!$J$3:$K$17,2,FALSE)*S127)+(VLOOKUP($T$2,Prices!$J$3:$K$17,2,FALSE)*T127)+(VLOOKUP($U$2,Prices!$J$3:$K$17,2,FALSE)*U127)+(VLOOKUP($V$2,Prices!$J$3:$K$17,2,FALSE)*V127)+(VLOOKUP($W$2,Prices!$J$3:$K$17,2,FALSE)*W127)+(VLOOKUP($X$2,Prices!$J$3:$K$17,2,FALSE)*X127)+(VLOOKUP($Y$2,Prices!$J$3:$K$17,2,FALSE)*Y127)+(VLOOKUP($Z$2,Prices!$J$3:$K$17,2,FALSE)*Z127)+(VLOOKUP($AA$2,Prices!$J$3:$K$17,2,FALSE)*AA127)+(VLOOKUP($AB$2,Prices!$J$3:$K$17,2,FALSE)*AB127)+M127</f>
        <v>11767500</v>
      </c>
      <c r="AD127" s="69">
        <v>2193750</v>
      </c>
      <c r="AE127" s="18"/>
      <c r="AF127" s="4">
        <f t="shared" si="10"/>
        <v>2193750</v>
      </c>
      <c r="AG127" s="4"/>
      <c r="AH127" s="16">
        <f t="shared" si="11"/>
        <v>2193750</v>
      </c>
      <c r="AI127" s="21">
        <f t="shared" si="5"/>
        <v>0.18642447418738051</v>
      </c>
      <c r="AJ127" s="20">
        <f t="shared" si="12"/>
        <v>0.18642447418738051</v>
      </c>
      <c r="AK127" s="9"/>
    </row>
    <row r="128" spans="1:37" hidden="1">
      <c r="A128" s="3">
        <v>126</v>
      </c>
      <c r="B128" s="12"/>
      <c r="C128" s="13"/>
      <c r="D128" s="13"/>
      <c r="E128" s="13"/>
      <c r="F128" s="13"/>
      <c r="G128" s="13"/>
      <c r="H128" s="15"/>
      <c r="I128" s="45" t="s">
        <v>876</v>
      </c>
      <c r="J128" s="45" t="s">
        <v>1387</v>
      </c>
      <c r="K128" s="46" t="s">
        <v>653</v>
      </c>
      <c r="L128" s="47" t="s">
        <v>1226</v>
      </c>
      <c r="M128" s="66">
        <f>IFERROR(VLOOKUP($L128,[3]Consolidated!$C$9:$AC$452,27,0),0)</f>
        <v>10460000</v>
      </c>
      <c r="N128" s="66">
        <f>IFERROR(VLOOKUP($L128,[3]Consolidated!$C$9:$AC$452,5,0),0)</f>
        <v>40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4">
        <f>(VLOOKUP($O$2,Prices!$E$3:$K$17,2,FALSE)*O128)+(VLOOKUP($P$2,Prices!$J$3:$K$17,2,FALSE)*P128)+(VLOOKUP($Q$2,Prices!$J$3:$K$17,2,FALSE)*Q128)+(VLOOKUP($R$2,Prices!$J$3:$K$17,2,FALSE)*R128)+(VLOOKUP($S$2,Prices!$J$3:$K$17,2,FALSE)*S128)+(VLOOKUP($T$2,Prices!$J$3:$K$17,2,FALSE)*T128)+(VLOOKUP($U$2,Prices!$J$3:$K$17,2,FALSE)*U128)+(VLOOKUP($V$2,Prices!$J$3:$K$17,2,FALSE)*V128)+(VLOOKUP($W$2,Prices!$J$3:$K$17,2,FALSE)*W128)+(VLOOKUP($X$2,Prices!$J$3:$K$17,2,FALSE)*X128)+(VLOOKUP($Y$2,Prices!$J$3:$K$17,2,FALSE)*Y128)+(VLOOKUP($Z$2,Prices!$J$3:$K$17,2,FALSE)*Z128)+(VLOOKUP($AA$2,Prices!$J$3:$K$17,2,FALSE)*AA128)+(VLOOKUP($AB$2,Prices!$J$3:$K$17,2,FALSE)*AB128)+M128</f>
        <v>10460000</v>
      </c>
      <c r="AD128" s="69">
        <v>1912000</v>
      </c>
      <c r="AE128" s="18"/>
      <c r="AF128" s="4">
        <f t="shared" si="10"/>
        <v>1912000</v>
      </c>
      <c r="AG128" s="4"/>
      <c r="AH128" s="16">
        <f t="shared" si="11"/>
        <v>1912000</v>
      </c>
      <c r="AI128" s="21">
        <f t="shared" si="5"/>
        <v>0.18279158699808795</v>
      </c>
      <c r="AJ128" s="20">
        <f t="shared" si="12"/>
        <v>0.18279158699808795</v>
      </c>
      <c r="AK128" s="9"/>
    </row>
    <row r="129" spans="1:37" hidden="1">
      <c r="A129" s="3">
        <v>127</v>
      </c>
      <c r="B129" s="12"/>
      <c r="C129" s="13"/>
      <c r="D129" s="13"/>
      <c r="E129" s="13"/>
      <c r="F129" s="13"/>
      <c r="G129" s="13"/>
      <c r="H129" s="15"/>
      <c r="I129" s="45" t="s">
        <v>877</v>
      </c>
      <c r="J129" s="45" t="s">
        <v>1387</v>
      </c>
      <c r="K129" s="46" t="s">
        <v>653</v>
      </c>
      <c r="L129" s="47" t="s">
        <v>1227</v>
      </c>
      <c r="M129" s="66">
        <f>IFERROR(VLOOKUP($L129,[3]Consolidated!$C$9:$AC$452,27,0),0)</f>
        <v>7845000</v>
      </c>
      <c r="N129" s="66">
        <f>IFERROR(VLOOKUP($L129,[3]Consolidated!$C$9:$AC$452,5,0),0)</f>
        <v>30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4">
        <f>(VLOOKUP($O$2,Prices!$E$3:$K$17,2,FALSE)*O129)+(VLOOKUP($P$2,Prices!$J$3:$K$17,2,FALSE)*P129)+(VLOOKUP($Q$2,Prices!$J$3:$K$17,2,FALSE)*Q129)+(VLOOKUP($R$2,Prices!$J$3:$K$17,2,FALSE)*R129)+(VLOOKUP($S$2,Prices!$J$3:$K$17,2,FALSE)*S129)+(VLOOKUP($T$2,Prices!$J$3:$K$17,2,FALSE)*T129)+(VLOOKUP($U$2,Prices!$J$3:$K$17,2,FALSE)*U129)+(VLOOKUP($V$2,Prices!$J$3:$K$17,2,FALSE)*V129)+(VLOOKUP($W$2,Prices!$J$3:$K$17,2,FALSE)*W129)+(VLOOKUP($X$2,Prices!$J$3:$K$17,2,FALSE)*X129)+(VLOOKUP($Y$2,Prices!$J$3:$K$17,2,FALSE)*Y129)+(VLOOKUP($Z$2,Prices!$J$3:$K$17,2,FALSE)*Z129)+(VLOOKUP($AA$2,Prices!$J$3:$K$17,2,FALSE)*AA129)+(VLOOKUP($AB$2,Prices!$J$3:$K$17,2,FALSE)*AB129)+M129</f>
        <v>7845000</v>
      </c>
      <c r="AD129" s="69">
        <v>1009750</v>
      </c>
      <c r="AE129" s="18"/>
      <c r="AF129" s="4">
        <f t="shared" si="10"/>
        <v>1009750</v>
      </c>
      <c r="AG129" s="4"/>
      <c r="AH129" s="16">
        <f t="shared" si="11"/>
        <v>1009750</v>
      </c>
      <c r="AI129" s="21">
        <f t="shared" si="5"/>
        <v>0.12871255576800511</v>
      </c>
      <c r="AJ129" s="20">
        <f t="shared" si="12"/>
        <v>0.12871255576800511</v>
      </c>
      <c r="AK129" s="9"/>
    </row>
    <row r="130" spans="1:37" hidden="1">
      <c r="A130" s="3">
        <v>128</v>
      </c>
      <c r="B130" s="12"/>
      <c r="C130" s="13"/>
      <c r="D130" s="13"/>
      <c r="E130" s="13"/>
      <c r="F130" s="13"/>
      <c r="G130" s="13"/>
      <c r="H130" s="15"/>
      <c r="I130" s="45" t="s">
        <v>43</v>
      </c>
      <c r="J130" s="45" t="s">
        <v>1387</v>
      </c>
      <c r="K130" s="46" t="s">
        <v>653</v>
      </c>
      <c r="L130" s="47" t="s">
        <v>1228</v>
      </c>
      <c r="M130" s="66">
        <f>IFERROR(VLOOKUP($L130,[3]Consolidated!$C$9:$AC$452,27,0),0)</f>
        <v>2876500</v>
      </c>
      <c r="N130" s="66">
        <f>IFERROR(VLOOKUP($L130,[3]Consolidated!$C$9:$AC$452,5,0),0)</f>
        <v>11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4">
        <f>(VLOOKUP($O$2,Prices!$E$3:$K$17,2,FALSE)*O130)+(VLOOKUP($P$2,Prices!$J$3:$K$17,2,FALSE)*P130)+(VLOOKUP($Q$2,Prices!$J$3:$K$17,2,FALSE)*Q130)+(VLOOKUP($R$2,Prices!$J$3:$K$17,2,FALSE)*R130)+(VLOOKUP($S$2,Prices!$J$3:$K$17,2,FALSE)*S130)+(VLOOKUP($T$2,Prices!$J$3:$K$17,2,FALSE)*T130)+(VLOOKUP($U$2,Prices!$J$3:$K$17,2,FALSE)*U130)+(VLOOKUP($V$2,Prices!$J$3:$K$17,2,FALSE)*V130)+(VLOOKUP($W$2,Prices!$J$3:$K$17,2,FALSE)*W130)+(VLOOKUP($X$2,Prices!$J$3:$K$17,2,FALSE)*X130)+(VLOOKUP($Y$2,Prices!$J$3:$K$17,2,FALSE)*Y130)+(VLOOKUP($Z$2,Prices!$J$3:$K$17,2,FALSE)*Z130)+(VLOOKUP($AA$2,Prices!$J$3:$K$17,2,FALSE)*AA130)+(VLOOKUP($AB$2,Prices!$J$3:$K$17,2,FALSE)*AB130)+M130</f>
        <v>2876500</v>
      </c>
      <c r="AD130" s="13">
        <v>0</v>
      </c>
      <c r="AE130" s="18"/>
      <c r="AF130" s="4">
        <f t="shared" si="10"/>
        <v>0</v>
      </c>
      <c r="AG130" s="4"/>
      <c r="AH130" s="16">
        <f t="shared" si="11"/>
        <v>0</v>
      </c>
      <c r="AI130" s="21">
        <f t="shared" si="5"/>
        <v>0</v>
      </c>
      <c r="AJ130" s="20">
        <f t="shared" si="12"/>
        <v>0</v>
      </c>
      <c r="AK130" s="9"/>
    </row>
    <row r="131" spans="1:37" hidden="1">
      <c r="A131" s="3">
        <v>129</v>
      </c>
      <c r="B131" s="12"/>
      <c r="C131" s="13"/>
      <c r="D131" s="13"/>
      <c r="E131" s="13"/>
      <c r="F131" s="13"/>
      <c r="G131" s="13"/>
      <c r="H131" s="15"/>
      <c r="I131" s="45" t="s">
        <v>38</v>
      </c>
      <c r="J131" s="45" t="s">
        <v>1387</v>
      </c>
      <c r="K131" s="46" t="s">
        <v>653</v>
      </c>
      <c r="L131" s="47" t="s">
        <v>1229</v>
      </c>
      <c r="M131" s="66">
        <f>IFERROR(VLOOKUP($L131,[3]Consolidated!$C$9:$AC$452,27,0),0)</f>
        <v>5230000</v>
      </c>
      <c r="N131" s="66">
        <f>IFERROR(VLOOKUP($L131,[3]Consolidated!$C$9:$AC$452,5,0),0)</f>
        <v>20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4">
        <f>(VLOOKUP($O$2,Prices!$E$3:$K$17,2,FALSE)*O131)+(VLOOKUP($P$2,Prices!$J$3:$K$17,2,FALSE)*P131)+(VLOOKUP($Q$2,Prices!$J$3:$K$17,2,FALSE)*Q131)+(VLOOKUP($R$2,Prices!$J$3:$K$17,2,FALSE)*R131)+(VLOOKUP($S$2,Prices!$J$3:$K$17,2,FALSE)*S131)+(VLOOKUP($T$2,Prices!$J$3:$K$17,2,FALSE)*T131)+(VLOOKUP($U$2,Prices!$J$3:$K$17,2,FALSE)*U131)+(VLOOKUP($V$2,Prices!$J$3:$K$17,2,FALSE)*V131)+(VLOOKUP($W$2,Prices!$J$3:$K$17,2,FALSE)*W131)+(VLOOKUP($X$2,Prices!$J$3:$K$17,2,FALSE)*X131)+(VLOOKUP($Y$2,Prices!$J$3:$K$17,2,FALSE)*Y131)+(VLOOKUP($Z$2,Prices!$J$3:$K$17,2,FALSE)*Z131)+(VLOOKUP($AA$2,Prices!$J$3:$K$17,2,FALSE)*AA131)+(VLOOKUP($AB$2,Prices!$J$3:$K$17,2,FALSE)*AB131)+M131</f>
        <v>5230000</v>
      </c>
      <c r="AD131" s="69">
        <v>874100</v>
      </c>
      <c r="AE131" s="18"/>
      <c r="AF131" s="4">
        <f t="shared" si="10"/>
        <v>874100</v>
      </c>
      <c r="AG131" s="4"/>
      <c r="AH131" s="16">
        <f t="shared" si="11"/>
        <v>874100</v>
      </c>
      <c r="AI131" s="21">
        <f t="shared" si="5"/>
        <v>0.167131931166348</v>
      </c>
      <c r="AJ131" s="20">
        <f t="shared" si="12"/>
        <v>0.167131931166348</v>
      </c>
      <c r="AK131" s="9"/>
    </row>
    <row r="132" spans="1:37" hidden="1">
      <c r="A132" s="3">
        <v>130</v>
      </c>
      <c r="B132" s="12"/>
      <c r="C132" s="13"/>
      <c r="D132" s="13"/>
      <c r="E132" s="13"/>
      <c r="F132" s="13"/>
      <c r="G132" s="13"/>
      <c r="H132" s="15"/>
      <c r="I132" s="45" t="s">
        <v>878</v>
      </c>
      <c r="J132" s="45" t="s">
        <v>1387</v>
      </c>
      <c r="K132" s="46" t="s">
        <v>653</v>
      </c>
      <c r="L132" s="46" t="s">
        <v>1230</v>
      </c>
      <c r="M132" s="66">
        <f>IFERROR(VLOOKUP($L132,[3]Consolidated!$C$9:$AC$452,27,0),0)</f>
        <v>36610000</v>
      </c>
      <c r="N132" s="66">
        <f>IFERROR(VLOOKUP($L132,[3]Consolidated!$C$9:$AC$452,5,0),0)</f>
        <v>140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4">
        <f>(VLOOKUP($O$2,Prices!$E$3:$K$17,2,FALSE)*O132)+(VLOOKUP($P$2,Prices!$J$3:$K$17,2,FALSE)*P132)+(VLOOKUP($Q$2,Prices!$J$3:$K$17,2,FALSE)*Q132)+(VLOOKUP($R$2,Prices!$J$3:$K$17,2,FALSE)*R132)+(VLOOKUP($S$2,Prices!$J$3:$K$17,2,FALSE)*S132)+(VLOOKUP($T$2,Prices!$J$3:$K$17,2,FALSE)*T132)+(VLOOKUP($U$2,Prices!$J$3:$K$17,2,FALSE)*U132)+(VLOOKUP($V$2,Prices!$J$3:$K$17,2,FALSE)*V132)+(VLOOKUP($W$2,Prices!$J$3:$K$17,2,FALSE)*W132)+(VLOOKUP($X$2,Prices!$J$3:$K$17,2,FALSE)*X132)+(VLOOKUP($Y$2,Prices!$J$3:$K$17,2,FALSE)*Y132)+(VLOOKUP($Z$2,Prices!$J$3:$K$17,2,FALSE)*Z132)+(VLOOKUP($AA$2,Prices!$J$3:$K$17,2,FALSE)*AA132)+(VLOOKUP($AB$2,Prices!$J$3:$K$17,2,FALSE)*AB132)+M132</f>
        <v>36610000</v>
      </c>
      <c r="AD132" s="69">
        <v>5272250</v>
      </c>
      <c r="AE132" s="18"/>
      <c r="AF132" s="4">
        <f t="shared" si="10"/>
        <v>5272250</v>
      </c>
      <c r="AG132" s="4"/>
      <c r="AH132" s="16">
        <f t="shared" si="11"/>
        <v>5272250</v>
      </c>
      <c r="AI132" s="21">
        <f t="shared" ref="AI132:AI195" si="13">AH132/M132</f>
        <v>0.14401119912592189</v>
      </c>
      <c r="AJ132" s="20">
        <f t="shared" si="12"/>
        <v>0.14401119912592189</v>
      </c>
      <c r="AK132" s="9"/>
    </row>
    <row r="133" spans="1:37" hidden="1">
      <c r="A133" s="3">
        <v>131</v>
      </c>
      <c r="B133" s="12"/>
      <c r="C133" s="13"/>
      <c r="D133" s="13"/>
      <c r="E133" s="13"/>
      <c r="F133" s="13"/>
      <c r="G133" s="13"/>
      <c r="H133" s="15"/>
      <c r="I133" s="45" t="s">
        <v>879</v>
      </c>
      <c r="J133" s="45" t="s">
        <v>1387</v>
      </c>
      <c r="K133" s="46" t="s">
        <v>653</v>
      </c>
      <c r="L133" s="46" t="s">
        <v>1231</v>
      </c>
      <c r="M133" s="66">
        <f>IFERROR(VLOOKUP($L133,[3]Consolidated!$C$9:$AC$452,27,0),0)</f>
        <v>39225000</v>
      </c>
      <c r="N133" s="66">
        <f>IFERROR(VLOOKUP($L133,[3]Consolidated!$C$9:$AC$452,5,0),0)</f>
        <v>150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4">
        <f>(VLOOKUP($O$2,Prices!$E$3:$K$17,2,FALSE)*O133)+(VLOOKUP($P$2,Prices!$J$3:$K$17,2,FALSE)*P133)+(VLOOKUP($Q$2,Prices!$J$3:$K$17,2,FALSE)*Q133)+(VLOOKUP($R$2,Prices!$J$3:$K$17,2,FALSE)*R133)+(VLOOKUP($S$2,Prices!$J$3:$K$17,2,FALSE)*S133)+(VLOOKUP($T$2,Prices!$J$3:$K$17,2,FALSE)*T133)+(VLOOKUP($U$2,Prices!$J$3:$K$17,2,FALSE)*U133)+(VLOOKUP($V$2,Prices!$J$3:$K$17,2,FALSE)*V133)+(VLOOKUP($W$2,Prices!$J$3:$K$17,2,FALSE)*W133)+(VLOOKUP($X$2,Prices!$J$3:$K$17,2,FALSE)*X133)+(VLOOKUP($Y$2,Prices!$J$3:$K$17,2,FALSE)*Y133)+(VLOOKUP($Z$2,Prices!$J$3:$K$17,2,FALSE)*Z133)+(VLOOKUP($AA$2,Prices!$J$3:$K$17,2,FALSE)*AA133)+(VLOOKUP($AB$2,Prices!$J$3:$K$17,2,FALSE)*AB133)+M133</f>
        <v>39225000</v>
      </c>
      <c r="AD133" s="69">
        <v>4612250</v>
      </c>
      <c r="AE133" s="18"/>
      <c r="AF133" s="4">
        <f t="shared" si="10"/>
        <v>4612250</v>
      </c>
      <c r="AG133" s="4"/>
      <c r="AH133" s="16">
        <f t="shared" si="11"/>
        <v>4612250</v>
      </c>
      <c r="AI133" s="21">
        <f t="shared" si="13"/>
        <v>0.1175844486934353</v>
      </c>
      <c r="AJ133" s="20">
        <f t="shared" si="12"/>
        <v>0.1175844486934353</v>
      </c>
      <c r="AK133" s="9"/>
    </row>
    <row r="134" spans="1:37" hidden="1">
      <c r="A134" s="3">
        <v>132</v>
      </c>
      <c r="B134" s="12"/>
      <c r="C134" s="13"/>
      <c r="D134" s="13"/>
      <c r="E134" s="13"/>
      <c r="F134" s="13"/>
      <c r="G134" s="13"/>
      <c r="H134" s="15"/>
      <c r="I134" s="45" t="s">
        <v>880</v>
      </c>
      <c r="J134" s="67" t="s">
        <v>1387</v>
      </c>
      <c r="K134" s="46" t="s">
        <v>653</v>
      </c>
      <c r="L134" s="46" t="s">
        <v>1232</v>
      </c>
      <c r="M134" s="66">
        <f>IFERROR(VLOOKUP($L134,[3]Consolidated!$C$9:$AC$452,27,0),0)</f>
        <v>10460000</v>
      </c>
      <c r="N134" s="66">
        <f>IFERROR(VLOOKUP($L134,[3]Consolidated!$C$9:$AC$452,5,0),0)</f>
        <v>40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4">
        <f>(VLOOKUP($O$2,Prices!$E$3:$K$17,2,FALSE)*O134)+(VLOOKUP($P$2,Prices!$J$3:$K$17,2,FALSE)*P134)+(VLOOKUP($Q$2,Prices!$J$3:$K$17,2,FALSE)*Q134)+(VLOOKUP($R$2,Prices!$J$3:$K$17,2,FALSE)*R134)+(VLOOKUP($S$2,Prices!$J$3:$K$17,2,FALSE)*S134)+(VLOOKUP($T$2,Prices!$J$3:$K$17,2,FALSE)*T134)+(VLOOKUP($U$2,Prices!$J$3:$K$17,2,FALSE)*U134)+(VLOOKUP($V$2,Prices!$J$3:$K$17,2,FALSE)*V134)+(VLOOKUP($W$2,Prices!$J$3:$K$17,2,FALSE)*W134)+(VLOOKUP($X$2,Prices!$J$3:$K$17,2,FALSE)*X134)+(VLOOKUP($Y$2,Prices!$J$3:$K$17,2,FALSE)*Y134)+(VLOOKUP($Z$2,Prices!$J$3:$K$17,2,FALSE)*Z134)+(VLOOKUP($AA$2,Prices!$J$3:$K$17,2,FALSE)*AA134)+(VLOOKUP($AB$2,Prices!$J$3:$K$17,2,FALSE)*AB134)+M134</f>
        <v>10460000</v>
      </c>
      <c r="AD134" s="13">
        <v>0</v>
      </c>
      <c r="AE134" s="18"/>
      <c r="AF134" s="4">
        <f t="shared" si="10"/>
        <v>0</v>
      </c>
      <c r="AG134" s="4"/>
      <c r="AH134" s="16">
        <f t="shared" si="11"/>
        <v>0</v>
      </c>
      <c r="AI134" s="21">
        <f t="shared" si="13"/>
        <v>0</v>
      </c>
      <c r="AJ134" s="20">
        <f t="shared" si="12"/>
        <v>0</v>
      </c>
      <c r="AK134" s="9"/>
    </row>
    <row r="135" spans="1:37" hidden="1">
      <c r="A135" s="3">
        <v>133</v>
      </c>
      <c r="B135" s="12"/>
      <c r="C135" s="13"/>
      <c r="D135" s="13"/>
      <c r="E135" s="13"/>
      <c r="F135" s="13"/>
      <c r="G135" s="13"/>
      <c r="H135" s="15"/>
      <c r="I135" s="45" t="s">
        <v>881</v>
      </c>
      <c r="J135" s="45" t="s">
        <v>1387</v>
      </c>
      <c r="K135" s="46" t="s">
        <v>653</v>
      </c>
      <c r="L135" s="46" t="s">
        <v>1233</v>
      </c>
      <c r="M135" s="66">
        <f>IFERROR(VLOOKUP($L135,[3]Consolidated!$C$9:$AC$452,27,0),0)</f>
        <v>10460000</v>
      </c>
      <c r="N135" s="66">
        <f>IFERROR(VLOOKUP($L135,[3]Consolidated!$C$9:$AC$452,5,0),0)</f>
        <v>40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4">
        <f>(VLOOKUP($O$2,Prices!$E$3:$K$17,2,FALSE)*O135)+(VLOOKUP($P$2,Prices!$J$3:$K$17,2,FALSE)*P135)+(VLOOKUP($Q$2,Prices!$J$3:$K$17,2,FALSE)*Q135)+(VLOOKUP($R$2,Prices!$J$3:$K$17,2,FALSE)*R135)+(VLOOKUP($S$2,Prices!$J$3:$K$17,2,FALSE)*S135)+(VLOOKUP($T$2,Prices!$J$3:$K$17,2,FALSE)*T135)+(VLOOKUP($U$2,Prices!$J$3:$K$17,2,FALSE)*U135)+(VLOOKUP($V$2,Prices!$J$3:$K$17,2,FALSE)*V135)+(VLOOKUP($W$2,Prices!$J$3:$K$17,2,FALSE)*W135)+(VLOOKUP($X$2,Prices!$J$3:$K$17,2,FALSE)*X135)+(VLOOKUP($Y$2,Prices!$J$3:$K$17,2,FALSE)*Y135)+(VLOOKUP($Z$2,Prices!$J$3:$K$17,2,FALSE)*Z135)+(VLOOKUP($AA$2,Prices!$J$3:$K$17,2,FALSE)*AA135)+(VLOOKUP($AB$2,Prices!$J$3:$K$17,2,FALSE)*AB135)+M135</f>
        <v>10460000</v>
      </c>
      <c r="AD135" s="69">
        <v>998000</v>
      </c>
      <c r="AE135" s="18"/>
      <c r="AF135" s="4">
        <f t="shared" si="10"/>
        <v>998000</v>
      </c>
      <c r="AG135" s="4"/>
      <c r="AH135" s="16">
        <f t="shared" si="11"/>
        <v>998000</v>
      </c>
      <c r="AI135" s="21">
        <f t="shared" si="13"/>
        <v>9.541108986615679E-2</v>
      </c>
      <c r="AJ135" s="20">
        <f t="shared" si="12"/>
        <v>9.541108986615679E-2</v>
      </c>
      <c r="AK135" s="19"/>
    </row>
    <row r="136" spans="1:37" hidden="1">
      <c r="A136" s="3">
        <v>134</v>
      </c>
      <c r="B136" s="12"/>
      <c r="C136" s="13"/>
      <c r="D136" s="13"/>
      <c r="E136" s="13"/>
      <c r="F136" s="13"/>
      <c r="G136" s="13"/>
      <c r="H136" s="15"/>
      <c r="I136" s="45" t="s">
        <v>882</v>
      </c>
      <c r="J136" s="45" t="s">
        <v>1387</v>
      </c>
      <c r="K136" s="46" t="s">
        <v>653</v>
      </c>
      <c r="L136" s="47" t="s">
        <v>1234</v>
      </c>
      <c r="M136" s="66">
        <f>IFERROR(VLOOKUP($L136,[3]Consolidated!$C$9:$AC$452,27,0),0)</f>
        <v>11767500</v>
      </c>
      <c r="N136" s="66">
        <f>IFERROR(VLOOKUP($L136,[3]Consolidated!$C$9:$AC$452,5,0),0)</f>
        <v>45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4">
        <f>(VLOOKUP($O$2,Prices!$E$3:$K$17,2,FALSE)*O136)+(VLOOKUP($P$2,Prices!$J$3:$K$17,2,FALSE)*P136)+(VLOOKUP($Q$2,Prices!$J$3:$K$17,2,FALSE)*Q136)+(VLOOKUP($R$2,Prices!$J$3:$K$17,2,FALSE)*R136)+(VLOOKUP($S$2,Prices!$J$3:$K$17,2,FALSE)*S136)+(VLOOKUP($T$2,Prices!$J$3:$K$17,2,FALSE)*T136)+(VLOOKUP($U$2,Prices!$J$3:$K$17,2,FALSE)*U136)+(VLOOKUP($V$2,Prices!$J$3:$K$17,2,FALSE)*V136)+(VLOOKUP($W$2,Prices!$J$3:$K$17,2,FALSE)*W136)+(VLOOKUP($X$2,Prices!$J$3:$K$17,2,FALSE)*X136)+(VLOOKUP($Y$2,Prices!$J$3:$K$17,2,FALSE)*Y136)+(VLOOKUP($Z$2,Prices!$J$3:$K$17,2,FALSE)*Z136)+(VLOOKUP($AA$2,Prices!$J$3:$K$17,2,FALSE)*AA136)+(VLOOKUP($AB$2,Prices!$J$3:$K$17,2,FALSE)*AB136)+M136</f>
        <v>11767500</v>
      </c>
      <c r="AD136" s="69">
        <v>1815000</v>
      </c>
      <c r="AE136" s="18"/>
      <c r="AF136" s="4">
        <f t="shared" si="10"/>
        <v>1815000</v>
      </c>
      <c r="AG136" s="4"/>
      <c r="AH136" s="16">
        <f t="shared" si="11"/>
        <v>1815000</v>
      </c>
      <c r="AI136" s="21">
        <f t="shared" si="13"/>
        <v>0.15423836838750796</v>
      </c>
      <c r="AJ136" s="20">
        <f t="shared" si="12"/>
        <v>0.15423836838750796</v>
      </c>
      <c r="AK136" s="9"/>
    </row>
    <row r="137" spans="1:37" hidden="1">
      <c r="A137" s="3">
        <v>135</v>
      </c>
      <c r="B137" s="12"/>
      <c r="C137" s="13"/>
      <c r="D137" s="13"/>
      <c r="E137" s="13"/>
      <c r="F137" s="13"/>
      <c r="G137" s="13"/>
      <c r="H137" s="15"/>
      <c r="I137" s="45" t="s">
        <v>883</v>
      </c>
      <c r="J137" s="45" t="s">
        <v>1387</v>
      </c>
      <c r="K137" s="46" t="s">
        <v>653</v>
      </c>
      <c r="L137" s="47" t="s">
        <v>1235</v>
      </c>
      <c r="M137" s="66">
        <f>IFERROR(VLOOKUP($L137,[3]Consolidated!$C$9:$AC$452,27,0),0)</f>
        <v>16997500</v>
      </c>
      <c r="N137" s="66">
        <f>IFERROR(VLOOKUP($L137,[3]Consolidated!$C$9:$AC$452,5,0),0)</f>
        <v>65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4">
        <f>(VLOOKUP($O$2,Prices!$E$3:$K$17,2,FALSE)*O137)+(VLOOKUP($P$2,Prices!$J$3:$K$17,2,FALSE)*P137)+(VLOOKUP($Q$2,Prices!$J$3:$K$17,2,FALSE)*Q137)+(VLOOKUP($R$2,Prices!$J$3:$K$17,2,FALSE)*R137)+(VLOOKUP($S$2,Prices!$J$3:$K$17,2,FALSE)*S137)+(VLOOKUP($T$2,Prices!$J$3:$K$17,2,FALSE)*T137)+(VLOOKUP($U$2,Prices!$J$3:$K$17,2,FALSE)*U137)+(VLOOKUP($V$2,Prices!$J$3:$K$17,2,FALSE)*V137)+(VLOOKUP($W$2,Prices!$J$3:$K$17,2,FALSE)*W137)+(VLOOKUP($X$2,Prices!$J$3:$K$17,2,FALSE)*X137)+(VLOOKUP($Y$2,Prices!$J$3:$K$17,2,FALSE)*Y137)+(VLOOKUP($Z$2,Prices!$J$3:$K$17,2,FALSE)*Z137)+(VLOOKUP($AA$2,Prices!$J$3:$K$17,2,FALSE)*AA137)+(VLOOKUP($AB$2,Prices!$J$3:$K$17,2,FALSE)*AB137)+M137</f>
        <v>16997500</v>
      </c>
      <c r="AD137" s="69">
        <v>2598000</v>
      </c>
      <c r="AE137" s="18"/>
      <c r="AF137" s="4">
        <f t="shared" si="10"/>
        <v>2598000</v>
      </c>
      <c r="AG137" s="4"/>
      <c r="AH137" s="16">
        <f t="shared" si="11"/>
        <v>2598000</v>
      </c>
      <c r="AI137" s="21">
        <f t="shared" si="13"/>
        <v>0.15284600676570084</v>
      </c>
      <c r="AJ137" s="20">
        <f t="shared" si="12"/>
        <v>0.15284600676570084</v>
      </c>
      <c r="AK137" s="9"/>
    </row>
    <row r="138" spans="1:37" hidden="1">
      <c r="A138" s="3">
        <v>136</v>
      </c>
      <c r="B138" s="12"/>
      <c r="C138" s="13"/>
      <c r="D138" s="13"/>
      <c r="E138" s="13"/>
      <c r="F138" s="13"/>
      <c r="G138" s="13"/>
      <c r="H138" s="15"/>
      <c r="I138" s="45" t="s">
        <v>884</v>
      </c>
      <c r="J138" s="45" t="s">
        <v>1387</v>
      </c>
      <c r="K138" s="46" t="s">
        <v>653</v>
      </c>
      <c r="L138" s="47" t="s">
        <v>1236</v>
      </c>
      <c r="M138" s="66">
        <f>IFERROR(VLOOKUP($L138,[3]Consolidated!$C$9:$AC$452,27,0),0)</f>
        <v>33995000</v>
      </c>
      <c r="N138" s="66">
        <f>IFERROR(VLOOKUP($L138,[3]Consolidated!$C$9:$AC$452,5,0),0)</f>
        <v>130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4">
        <f>(VLOOKUP($O$2,Prices!$E$3:$K$17,2,FALSE)*O138)+(VLOOKUP($P$2,Prices!$J$3:$K$17,2,FALSE)*P138)+(VLOOKUP($Q$2,Prices!$J$3:$K$17,2,FALSE)*Q138)+(VLOOKUP($R$2,Prices!$J$3:$K$17,2,FALSE)*R138)+(VLOOKUP($S$2,Prices!$J$3:$K$17,2,FALSE)*S138)+(VLOOKUP($T$2,Prices!$J$3:$K$17,2,FALSE)*T138)+(VLOOKUP($U$2,Prices!$J$3:$K$17,2,FALSE)*U138)+(VLOOKUP($V$2,Prices!$J$3:$K$17,2,FALSE)*V138)+(VLOOKUP($W$2,Prices!$J$3:$K$17,2,FALSE)*W138)+(VLOOKUP($X$2,Prices!$J$3:$K$17,2,FALSE)*X138)+(VLOOKUP($Y$2,Prices!$J$3:$K$17,2,FALSE)*Y138)+(VLOOKUP($Z$2,Prices!$J$3:$K$17,2,FALSE)*Z138)+(VLOOKUP($AA$2,Prices!$J$3:$K$17,2,FALSE)*AA138)+(VLOOKUP($AB$2,Prices!$J$3:$K$17,2,FALSE)*AB138)+M138</f>
        <v>33995000</v>
      </c>
      <c r="AD138" s="69">
        <v>4240300</v>
      </c>
      <c r="AE138" s="18"/>
      <c r="AF138" s="4">
        <f t="shared" si="10"/>
        <v>4240300</v>
      </c>
      <c r="AG138" s="4"/>
      <c r="AH138" s="16">
        <f t="shared" si="11"/>
        <v>4240300</v>
      </c>
      <c r="AI138" s="21">
        <f t="shared" si="13"/>
        <v>0.12473304897779085</v>
      </c>
      <c r="AJ138" s="20">
        <f t="shared" si="12"/>
        <v>0.12473304897779085</v>
      </c>
      <c r="AK138" s="9"/>
    </row>
    <row r="139" spans="1:37" hidden="1">
      <c r="A139" s="3">
        <v>137</v>
      </c>
      <c r="B139" s="12"/>
      <c r="C139" s="13"/>
      <c r="D139" s="13"/>
      <c r="E139" s="13"/>
      <c r="F139" s="13"/>
      <c r="G139" s="13"/>
      <c r="H139" s="15"/>
      <c r="I139" s="45" t="s">
        <v>885</v>
      </c>
      <c r="J139" s="45" t="s">
        <v>1387</v>
      </c>
      <c r="K139" s="46" t="s">
        <v>653</v>
      </c>
      <c r="L139" s="47" t="s">
        <v>1237</v>
      </c>
      <c r="M139" s="66">
        <f>IFERROR(VLOOKUP($L139,[3]Consolidated!$C$9:$AC$452,27,0),0)</f>
        <v>4707000</v>
      </c>
      <c r="N139" s="66">
        <f>IFERROR(VLOOKUP($L139,[3]Consolidated!$C$9:$AC$452,5,0),0)</f>
        <v>18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4">
        <f>(VLOOKUP($O$2,Prices!$E$3:$K$17,2,FALSE)*O139)+(VLOOKUP($P$2,Prices!$J$3:$K$17,2,FALSE)*P139)+(VLOOKUP($Q$2,Prices!$J$3:$K$17,2,FALSE)*Q139)+(VLOOKUP($R$2,Prices!$J$3:$K$17,2,FALSE)*R139)+(VLOOKUP($S$2,Prices!$J$3:$K$17,2,FALSE)*S139)+(VLOOKUP($T$2,Prices!$J$3:$K$17,2,FALSE)*T139)+(VLOOKUP($U$2,Prices!$J$3:$K$17,2,FALSE)*U139)+(VLOOKUP($V$2,Prices!$J$3:$K$17,2,FALSE)*V139)+(VLOOKUP($W$2,Prices!$J$3:$K$17,2,FALSE)*W139)+(VLOOKUP($X$2,Prices!$J$3:$K$17,2,FALSE)*X139)+(VLOOKUP($Y$2,Prices!$J$3:$K$17,2,FALSE)*Y139)+(VLOOKUP($Z$2,Prices!$J$3:$K$17,2,FALSE)*Z139)+(VLOOKUP($AA$2,Prices!$J$3:$K$17,2,FALSE)*AA139)+(VLOOKUP($AB$2,Prices!$J$3:$K$17,2,FALSE)*AB139)+M139</f>
        <v>4707000</v>
      </c>
      <c r="AD139" s="69">
        <v>562500</v>
      </c>
      <c r="AE139" s="18"/>
      <c r="AF139" s="4">
        <f t="shared" si="10"/>
        <v>562500</v>
      </c>
      <c r="AG139" s="4"/>
      <c r="AH139" s="16">
        <f t="shared" si="11"/>
        <v>562500</v>
      </c>
      <c r="AI139" s="21">
        <f t="shared" si="13"/>
        <v>0.11950286806883365</v>
      </c>
      <c r="AJ139" s="20">
        <f t="shared" si="12"/>
        <v>0.11950286806883365</v>
      </c>
      <c r="AK139" s="9"/>
    </row>
    <row r="140" spans="1:37" hidden="1">
      <c r="A140" s="3">
        <v>138</v>
      </c>
      <c r="B140" s="12"/>
      <c r="C140" s="13"/>
      <c r="D140" s="13"/>
      <c r="E140" s="13"/>
      <c r="F140" s="13"/>
      <c r="G140" s="13"/>
      <c r="H140" s="15"/>
      <c r="I140" s="45" t="s">
        <v>886</v>
      </c>
      <c r="J140" s="67" t="s">
        <v>1387</v>
      </c>
      <c r="K140" s="46" t="s">
        <v>653</v>
      </c>
      <c r="L140" s="47" t="s">
        <v>1238</v>
      </c>
      <c r="M140" s="66">
        <f>IFERROR(VLOOKUP($L140,[3]Consolidated!$C$9:$AC$452,27,0),0)</f>
        <v>6537500</v>
      </c>
      <c r="N140" s="66">
        <f>IFERROR(VLOOKUP($L140,[3]Consolidated!$C$9:$AC$452,5,0),0)</f>
        <v>25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4">
        <f>(VLOOKUP($O$2,Prices!$E$3:$K$17,2,FALSE)*O140)+(VLOOKUP($P$2,Prices!$J$3:$K$17,2,FALSE)*P140)+(VLOOKUP($Q$2,Prices!$J$3:$K$17,2,FALSE)*Q140)+(VLOOKUP($R$2,Prices!$J$3:$K$17,2,FALSE)*R140)+(VLOOKUP($S$2,Prices!$J$3:$K$17,2,FALSE)*S140)+(VLOOKUP($T$2,Prices!$J$3:$K$17,2,FALSE)*T140)+(VLOOKUP($U$2,Prices!$J$3:$K$17,2,FALSE)*U140)+(VLOOKUP($V$2,Prices!$J$3:$K$17,2,FALSE)*V140)+(VLOOKUP($W$2,Prices!$J$3:$K$17,2,FALSE)*W140)+(VLOOKUP($X$2,Prices!$J$3:$K$17,2,FALSE)*X140)+(VLOOKUP($Y$2,Prices!$J$3:$K$17,2,FALSE)*Y140)+(VLOOKUP($Z$2,Prices!$J$3:$K$17,2,FALSE)*Z140)+(VLOOKUP($AA$2,Prices!$J$3:$K$17,2,FALSE)*AA140)+(VLOOKUP($AB$2,Prices!$J$3:$K$17,2,FALSE)*AB140)+M140</f>
        <v>6537500</v>
      </c>
      <c r="AD140" s="13">
        <v>0</v>
      </c>
      <c r="AE140" s="18"/>
      <c r="AF140" s="4">
        <f t="shared" si="10"/>
        <v>0</v>
      </c>
      <c r="AG140" s="4"/>
      <c r="AH140" s="16">
        <f t="shared" si="11"/>
        <v>0</v>
      </c>
      <c r="AI140" s="21">
        <f t="shared" si="13"/>
        <v>0</v>
      </c>
      <c r="AJ140" s="20">
        <f t="shared" si="12"/>
        <v>0</v>
      </c>
      <c r="AK140" s="9"/>
    </row>
    <row r="141" spans="1:37" hidden="1">
      <c r="A141" s="3">
        <v>139</v>
      </c>
      <c r="B141" s="12"/>
      <c r="C141" s="13"/>
      <c r="D141" s="13"/>
      <c r="E141" s="13"/>
      <c r="F141" s="13"/>
      <c r="G141" s="13"/>
      <c r="H141" s="15"/>
      <c r="I141" s="45" t="s">
        <v>887</v>
      </c>
      <c r="J141" s="45" t="s">
        <v>1387</v>
      </c>
      <c r="K141" s="46" t="s">
        <v>653</v>
      </c>
      <c r="L141" s="47" t="s">
        <v>1239</v>
      </c>
      <c r="M141" s="66">
        <f>IFERROR(VLOOKUP($L141,[3]Consolidated!$C$9:$AC$452,27,0),0)</f>
        <v>5230000</v>
      </c>
      <c r="N141" s="66">
        <f>IFERROR(VLOOKUP($L141,[3]Consolidated!$C$9:$AC$452,5,0),0)</f>
        <v>20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4">
        <f>(VLOOKUP($O$2,Prices!$E$3:$K$17,2,FALSE)*O141)+(VLOOKUP($P$2,Prices!$J$3:$K$17,2,FALSE)*P141)+(VLOOKUP($Q$2,Prices!$J$3:$K$17,2,FALSE)*Q141)+(VLOOKUP($R$2,Prices!$J$3:$K$17,2,FALSE)*R141)+(VLOOKUP($S$2,Prices!$J$3:$K$17,2,FALSE)*S141)+(VLOOKUP($T$2,Prices!$J$3:$K$17,2,FALSE)*T141)+(VLOOKUP($U$2,Prices!$J$3:$K$17,2,FALSE)*U141)+(VLOOKUP($V$2,Prices!$J$3:$K$17,2,FALSE)*V141)+(VLOOKUP($W$2,Prices!$J$3:$K$17,2,FALSE)*W141)+(VLOOKUP($X$2,Prices!$J$3:$K$17,2,FALSE)*X141)+(VLOOKUP($Y$2,Prices!$J$3:$K$17,2,FALSE)*Y141)+(VLOOKUP($Z$2,Prices!$J$3:$K$17,2,FALSE)*Z141)+(VLOOKUP($AA$2,Prices!$J$3:$K$17,2,FALSE)*AA141)+(VLOOKUP($AB$2,Prices!$J$3:$K$17,2,FALSE)*AB141)+M141</f>
        <v>5230000</v>
      </c>
      <c r="AD141" s="69">
        <v>461550</v>
      </c>
      <c r="AE141" s="18"/>
      <c r="AF141" s="4">
        <f t="shared" si="10"/>
        <v>461550</v>
      </c>
      <c r="AG141" s="4"/>
      <c r="AH141" s="16">
        <f t="shared" si="11"/>
        <v>461550</v>
      </c>
      <c r="AI141" s="21">
        <f t="shared" si="13"/>
        <v>8.8250478011472275E-2</v>
      </c>
      <c r="AJ141" s="20">
        <f t="shared" si="12"/>
        <v>8.8250478011472275E-2</v>
      </c>
      <c r="AK141" s="9"/>
    </row>
    <row r="142" spans="1:37" hidden="1">
      <c r="A142" s="3">
        <v>140</v>
      </c>
      <c r="B142" s="12"/>
      <c r="C142" s="13"/>
      <c r="D142" s="13"/>
      <c r="E142" s="13"/>
      <c r="F142" s="13"/>
      <c r="G142" s="13"/>
      <c r="H142" s="15"/>
      <c r="I142" s="45" t="s">
        <v>888</v>
      </c>
      <c r="J142" s="45" t="s">
        <v>1387</v>
      </c>
      <c r="K142" s="46" t="s">
        <v>654</v>
      </c>
      <c r="L142" s="47" t="s">
        <v>1240</v>
      </c>
      <c r="M142" s="66">
        <f>IFERROR(VLOOKUP($L142,[3]Consolidated!$C$9:$AC$452,27,0),0)</f>
        <v>3944000</v>
      </c>
      <c r="N142" s="66">
        <f>IFERROR(VLOOKUP($L142,[3]Consolidated!$C$9:$AC$452,5,0),0)</f>
        <v>20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4">
        <f>(VLOOKUP($O$2,Prices!$E$3:$K$17,2,FALSE)*O142)+(VLOOKUP($P$2,Prices!$J$3:$K$17,2,FALSE)*P142)+(VLOOKUP($Q$2,Prices!$J$3:$K$17,2,FALSE)*Q142)+(VLOOKUP($R$2,Prices!$J$3:$K$17,2,FALSE)*R142)+(VLOOKUP($S$2,Prices!$J$3:$K$17,2,FALSE)*S142)+(VLOOKUP($T$2,Prices!$J$3:$K$17,2,FALSE)*T142)+(VLOOKUP($U$2,Prices!$J$3:$K$17,2,FALSE)*U142)+(VLOOKUP($V$2,Prices!$J$3:$K$17,2,FALSE)*V142)+(VLOOKUP($W$2,Prices!$J$3:$K$17,2,FALSE)*W142)+(VLOOKUP($X$2,Prices!$J$3:$K$17,2,FALSE)*X142)+(VLOOKUP($Y$2,Prices!$J$3:$K$17,2,FALSE)*Y142)+(VLOOKUP($Z$2,Prices!$J$3:$K$17,2,FALSE)*Z142)+(VLOOKUP($AA$2,Prices!$J$3:$K$17,2,FALSE)*AA142)+(VLOOKUP($AB$2,Prices!$J$3:$K$17,2,FALSE)*AB142)+M142</f>
        <v>3944000</v>
      </c>
      <c r="AD142" s="69">
        <v>942700</v>
      </c>
      <c r="AE142" s="18"/>
      <c r="AF142" s="4">
        <f t="shared" si="10"/>
        <v>942700</v>
      </c>
      <c r="AG142" s="4"/>
      <c r="AH142" s="16">
        <f t="shared" si="11"/>
        <v>942700</v>
      </c>
      <c r="AI142" s="21">
        <f t="shared" si="13"/>
        <v>0.2390212981744422</v>
      </c>
      <c r="AJ142" s="20">
        <f t="shared" si="12"/>
        <v>0.2390212981744422</v>
      </c>
      <c r="AK142" s="9"/>
    </row>
    <row r="143" spans="1:37" hidden="1">
      <c r="A143" s="3">
        <v>141</v>
      </c>
      <c r="B143" s="12"/>
      <c r="C143" s="13"/>
      <c r="D143" s="13"/>
      <c r="E143" s="13"/>
      <c r="F143" s="13"/>
      <c r="G143" s="13"/>
      <c r="H143" s="15"/>
      <c r="I143" s="45" t="s">
        <v>889</v>
      </c>
      <c r="J143" s="45" t="s">
        <v>1387</v>
      </c>
      <c r="K143" s="46" t="s">
        <v>654</v>
      </c>
      <c r="L143" s="47" t="s">
        <v>1241</v>
      </c>
      <c r="M143" s="66">
        <f>IFERROR(VLOOKUP($L143,[3]Consolidated!$C$9:$AC$452,27,0),0)</f>
        <v>16606000</v>
      </c>
      <c r="N143" s="66">
        <f>IFERROR(VLOOKUP($L143,[3]Consolidated!$C$9:$AC$452,5,0),0)</f>
        <v>80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4">
        <f>(VLOOKUP($O$2,Prices!$E$3:$K$17,2,FALSE)*O143)+(VLOOKUP($P$2,Prices!$J$3:$K$17,2,FALSE)*P143)+(VLOOKUP($Q$2,Prices!$J$3:$K$17,2,FALSE)*Q143)+(VLOOKUP($R$2,Prices!$J$3:$K$17,2,FALSE)*R143)+(VLOOKUP($S$2,Prices!$J$3:$K$17,2,FALSE)*S143)+(VLOOKUP($T$2,Prices!$J$3:$K$17,2,FALSE)*T143)+(VLOOKUP($U$2,Prices!$J$3:$K$17,2,FALSE)*U143)+(VLOOKUP($V$2,Prices!$J$3:$K$17,2,FALSE)*V143)+(VLOOKUP($W$2,Prices!$J$3:$K$17,2,FALSE)*W143)+(VLOOKUP($X$2,Prices!$J$3:$K$17,2,FALSE)*X143)+(VLOOKUP($Y$2,Prices!$J$3:$K$17,2,FALSE)*Y143)+(VLOOKUP($Z$2,Prices!$J$3:$K$17,2,FALSE)*Z143)+(VLOOKUP($AA$2,Prices!$J$3:$K$17,2,FALSE)*AA143)+(VLOOKUP($AB$2,Prices!$J$3:$K$17,2,FALSE)*AB143)+M143</f>
        <v>16606000</v>
      </c>
      <c r="AD143" s="69">
        <v>4111000</v>
      </c>
      <c r="AE143" s="18"/>
      <c r="AF143" s="4">
        <f t="shared" si="10"/>
        <v>4111000</v>
      </c>
      <c r="AG143" s="4"/>
      <c r="AH143" s="16">
        <f t="shared" si="11"/>
        <v>4111000</v>
      </c>
      <c r="AI143" s="21">
        <f t="shared" si="13"/>
        <v>0.24756112248584849</v>
      </c>
      <c r="AJ143" s="20">
        <f t="shared" si="12"/>
        <v>0.24756112248584849</v>
      </c>
      <c r="AK143" s="9"/>
    </row>
    <row r="144" spans="1:37" hidden="1">
      <c r="A144" s="3">
        <v>142</v>
      </c>
      <c r="B144" s="12"/>
      <c r="C144" s="13"/>
      <c r="D144" s="13"/>
      <c r="E144" s="13"/>
      <c r="F144" s="13"/>
      <c r="G144" s="13"/>
      <c r="H144" s="15"/>
      <c r="I144" s="45" t="s">
        <v>891</v>
      </c>
      <c r="J144" s="45" t="s">
        <v>1387</v>
      </c>
      <c r="K144" s="46" t="s">
        <v>654</v>
      </c>
      <c r="L144" s="47" t="s">
        <v>1243</v>
      </c>
      <c r="M144" s="66">
        <f>IFERROR(VLOOKUP($L144,[3]Consolidated!$C$9:$AC$452,27,0),0)</f>
        <v>10551500</v>
      </c>
      <c r="N144" s="66">
        <f>IFERROR(VLOOKUP($L144,[3]Consolidated!$C$9:$AC$452,5,0),0)</f>
        <v>55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4">
        <f>(VLOOKUP($O$2,Prices!$E$3:$K$17,2,FALSE)*O144)+(VLOOKUP($P$2,Prices!$J$3:$K$17,2,FALSE)*P144)+(VLOOKUP($Q$2,Prices!$J$3:$K$17,2,FALSE)*Q144)+(VLOOKUP($R$2,Prices!$J$3:$K$17,2,FALSE)*R144)+(VLOOKUP($S$2,Prices!$J$3:$K$17,2,FALSE)*S144)+(VLOOKUP($T$2,Prices!$J$3:$K$17,2,FALSE)*T144)+(VLOOKUP($U$2,Prices!$J$3:$K$17,2,FALSE)*U144)+(VLOOKUP($V$2,Prices!$J$3:$K$17,2,FALSE)*V144)+(VLOOKUP($W$2,Prices!$J$3:$K$17,2,FALSE)*W144)+(VLOOKUP($X$2,Prices!$J$3:$K$17,2,FALSE)*X144)+(VLOOKUP($Y$2,Prices!$J$3:$K$17,2,FALSE)*Y144)+(VLOOKUP($Z$2,Prices!$J$3:$K$17,2,FALSE)*Z144)+(VLOOKUP($AA$2,Prices!$J$3:$K$17,2,FALSE)*AA144)+(VLOOKUP($AB$2,Prices!$J$3:$K$17,2,FALSE)*AB144)+M144</f>
        <v>10551500</v>
      </c>
      <c r="AD144" s="69">
        <v>2883000</v>
      </c>
      <c r="AE144" s="18"/>
      <c r="AF144" s="4">
        <f t="shared" si="10"/>
        <v>2883000</v>
      </c>
      <c r="AG144" s="4"/>
      <c r="AH144" s="16">
        <f t="shared" si="11"/>
        <v>2883000</v>
      </c>
      <c r="AI144" s="21">
        <f t="shared" si="13"/>
        <v>0.27323129412879688</v>
      </c>
      <c r="AJ144" s="20">
        <f t="shared" si="12"/>
        <v>0.27323129412879688</v>
      </c>
      <c r="AK144" s="19"/>
    </row>
    <row r="145" spans="1:37" hidden="1">
      <c r="A145" s="3">
        <v>143</v>
      </c>
      <c r="B145" s="12"/>
      <c r="C145" s="13"/>
      <c r="D145" s="13"/>
      <c r="E145" s="13"/>
      <c r="F145" s="13"/>
      <c r="G145" s="13"/>
      <c r="H145" s="15"/>
      <c r="I145" s="45" t="s">
        <v>892</v>
      </c>
      <c r="J145" s="45" t="s">
        <v>1387</v>
      </c>
      <c r="K145" s="46" t="s">
        <v>654</v>
      </c>
      <c r="L145" s="47" t="s">
        <v>1244</v>
      </c>
      <c r="M145" s="66">
        <f>IFERROR(VLOOKUP($L145,[3]Consolidated!$C$9:$AC$452,27,0),0)</f>
        <v>0</v>
      </c>
      <c r="N145" s="66">
        <f>IFERROR(VLOOKUP($L145,[3]Consolidated!$C$9:$AC$452,5,0),0)</f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4">
        <f>(VLOOKUP($O$2,Prices!$E$3:$K$17,2,FALSE)*O145)+(VLOOKUP($P$2,Prices!$J$3:$K$17,2,FALSE)*P145)+(VLOOKUP($Q$2,Prices!$J$3:$K$17,2,FALSE)*Q145)+(VLOOKUP($R$2,Prices!$J$3:$K$17,2,FALSE)*R145)+(VLOOKUP($S$2,Prices!$J$3:$K$17,2,FALSE)*S145)+(VLOOKUP($T$2,Prices!$J$3:$K$17,2,FALSE)*T145)+(VLOOKUP($U$2,Prices!$J$3:$K$17,2,FALSE)*U145)+(VLOOKUP($V$2,Prices!$J$3:$K$17,2,FALSE)*V145)+(VLOOKUP($W$2,Prices!$J$3:$K$17,2,FALSE)*W145)+(VLOOKUP($X$2,Prices!$J$3:$K$17,2,FALSE)*X145)+(VLOOKUP($Y$2,Prices!$J$3:$K$17,2,FALSE)*Y145)+(VLOOKUP($Z$2,Prices!$J$3:$K$17,2,FALSE)*Z145)+(VLOOKUP($AA$2,Prices!$J$3:$K$17,2,FALSE)*AA145)+(VLOOKUP($AB$2,Prices!$J$3:$K$17,2,FALSE)*AB145)+M145</f>
        <v>0</v>
      </c>
      <c r="AD145" s="13">
        <v>0</v>
      </c>
      <c r="AE145" s="18"/>
      <c r="AF145" s="4">
        <f t="shared" si="10"/>
        <v>0</v>
      </c>
      <c r="AG145" s="4"/>
      <c r="AH145" s="16">
        <f t="shared" si="11"/>
        <v>0</v>
      </c>
      <c r="AI145" s="21" t="e">
        <f t="shared" si="13"/>
        <v>#DIV/0!</v>
      </c>
      <c r="AJ145" s="20" t="e">
        <f t="shared" si="12"/>
        <v>#DIV/0!</v>
      </c>
      <c r="AK145" s="9"/>
    </row>
    <row r="146" spans="1:37" hidden="1">
      <c r="A146" s="3">
        <v>144</v>
      </c>
      <c r="B146" s="12"/>
      <c r="C146" s="13"/>
      <c r="D146" s="13"/>
      <c r="E146" s="13"/>
      <c r="F146" s="13"/>
      <c r="G146" s="13"/>
      <c r="H146" s="15"/>
      <c r="I146" s="45" t="s">
        <v>893</v>
      </c>
      <c r="J146" s="45" t="s">
        <v>1387</v>
      </c>
      <c r="K146" s="46" t="s">
        <v>654</v>
      </c>
      <c r="L146" s="47" t="s">
        <v>1245</v>
      </c>
      <c r="M146" s="66">
        <f>IFERROR(VLOOKUP($L146,[3]Consolidated!$C$9:$AC$452,27,0),0)</f>
        <v>0</v>
      </c>
      <c r="N146" s="66">
        <f>IFERROR(VLOOKUP($L146,[3]Consolidated!$C$9:$AC$452,5,0),0)</f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4">
        <f>(VLOOKUP($O$2,Prices!$E$3:$K$17,2,FALSE)*O146)+(VLOOKUP($P$2,Prices!$J$3:$K$17,2,FALSE)*P146)+(VLOOKUP($Q$2,Prices!$J$3:$K$17,2,FALSE)*Q146)+(VLOOKUP($R$2,Prices!$J$3:$K$17,2,FALSE)*R146)+(VLOOKUP($S$2,Prices!$J$3:$K$17,2,FALSE)*S146)+(VLOOKUP($T$2,Prices!$J$3:$K$17,2,FALSE)*T146)+(VLOOKUP($U$2,Prices!$J$3:$K$17,2,FALSE)*U146)+(VLOOKUP($V$2,Prices!$J$3:$K$17,2,FALSE)*V146)+(VLOOKUP($W$2,Prices!$J$3:$K$17,2,FALSE)*W146)+(VLOOKUP($X$2,Prices!$J$3:$K$17,2,FALSE)*X146)+(VLOOKUP($Y$2,Prices!$J$3:$K$17,2,FALSE)*Y146)+(VLOOKUP($Z$2,Prices!$J$3:$K$17,2,FALSE)*Z146)+(VLOOKUP($AA$2,Prices!$J$3:$K$17,2,FALSE)*AA146)+(VLOOKUP($AB$2,Prices!$J$3:$K$17,2,FALSE)*AB146)+M146</f>
        <v>0</v>
      </c>
      <c r="AD146" s="13">
        <v>0</v>
      </c>
      <c r="AE146" s="18"/>
      <c r="AF146" s="4">
        <f t="shared" si="10"/>
        <v>0</v>
      </c>
      <c r="AG146" s="4"/>
      <c r="AH146" s="16">
        <f t="shared" si="11"/>
        <v>0</v>
      </c>
      <c r="AI146" s="21" t="e">
        <f t="shared" si="13"/>
        <v>#DIV/0!</v>
      </c>
      <c r="AJ146" s="20" t="e">
        <f t="shared" si="12"/>
        <v>#DIV/0!</v>
      </c>
      <c r="AK146" s="9"/>
    </row>
    <row r="147" spans="1:37" hidden="1">
      <c r="A147" s="3">
        <v>145</v>
      </c>
      <c r="B147" s="12"/>
      <c r="C147" s="13"/>
      <c r="D147" s="13"/>
      <c r="E147" s="13"/>
      <c r="F147" s="13"/>
      <c r="G147" s="13"/>
      <c r="H147" s="15"/>
      <c r="I147" s="45" t="s">
        <v>894</v>
      </c>
      <c r="J147" s="45" t="s">
        <v>1387</v>
      </c>
      <c r="K147" s="46" t="s">
        <v>654</v>
      </c>
      <c r="L147" s="47" t="s">
        <v>1246</v>
      </c>
      <c r="M147" s="66">
        <f>IFERROR(VLOOKUP($L147,[3]Consolidated!$C$9:$AC$452,27,0),0)</f>
        <v>3984000</v>
      </c>
      <c r="N147" s="66">
        <f>IFERROR(VLOOKUP($L147,[3]Consolidated!$C$9:$AC$452,5,0),0)</f>
        <v>20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4">
        <f>(VLOOKUP($O$2,Prices!$E$3:$K$17,2,FALSE)*O147)+(VLOOKUP($P$2,Prices!$J$3:$K$17,2,FALSE)*P147)+(VLOOKUP($Q$2,Prices!$J$3:$K$17,2,FALSE)*Q147)+(VLOOKUP($R$2,Prices!$J$3:$K$17,2,FALSE)*R147)+(VLOOKUP($S$2,Prices!$J$3:$K$17,2,FALSE)*S147)+(VLOOKUP($T$2,Prices!$J$3:$K$17,2,FALSE)*T147)+(VLOOKUP($U$2,Prices!$J$3:$K$17,2,FALSE)*U147)+(VLOOKUP($V$2,Prices!$J$3:$K$17,2,FALSE)*V147)+(VLOOKUP($W$2,Prices!$J$3:$K$17,2,FALSE)*W147)+(VLOOKUP($X$2,Prices!$J$3:$K$17,2,FALSE)*X147)+(VLOOKUP($Y$2,Prices!$J$3:$K$17,2,FALSE)*Y147)+(VLOOKUP($Z$2,Prices!$J$3:$K$17,2,FALSE)*Z147)+(VLOOKUP($AA$2,Prices!$J$3:$K$17,2,FALSE)*AA147)+(VLOOKUP($AB$2,Prices!$J$3:$K$17,2,FALSE)*AB147)+M147</f>
        <v>3984000</v>
      </c>
      <c r="AD147" s="69">
        <v>1000500</v>
      </c>
      <c r="AE147" s="18"/>
      <c r="AF147" s="4">
        <f t="shared" ref="AF147:AF178" si="14">AD147-AE147</f>
        <v>1000500</v>
      </c>
      <c r="AG147" s="4"/>
      <c r="AH147" s="16">
        <f t="shared" ref="AH147:AH178" si="15">AD147+AG147</f>
        <v>1000500</v>
      </c>
      <c r="AI147" s="21">
        <f t="shared" si="13"/>
        <v>0.25112951807228917</v>
      </c>
      <c r="AJ147" s="20">
        <f t="shared" ref="AJ147:AJ178" si="16">AH147/AC147</f>
        <v>0.25112951807228917</v>
      </c>
      <c r="AK147" s="9"/>
    </row>
    <row r="148" spans="1:37" hidden="1">
      <c r="A148" s="3">
        <v>146</v>
      </c>
      <c r="B148" s="12"/>
      <c r="C148" s="13"/>
      <c r="D148" s="13"/>
      <c r="E148" s="13"/>
      <c r="F148" s="13"/>
      <c r="G148" s="13"/>
      <c r="H148" s="15"/>
      <c r="I148" s="45" t="s">
        <v>895</v>
      </c>
      <c r="J148" s="45" t="s">
        <v>1387</v>
      </c>
      <c r="K148" s="46" t="s">
        <v>654</v>
      </c>
      <c r="L148" s="47" t="s">
        <v>1247</v>
      </c>
      <c r="M148" s="66">
        <f>IFERROR(VLOOKUP($L148,[3]Consolidated!$C$9:$AC$452,27,0),0)</f>
        <v>0</v>
      </c>
      <c r="N148" s="66">
        <f>IFERROR(VLOOKUP($L148,[3]Consolidated!$C$9:$AC$452,5,0),0)</f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4">
        <f>(VLOOKUP($O$2,Prices!$E$3:$K$17,2,FALSE)*O148)+(VLOOKUP($P$2,Prices!$J$3:$K$17,2,FALSE)*P148)+(VLOOKUP($Q$2,Prices!$J$3:$K$17,2,FALSE)*Q148)+(VLOOKUP($R$2,Prices!$J$3:$K$17,2,FALSE)*R148)+(VLOOKUP($S$2,Prices!$J$3:$K$17,2,FALSE)*S148)+(VLOOKUP($T$2,Prices!$J$3:$K$17,2,FALSE)*T148)+(VLOOKUP($U$2,Prices!$J$3:$K$17,2,FALSE)*U148)+(VLOOKUP($V$2,Prices!$J$3:$K$17,2,FALSE)*V148)+(VLOOKUP($W$2,Prices!$J$3:$K$17,2,FALSE)*W148)+(VLOOKUP($X$2,Prices!$J$3:$K$17,2,FALSE)*X148)+(VLOOKUP($Y$2,Prices!$J$3:$K$17,2,FALSE)*Y148)+(VLOOKUP($Z$2,Prices!$J$3:$K$17,2,FALSE)*Z148)+(VLOOKUP($AA$2,Prices!$J$3:$K$17,2,FALSE)*AA148)+(VLOOKUP($AB$2,Prices!$J$3:$K$17,2,FALSE)*AB148)+M148</f>
        <v>0</v>
      </c>
      <c r="AD148" s="13">
        <v>0</v>
      </c>
      <c r="AE148" s="18"/>
      <c r="AF148" s="4">
        <f t="shared" si="14"/>
        <v>0</v>
      </c>
      <c r="AG148" s="4"/>
      <c r="AH148" s="16">
        <f t="shared" si="15"/>
        <v>0</v>
      </c>
      <c r="AI148" s="21" t="e">
        <f t="shared" si="13"/>
        <v>#DIV/0!</v>
      </c>
      <c r="AJ148" s="20" t="e">
        <f t="shared" si="16"/>
        <v>#DIV/0!</v>
      </c>
      <c r="AK148" s="9"/>
    </row>
    <row r="149" spans="1:37" hidden="1">
      <c r="A149" s="3">
        <v>147</v>
      </c>
      <c r="B149" s="12"/>
      <c r="C149" s="13"/>
      <c r="D149" s="13"/>
      <c r="E149" s="13"/>
      <c r="F149" s="13"/>
      <c r="G149" s="13"/>
      <c r="H149" s="15"/>
      <c r="I149" s="45" t="s">
        <v>896</v>
      </c>
      <c r="J149" s="45" t="s">
        <v>1387</v>
      </c>
      <c r="K149" s="46" t="s">
        <v>655</v>
      </c>
      <c r="L149" s="47" t="s">
        <v>1248</v>
      </c>
      <c r="M149" s="66">
        <f>IFERROR(VLOOKUP($L149,[3]Consolidated!$C$9:$AC$452,27,0),0)</f>
        <v>3371900</v>
      </c>
      <c r="N149" s="66">
        <f>IFERROR(VLOOKUP($L149,[3]Consolidated!$C$9:$AC$452,5,0),0)</f>
        <v>17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4">
        <f>(VLOOKUP($O$2,Prices!$E$3:$K$17,2,FALSE)*O149)+(VLOOKUP($P$2,Prices!$J$3:$K$17,2,FALSE)*P149)+(VLOOKUP($Q$2,Prices!$J$3:$K$17,2,FALSE)*Q149)+(VLOOKUP($R$2,Prices!$J$3:$K$17,2,FALSE)*R149)+(VLOOKUP($S$2,Prices!$J$3:$K$17,2,FALSE)*S149)+(VLOOKUP($T$2,Prices!$J$3:$K$17,2,FALSE)*T149)+(VLOOKUP($U$2,Prices!$J$3:$K$17,2,FALSE)*U149)+(VLOOKUP($V$2,Prices!$J$3:$K$17,2,FALSE)*V149)+(VLOOKUP($W$2,Prices!$J$3:$K$17,2,FALSE)*W149)+(VLOOKUP($X$2,Prices!$J$3:$K$17,2,FALSE)*X149)+(VLOOKUP($Y$2,Prices!$J$3:$K$17,2,FALSE)*Y149)+(VLOOKUP($Z$2,Prices!$J$3:$K$17,2,FALSE)*Z149)+(VLOOKUP($AA$2,Prices!$J$3:$K$17,2,FALSE)*AA149)+(VLOOKUP($AB$2,Prices!$J$3:$K$17,2,FALSE)*AB149)+M149</f>
        <v>3371900</v>
      </c>
      <c r="AD149" s="69">
        <v>1046000</v>
      </c>
      <c r="AE149" s="18"/>
      <c r="AF149" s="4">
        <f t="shared" si="14"/>
        <v>1046000</v>
      </c>
      <c r="AG149" s="4"/>
      <c r="AH149" s="16">
        <f t="shared" si="15"/>
        <v>1046000</v>
      </c>
      <c r="AI149" s="21">
        <f t="shared" si="13"/>
        <v>0.31021086034579909</v>
      </c>
      <c r="AJ149" s="20">
        <f t="shared" si="16"/>
        <v>0.31021086034579909</v>
      </c>
      <c r="AK149" s="9"/>
    </row>
    <row r="150" spans="1:37" hidden="1">
      <c r="A150" s="3">
        <v>148</v>
      </c>
      <c r="B150" s="12"/>
      <c r="C150" s="13"/>
      <c r="D150" s="13"/>
      <c r="E150" s="13"/>
      <c r="F150" s="13"/>
      <c r="G150" s="13"/>
      <c r="H150" s="15"/>
      <c r="I150" s="45" t="s">
        <v>897</v>
      </c>
      <c r="J150" s="45" t="s">
        <v>1387</v>
      </c>
      <c r="K150" s="46" t="s">
        <v>655</v>
      </c>
      <c r="L150" s="47" t="s">
        <v>1249</v>
      </c>
      <c r="M150" s="66">
        <f>IFERROR(VLOOKUP($L150,[3]Consolidated!$C$9:$AC$452,27,0),0)</f>
        <v>8879517.5</v>
      </c>
      <c r="N150" s="66">
        <f>IFERROR(VLOOKUP($L150,[3]Consolidated!$C$9:$AC$452,5,0),0)</f>
        <v>40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4">
        <f>(VLOOKUP($O$2,Prices!$E$3:$K$17,2,FALSE)*O150)+(VLOOKUP($P$2,Prices!$J$3:$K$17,2,FALSE)*P150)+(VLOOKUP($Q$2,Prices!$J$3:$K$17,2,FALSE)*Q150)+(VLOOKUP($R$2,Prices!$J$3:$K$17,2,FALSE)*R150)+(VLOOKUP($S$2,Prices!$J$3:$K$17,2,FALSE)*S150)+(VLOOKUP($T$2,Prices!$J$3:$K$17,2,FALSE)*T150)+(VLOOKUP($U$2,Prices!$J$3:$K$17,2,FALSE)*U150)+(VLOOKUP($V$2,Prices!$J$3:$K$17,2,FALSE)*V150)+(VLOOKUP($W$2,Prices!$J$3:$K$17,2,FALSE)*W150)+(VLOOKUP($X$2,Prices!$J$3:$K$17,2,FALSE)*X150)+(VLOOKUP($Y$2,Prices!$J$3:$K$17,2,FALSE)*Y150)+(VLOOKUP($Z$2,Prices!$J$3:$K$17,2,FALSE)*Z150)+(VLOOKUP($AA$2,Prices!$J$3:$K$17,2,FALSE)*AA150)+(VLOOKUP($AB$2,Prices!$J$3:$K$17,2,FALSE)*AB150)+M150</f>
        <v>8879517.5</v>
      </c>
      <c r="AD150" s="13">
        <v>0</v>
      </c>
      <c r="AE150" s="18"/>
      <c r="AF150" s="4">
        <f t="shared" si="14"/>
        <v>0</v>
      </c>
      <c r="AG150" s="4"/>
      <c r="AH150" s="16">
        <f t="shared" si="15"/>
        <v>0</v>
      </c>
      <c r="AI150" s="21">
        <f t="shared" si="13"/>
        <v>0</v>
      </c>
      <c r="AJ150" s="20">
        <f t="shared" si="16"/>
        <v>0</v>
      </c>
      <c r="AK150" s="9"/>
    </row>
    <row r="151" spans="1:37" hidden="1">
      <c r="A151" s="3">
        <v>149</v>
      </c>
      <c r="B151" s="12"/>
      <c r="C151" s="13"/>
      <c r="D151" s="13"/>
      <c r="E151" s="13"/>
      <c r="F151" s="13"/>
      <c r="G151" s="13"/>
      <c r="H151" s="15"/>
      <c r="I151" s="45" t="s">
        <v>899</v>
      </c>
      <c r="J151" s="45" t="s">
        <v>1387</v>
      </c>
      <c r="K151" s="46" t="s">
        <v>655</v>
      </c>
      <c r="L151" s="47" t="s">
        <v>1250</v>
      </c>
      <c r="M151" s="66">
        <f>IFERROR(VLOOKUP($L151,[3]Consolidated!$C$9:$AC$452,27,0),0)</f>
        <v>5480750</v>
      </c>
      <c r="N151" s="66">
        <f>IFERROR(VLOOKUP($L151,[3]Consolidated!$C$9:$AC$452,5,0),0)</f>
        <v>30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4">
        <f>(VLOOKUP($O$2,Prices!$E$3:$K$17,2,FALSE)*O151)+(VLOOKUP($P$2,Prices!$J$3:$K$17,2,FALSE)*P151)+(VLOOKUP($Q$2,Prices!$J$3:$K$17,2,FALSE)*Q151)+(VLOOKUP($R$2,Prices!$J$3:$K$17,2,FALSE)*R151)+(VLOOKUP($S$2,Prices!$J$3:$K$17,2,FALSE)*S151)+(VLOOKUP($T$2,Prices!$J$3:$K$17,2,FALSE)*T151)+(VLOOKUP($U$2,Prices!$J$3:$K$17,2,FALSE)*U151)+(VLOOKUP($V$2,Prices!$J$3:$K$17,2,FALSE)*V151)+(VLOOKUP($W$2,Prices!$J$3:$K$17,2,FALSE)*W151)+(VLOOKUP($X$2,Prices!$J$3:$K$17,2,FALSE)*X151)+(VLOOKUP($Y$2,Prices!$J$3:$K$17,2,FALSE)*Y151)+(VLOOKUP($Z$2,Prices!$J$3:$K$17,2,FALSE)*Z151)+(VLOOKUP($AA$2,Prices!$J$3:$K$17,2,FALSE)*AA151)+(VLOOKUP($AB$2,Prices!$J$3:$K$17,2,FALSE)*AB151)+M151</f>
        <v>5480750</v>
      </c>
      <c r="AD151" s="13">
        <v>0</v>
      </c>
      <c r="AE151" s="18"/>
      <c r="AF151" s="4">
        <f t="shared" si="14"/>
        <v>0</v>
      </c>
      <c r="AG151" s="4"/>
      <c r="AH151" s="16">
        <f t="shared" si="15"/>
        <v>0</v>
      </c>
      <c r="AI151" s="21">
        <f t="shared" si="13"/>
        <v>0</v>
      </c>
      <c r="AJ151" s="20">
        <f t="shared" si="16"/>
        <v>0</v>
      </c>
      <c r="AK151" s="9"/>
    </row>
    <row r="152" spans="1:37" hidden="1">
      <c r="A152" s="3">
        <v>150</v>
      </c>
      <c r="B152" s="12"/>
      <c r="C152" s="13"/>
      <c r="D152" s="13"/>
      <c r="E152" s="13"/>
      <c r="F152" s="13"/>
      <c r="G152" s="13"/>
      <c r="H152" s="15"/>
      <c r="I152" s="45" t="s">
        <v>900</v>
      </c>
      <c r="J152" s="45" t="s">
        <v>1387</v>
      </c>
      <c r="K152" s="46" t="s">
        <v>655</v>
      </c>
      <c r="L152" s="47" t="s">
        <v>1251</v>
      </c>
      <c r="M152" s="66">
        <f>IFERROR(VLOOKUP($L152,[3]Consolidated!$C$9:$AC$452,27,0),0)</f>
        <v>2502000</v>
      </c>
      <c r="N152" s="66">
        <f>IFERROR(VLOOKUP($L152,[3]Consolidated!$C$9:$AC$452,5,0),0)</f>
        <v>15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4">
        <f>(VLOOKUP($O$2,Prices!$E$3:$K$17,2,FALSE)*O152)+(VLOOKUP($P$2,Prices!$J$3:$K$17,2,FALSE)*P152)+(VLOOKUP($Q$2,Prices!$J$3:$K$17,2,FALSE)*Q152)+(VLOOKUP($R$2,Prices!$J$3:$K$17,2,FALSE)*R152)+(VLOOKUP($S$2,Prices!$J$3:$K$17,2,FALSE)*S152)+(VLOOKUP($T$2,Prices!$J$3:$K$17,2,FALSE)*T152)+(VLOOKUP($U$2,Prices!$J$3:$K$17,2,FALSE)*U152)+(VLOOKUP($V$2,Prices!$J$3:$K$17,2,FALSE)*V152)+(VLOOKUP($W$2,Prices!$J$3:$K$17,2,FALSE)*W152)+(VLOOKUP($X$2,Prices!$J$3:$K$17,2,FALSE)*X152)+(VLOOKUP($Y$2,Prices!$J$3:$K$17,2,FALSE)*Y152)+(VLOOKUP($Z$2,Prices!$J$3:$K$17,2,FALSE)*Z152)+(VLOOKUP($AA$2,Prices!$J$3:$K$17,2,FALSE)*AA152)+(VLOOKUP($AB$2,Prices!$J$3:$K$17,2,FALSE)*AB152)+M152</f>
        <v>2502000</v>
      </c>
      <c r="AD152" s="13">
        <v>0</v>
      </c>
      <c r="AE152" s="18"/>
      <c r="AF152" s="4">
        <f t="shared" si="14"/>
        <v>0</v>
      </c>
      <c r="AG152" s="4"/>
      <c r="AH152" s="16">
        <f t="shared" si="15"/>
        <v>0</v>
      </c>
      <c r="AI152" s="21">
        <f t="shared" si="13"/>
        <v>0</v>
      </c>
      <c r="AJ152" s="20">
        <f t="shared" si="16"/>
        <v>0</v>
      </c>
      <c r="AK152" s="9"/>
    </row>
    <row r="153" spans="1:37" hidden="1">
      <c r="A153" s="3">
        <v>151</v>
      </c>
      <c r="B153" s="12"/>
      <c r="C153" s="13"/>
      <c r="D153" s="13"/>
      <c r="E153" s="13"/>
      <c r="F153" s="13"/>
      <c r="G153" s="13"/>
      <c r="H153" s="15"/>
      <c r="I153" s="45" t="s">
        <v>901</v>
      </c>
      <c r="J153" s="45" t="s">
        <v>1387</v>
      </c>
      <c r="K153" s="46" t="s">
        <v>655</v>
      </c>
      <c r="L153" s="46" t="s">
        <v>1252</v>
      </c>
      <c r="M153" s="66">
        <f>IFERROR(VLOOKUP($L153,[3]Consolidated!$C$9:$AC$452,27,0),0)</f>
        <v>0</v>
      </c>
      <c r="N153" s="66">
        <f>IFERROR(VLOOKUP($L153,[3]Consolidated!$C$9:$AC$452,5,0),0)</f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4">
        <f>(VLOOKUP($O$2,Prices!$E$3:$K$17,2,FALSE)*O153)+(VLOOKUP($P$2,Prices!$J$3:$K$17,2,FALSE)*P153)+(VLOOKUP($Q$2,Prices!$J$3:$K$17,2,FALSE)*Q153)+(VLOOKUP($R$2,Prices!$J$3:$K$17,2,FALSE)*R153)+(VLOOKUP($S$2,Prices!$J$3:$K$17,2,FALSE)*S153)+(VLOOKUP($T$2,Prices!$J$3:$K$17,2,FALSE)*T153)+(VLOOKUP($U$2,Prices!$J$3:$K$17,2,FALSE)*U153)+(VLOOKUP($V$2,Prices!$J$3:$K$17,2,FALSE)*V153)+(VLOOKUP($W$2,Prices!$J$3:$K$17,2,FALSE)*W153)+(VLOOKUP($X$2,Prices!$J$3:$K$17,2,FALSE)*X153)+(VLOOKUP($Y$2,Prices!$J$3:$K$17,2,FALSE)*Y153)+(VLOOKUP($Z$2,Prices!$J$3:$K$17,2,FALSE)*Z153)+(VLOOKUP($AA$2,Prices!$J$3:$K$17,2,FALSE)*AA153)+(VLOOKUP($AB$2,Prices!$J$3:$K$17,2,FALSE)*AB153)+M153</f>
        <v>0</v>
      </c>
      <c r="AD153" s="13">
        <v>0</v>
      </c>
      <c r="AE153" s="18"/>
      <c r="AF153" s="4">
        <f t="shared" si="14"/>
        <v>0</v>
      </c>
      <c r="AG153" s="4"/>
      <c r="AH153" s="16">
        <f t="shared" si="15"/>
        <v>0</v>
      </c>
      <c r="AI153" s="21" t="e">
        <f t="shared" si="13"/>
        <v>#DIV/0!</v>
      </c>
      <c r="AJ153" s="20" t="e">
        <f t="shared" si="16"/>
        <v>#DIV/0!</v>
      </c>
      <c r="AK153" s="9"/>
    </row>
    <row r="154" spans="1:37" hidden="1">
      <c r="A154" s="3">
        <v>152</v>
      </c>
      <c r="B154" s="12"/>
      <c r="C154" s="13"/>
      <c r="D154" s="13"/>
      <c r="E154" s="13"/>
      <c r="F154" s="13"/>
      <c r="G154" s="13"/>
      <c r="H154" s="15"/>
      <c r="I154" s="45" t="s">
        <v>902</v>
      </c>
      <c r="J154" s="45" t="s">
        <v>1387</v>
      </c>
      <c r="K154" s="46" t="s">
        <v>655</v>
      </c>
      <c r="L154" s="46" t="s">
        <v>1253</v>
      </c>
      <c r="M154" s="66">
        <f>IFERROR(VLOOKUP($L154,[3]Consolidated!$C$9:$AC$452,27,0),0)</f>
        <v>2433600</v>
      </c>
      <c r="N154" s="66">
        <f>IFERROR(VLOOKUP($L154,[3]Consolidated!$C$9:$AC$452,5,0),0)</f>
        <v>10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4">
        <f>(VLOOKUP($O$2,Prices!$E$3:$K$17,2,FALSE)*O154)+(VLOOKUP($P$2,Prices!$J$3:$K$17,2,FALSE)*P154)+(VLOOKUP($Q$2,Prices!$J$3:$K$17,2,FALSE)*Q154)+(VLOOKUP($R$2,Prices!$J$3:$K$17,2,FALSE)*R154)+(VLOOKUP($S$2,Prices!$J$3:$K$17,2,FALSE)*S154)+(VLOOKUP($T$2,Prices!$J$3:$K$17,2,FALSE)*T154)+(VLOOKUP($U$2,Prices!$J$3:$K$17,2,FALSE)*U154)+(VLOOKUP($V$2,Prices!$J$3:$K$17,2,FALSE)*V154)+(VLOOKUP($W$2,Prices!$J$3:$K$17,2,FALSE)*W154)+(VLOOKUP($X$2,Prices!$J$3:$K$17,2,FALSE)*X154)+(VLOOKUP($Y$2,Prices!$J$3:$K$17,2,FALSE)*Y154)+(VLOOKUP($Z$2,Prices!$J$3:$K$17,2,FALSE)*Z154)+(VLOOKUP($AA$2,Prices!$J$3:$K$17,2,FALSE)*AA154)+(VLOOKUP($AB$2,Prices!$J$3:$K$17,2,FALSE)*AB154)+M154</f>
        <v>2433600</v>
      </c>
      <c r="AD154" s="69">
        <v>847260</v>
      </c>
      <c r="AE154" s="18"/>
      <c r="AF154" s="4">
        <f t="shared" si="14"/>
        <v>847260</v>
      </c>
      <c r="AG154" s="4"/>
      <c r="AH154" s="16">
        <f t="shared" si="15"/>
        <v>847260</v>
      </c>
      <c r="AI154" s="21">
        <f t="shared" si="13"/>
        <v>0.34815088757396451</v>
      </c>
      <c r="AJ154" s="20">
        <f t="shared" si="16"/>
        <v>0.34815088757396451</v>
      </c>
      <c r="AK154" s="9"/>
    </row>
    <row r="155" spans="1:37" hidden="1">
      <c r="A155" s="3">
        <v>153</v>
      </c>
      <c r="B155" s="12"/>
      <c r="C155" s="13"/>
      <c r="D155" s="13"/>
      <c r="E155" s="13"/>
      <c r="F155" s="13"/>
      <c r="G155" s="13"/>
      <c r="H155" s="15"/>
      <c r="I155" s="45" t="s">
        <v>903</v>
      </c>
      <c r="J155" s="45" t="s">
        <v>1387</v>
      </c>
      <c r="K155" s="46" t="s">
        <v>655</v>
      </c>
      <c r="L155" s="46" t="s">
        <v>1254</v>
      </c>
      <c r="M155" s="66">
        <f>IFERROR(VLOOKUP($L155,[3]Consolidated!$C$9:$AC$452,27,0),0)</f>
        <v>6819575</v>
      </c>
      <c r="N155" s="66">
        <f>IFERROR(VLOOKUP($L155,[3]Consolidated!$C$9:$AC$452,5,0),0)</f>
        <v>40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4">
        <f>(VLOOKUP($O$2,Prices!$E$3:$K$17,2,FALSE)*O155)+(VLOOKUP($P$2,Prices!$J$3:$K$17,2,FALSE)*P155)+(VLOOKUP($Q$2,Prices!$J$3:$K$17,2,FALSE)*Q155)+(VLOOKUP($R$2,Prices!$J$3:$K$17,2,FALSE)*R155)+(VLOOKUP($S$2,Prices!$J$3:$K$17,2,FALSE)*S155)+(VLOOKUP($T$2,Prices!$J$3:$K$17,2,FALSE)*T155)+(VLOOKUP($U$2,Prices!$J$3:$K$17,2,FALSE)*U155)+(VLOOKUP($V$2,Prices!$J$3:$K$17,2,FALSE)*V155)+(VLOOKUP($W$2,Prices!$J$3:$K$17,2,FALSE)*W155)+(VLOOKUP($X$2,Prices!$J$3:$K$17,2,FALSE)*X155)+(VLOOKUP($Y$2,Prices!$J$3:$K$17,2,FALSE)*Y155)+(VLOOKUP($Z$2,Prices!$J$3:$K$17,2,FALSE)*Z155)+(VLOOKUP($AA$2,Prices!$J$3:$K$17,2,FALSE)*AA155)+(VLOOKUP($AB$2,Prices!$J$3:$K$17,2,FALSE)*AB155)+M155</f>
        <v>6819575</v>
      </c>
      <c r="AD155" s="69">
        <v>2353500</v>
      </c>
      <c r="AE155" s="18"/>
      <c r="AF155" s="4">
        <f t="shared" si="14"/>
        <v>2353500</v>
      </c>
      <c r="AG155" s="4"/>
      <c r="AH155" s="16">
        <f t="shared" si="15"/>
        <v>2353500</v>
      </c>
      <c r="AI155" s="21">
        <f t="shared" si="13"/>
        <v>0.34510948262904945</v>
      </c>
      <c r="AJ155" s="20">
        <f t="shared" si="16"/>
        <v>0.34510948262904945</v>
      </c>
      <c r="AK155" s="9"/>
    </row>
    <row r="156" spans="1:37" hidden="1">
      <c r="A156" s="3">
        <v>154</v>
      </c>
      <c r="B156" s="12"/>
      <c r="C156" s="13"/>
      <c r="D156" s="13"/>
      <c r="E156" s="13"/>
      <c r="F156" s="13"/>
      <c r="G156" s="13"/>
      <c r="H156" s="15"/>
      <c r="I156" s="45" t="s">
        <v>904</v>
      </c>
      <c r="J156" s="45" t="s">
        <v>1387</v>
      </c>
      <c r="K156" s="46" t="s">
        <v>655</v>
      </c>
      <c r="L156" s="46" t="s">
        <v>1255</v>
      </c>
      <c r="M156" s="66">
        <f>IFERROR(VLOOKUP($L156,[3]Consolidated!$C$9:$AC$452,27,0),0)</f>
        <v>0</v>
      </c>
      <c r="N156" s="66">
        <f>IFERROR(VLOOKUP($L156,[3]Consolidated!$C$9:$AC$452,5,0),0)</f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4">
        <f>(VLOOKUP($O$2,Prices!$E$3:$K$17,2,FALSE)*O156)+(VLOOKUP($P$2,Prices!$J$3:$K$17,2,FALSE)*P156)+(VLOOKUP($Q$2,Prices!$J$3:$K$17,2,FALSE)*Q156)+(VLOOKUP($R$2,Prices!$J$3:$K$17,2,FALSE)*R156)+(VLOOKUP($S$2,Prices!$J$3:$K$17,2,FALSE)*S156)+(VLOOKUP($T$2,Prices!$J$3:$K$17,2,FALSE)*T156)+(VLOOKUP($U$2,Prices!$J$3:$K$17,2,FALSE)*U156)+(VLOOKUP($V$2,Prices!$J$3:$K$17,2,FALSE)*V156)+(VLOOKUP($W$2,Prices!$J$3:$K$17,2,FALSE)*W156)+(VLOOKUP($X$2,Prices!$J$3:$K$17,2,FALSE)*X156)+(VLOOKUP($Y$2,Prices!$J$3:$K$17,2,FALSE)*Y156)+(VLOOKUP($Z$2,Prices!$J$3:$K$17,2,FALSE)*Z156)+(VLOOKUP($AA$2,Prices!$J$3:$K$17,2,FALSE)*AA156)+(VLOOKUP($AB$2,Prices!$J$3:$K$17,2,FALSE)*AB156)+M156</f>
        <v>0</v>
      </c>
      <c r="AD156" s="13">
        <v>0</v>
      </c>
      <c r="AE156" s="18"/>
      <c r="AF156" s="4">
        <f t="shared" si="14"/>
        <v>0</v>
      </c>
      <c r="AG156" s="4"/>
      <c r="AH156" s="16">
        <f t="shared" si="15"/>
        <v>0</v>
      </c>
      <c r="AI156" s="21" t="e">
        <f t="shared" si="13"/>
        <v>#DIV/0!</v>
      </c>
      <c r="AJ156" s="20" t="e">
        <f t="shared" si="16"/>
        <v>#DIV/0!</v>
      </c>
      <c r="AK156" s="19"/>
    </row>
    <row r="157" spans="1:37" hidden="1">
      <c r="A157" s="3">
        <v>155</v>
      </c>
      <c r="B157" s="12"/>
      <c r="C157" s="13"/>
      <c r="D157" s="13"/>
      <c r="E157" s="13"/>
      <c r="F157" s="13"/>
      <c r="G157" s="13"/>
      <c r="H157" s="15"/>
      <c r="I157" s="45" t="s">
        <v>905</v>
      </c>
      <c r="J157" s="45" t="s">
        <v>1387</v>
      </c>
      <c r="K157" s="46" t="s">
        <v>655</v>
      </c>
      <c r="L157" s="47" t="s">
        <v>1256</v>
      </c>
      <c r="M157" s="66">
        <f>IFERROR(VLOOKUP($L157,[3]Consolidated!$C$9:$AC$452,27,0),0)</f>
        <v>1862500</v>
      </c>
      <c r="N157" s="66">
        <f>IFERROR(VLOOKUP($L157,[3]Consolidated!$C$9:$AC$452,5,0),0)</f>
        <v>11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4">
        <f>(VLOOKUP($O$2,Prices!$E$3:$K$17,2,FALSE)*O157)+(VLOOKUP($P$2,Prices!$J$3:$K$17,2,FALSE)*P157)+(VLOOKUP($Q$2,Prices!$J$3:$K$17,2,FALSE)*Q157)+(VLOOKUP($R$2,Prices!$J$3:$K$17,2,FALSE)*R157)+(VLOOKUP($S$2,Prices!$J$3:$K$17,2,FALSE)*S157)+(VLOOKUP($T$2,Prices!$J$3:$K$17,2,FALSE)*T157)+(VLOOKUP($U$2,Prices!$J$3:$K$17,2,FALSE)*U157)+(VLOOKUP($V$2,Prices!$J$3:$K$17,2,FALSE)*V157)+(VLOOKUP($W$2,Prices!$J$3:$K$17,2,FALSE)*W157)+(VLOOKUP($X$2,Prices!$J$3:$K$17,2,FALSE)*X157)+(VLOOKUP($Y$2,Prices!$J$3:$K$17,2,FALSE)*Y157)+(VLOOKUP($Z$2,Prices!$J$3:$K$17,2,FALSE)*Z157)+(VLOOKUP($AA$2,Prices!$J$3:$K$17,2,FALSE)*AA157)+(VLOOKUP($AB$2,Prices!$J$3:$K$17,2,FALSE)*AB157)+M157</f>
        <v>1862500</v>
      </c>
      <c r="AD157" s="13">
        <v>0</v>
      </c>
      <c r="AE157" s="18"/>
      <c r="AF157" s="4">
        <f t="shared" si="14"/>
        <v>0</v>
      </c>
      <c r="AG157" s="4"/>
      <c r="AH157" s="16">
        <f t="shared" si="15"/>
        <v>0</v>
      </c>
      <c r="AI157" s="21">
        <f t="shared" si="13"/>
        <v>0</v>
      </c>
      <c r="AJ157" s="20">
        <f t="shared" si="16"/>
        <v>0</v>
      </c>
      <c r="AK157" s="9"/>
    </row>
    <row r="158" spans="1:37" hidden="1">
      <c r="A158" s="3">
        <v>156</v>
      </c>
      <c r="B158" s="12"/>
      <c r="C158" s="13"/>
      <c r="D158" s="13"/>
      <c r="E158" s="13"/>
      <c r="F158" s="13"/>
      <c r="G158" s="13"/>
      <c r="H158" s="15"/>
      <c r="I158" s="45" t="s">
        <v>906</v>
      </c>
      <c r="J158" s="45" t="s">
        <v>1387</v>
      </c>
      <c r="K158" s="46" t="s">
        <v>655</v>
      </c>
      <c r="L158" s="47" t="s">
        <v>1257</v>
      </c>
      <c r="M158" s="66">
        <f>IFERROR(VLOOKUP($L158,[3]Consolidated!$C$9:$AC$452,27,0),0)</f>
        <v>8610000</v>
      </c>
      <c r="N158" s="66">
        <f>IFERROR(VLOOKUP($L158,[3]Consolidated!$C$9:$AC$452,5,0),0)</f>
        <v>45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4">
        <f>(VLOOKUP($O$2,Prices!$E$3:$K$17,2,FALSE)*O158)+(VLOOKUP($P$2,Prices!$J$3:$K$17,2,FALSE)*P158)+(VLOOKUP($Q$2,Prices!$J$3:$K$17,2,FALSE)*Q158)+(VLOOKUP($R$2,Prices!$J$3:$K$17,2,FALSE)*R158)+(VLOOKUP($S$2,Prices!$J$3:$K$17,2,FALSE)*S158)+(VLOOKUP($T$2,Prices!$J$3:$K$17,2,FALSE)*T158)+(VLOOKUP($U$2,Prices!$J$3:$K$17,2,FALSE)*U158)+(VLOOKUP($V$2,Prices!$J$3:$K$17,2,FALSE)*V158)+(VLOOKUP($W$2,Prices!$J$3:$K$17,2,FALSE)*W158)+(VLOOKUP($X$2,Prices!$J$3:$K$17,2,FALSE)*X158)+(VLOOKUP($Y$2,Prices!$J$3:$K$17,2,FALSE)*Y158)+(VLOOKUP($Z$2,Prices!$J$3:$K$17,2,FALSE)*Z158)+(VLOOKUP($AA$2,Prices!$J$3:$K$17,2,FALSE)*AA158)+(VLOOKUP($AB$2,Prices!$J$3:$K$17,2,FALSE)*AB158)+M158</f>
        <v>8610000</v>
      </c>
      <c r="AD158" s="13">
        <v>0</v>
      </c>
      <c r="AE158" s="18"/>
      <c r="AF158" s="4">
        <f t="shared" si="14"/>
        <v>0</v>
      </c>
      <c r="AG158" s="4"/>
      <c r="AH158" s="16">
        <f t="shared" si="15"/>
        <v>0</v>
      </c>
      <c r="AI158" s="21">
        <f t="shared" si="13"/>
        <v>0</v>
      </c>
      <c r="AJ158" s="20">
        <f t="shared" si="16"/>
        <v>0</v>
      </c>
      <c r="AK158" s="9"/>
    </row>
    <row r="159" spans="1:37" hidden="1">
      <c r="A159" s="3">
        <v>157</v>
      </c>
      <c r="B159" s="12"/>
      <c r="C159" s="13"/>
      <c r="D159" s="13"/>
      <c r="E159" s="13"/>
      <c r="F159" s="13"/>
      <c r="G159" s="13"/>
      <c r="H159" s="15"/>
      <c r="I159" s="45" t="s">
        <v>907</v>
      </c>
      <c r="J159" s="45" t="s">
        <v>1387</v>
      </c>
      <c r="K159" s="46" t="s">
        <v>655</v>
      </c>
      <c r="L159" s="47" t="s">
        <v>1258</v>
      </c>
      <c r="M159" s="66">
        <f>IFERROR(VLOOKUP($L159,[3]Consolidated!$C$9:$AC$452,27,0),0)</f>
        <v>7483437.5</v>
      </c>
      <c r="N159" s="66">
        <f>IFERROR(VLOOKUP($L159,[3]Consolidated!$C$9:$AC$452,5,0),0)</f>
        <v>35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4">
        <f>(VLOOKUP($O$2,Prices!$E$3:$K$17,2,FALSE)*O159)+(VLOOKUP($P$2,Prices!$J$3:$K$17,2,FALSE)*P159)+(VLOOKUP($Q$2,Prices!$J$3:$K$17,2,FALSE)*Q159)+(VLOOKUP($R$2,Prices!$J$3:$K$17,2,FALSE)*R159)+(VLOOKUP($S$2,Prices!$J$3:$K$17,2,FALSE)*S159)+(VLOOKUP($T$2,Prices!$J$3:$K$17,2,FALSE)*T159)+(VLOOKUP($U$2,Prices!$J$3:$K$17,2,FALSE)*U159)+(VLOOKUP($V$2,Prices!$J$3:$K$17,2,FALSE)*V159)+(VLOOKUP($W$2,Prices!$J$3:$K$17,2,FALSE)*W159)+(VLOOKUP($X$2,Prices!$J$3:$K$17,2,FALSE)*X159)+(VLOOKUP($Y$2,Prices!$J$3:$K$17,2,FALSE)*Y159)+(VLOOKUP($Z$2,Prices!$J$3:$K$17,2,FALSE)*Z159)+(VLOOKUP($AA$2,Prices!$J$3:$K$17,2,FALSE)*AA159)+(VLOOKUP($AB$2,Prices!$J$3:$K$17,2,FALSE)*AB159)+M159</f>
        <v>7483437.5</v>
      </c>
      <c r="AD159" s="69">
        <v>1804350</v>
      </c>
      <c r="AE159" s="18"/>
      <c r="AF159" s="4">
        <f t="shared" si="14"/>
        <v>1804350</v>
      </c>
      <c r="AG159" s="4"/>
      <c r="AH159" s="16">
        <f t="shared" si="15"/>
        <v>1804350</v>
      </c>
      <c r="AI159" s="21">
        <f t="shared" si="13"/>
        <v>0.24111245667515763</v>
      </c>
      <c r="AJ159" s="20">
        <f t="shared" si="16"/>
        <v>0.24111245667515763</v>
      </c>
      <c r="AK159" s="9"/>
    </row>
    <row r="160" spans="1:37" hidden="1">
      <c r="A160" s="3">
        <v>158</v>
      </c>
      <c r="B160" s="12"/>
      <c r="C160" s="13"/>
      <c r="D160" s="13"/>
      <c r="E160" s="13"/>
      <c r="F160" s="13"/>
      <c r="G160" s="13"/>
      <c r="H160" s="15"/>
      <c r="I160" s="45" t="s">
        <v>908</v>
      </c>
      <c r="J160" s="45" t="s">
        <v>1387</v>
      </c>
      <c r="K160" s="46" t="s">
        <v>655</v>
      </c>
      <c r="L160" s="47" t="s">
        <v>1259</v>
      </c>
      <c r="M160" s="66">
        <f>IFERROR(VLOOKUP($L160,[3]Consolidated!$C$9:$AC$452,27,0),0)</f>
        <v>0</v>
      </c>
      <c r="N160" s="66">
        <f>IFERROR(VLOOKUP($L160,[3]Consolidated!$C$9:$AC$452,5,0),0)</f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4">
        <f>(VLOOKUP($O$2,Prices!$E$3:$K$17,2,FALSE)*O160)+(VLOOKUP($P$2,Prices!$J$3:$K$17,2,FALSE)*P160)+(VLOOKUP($Q$2,Prices!$J$3:$K$17,2,FALSE)*Q160)+(VLOOKUP($R$2,Prices!$J$3:$K$17,2,FALSE)*R160)+(VLOOKUP($S$2,Prices!$J$3:$K$17,2,FALSE)*S160)+(VLOOKUP($T$2,Prices!$J$3:$K$17,2,FALSE)*T160)+(VLOOKUP($U$2,Prices!$J$3:$K$17,2,FALSE)*U160)+(VLOOKUP($V$2,Prices!$J$3:$K$17,2,FALSE)*V160)+(VLOOKUP($W$2,Prices!$J$3:$K$17,2,FALSE)*W160)+(VLOOKUP($X$2,Prices!$J$3:$K$17,2,FALSE)*X160)+(VLOOKUP($Y$2,Prices!$J$3:$K$17,2,FALSE)*Y160)+(VLOOKUP($Z$2,Prices!$J$3:$K$17,2,FALSE)*Z160)+(VLOOKUP($AA$2,Prices!$J$3:$K$17,2,FALSE)*AA160)+(VLOOKUP($AB$2,Prices!$J$3:$K$17,2,FALSE)*AB160)+M160</f>
        <v>0</v>
      </c>
      <c r="AD160" s="13">
        <v>0</v>
      </c>
      <c r="AE160" s="18"/>
      <c r="AF160" s="4">
        <f t="shared" si="14"/>
        <v>0</v>
      </c>
      <c r="AG160" s="4"/>
      <c r="AH160" s="16">
        <f t="shared" si="15"/>
        <v>0</v>
      </c>
      <c r="AI160" s="21" t="e">
        <f t="shared" si="13"/>
        <v>#DIV/0!</v>
      </c>
      <c r="AJ160" s="20" t="e">
        <f t="shared" si="16"/>
        <v>#DIV/0!</v>
      </c>
      <c r="AK160" s="9"/>
    </row>
    <row r="161" spans="1:37" hidden="1">
      <c r="A161" s="3">
        <v>159</v>
      </c>
      <c r="B161" s="12"/>
      <c r="C161" s="13"/>
      <c r="D161" s="13"/>
      <c r="E161" s="13"/>
      <c r="F161" s="13"/>
      <c r="G161" s="13"/>
      <c r="H161" s="15"/>
      <c r="I161" s="45" t="s">
        <v>909</v>
      </c>
      <c r="J161" s="45" t="s">
        <v>1387</v>
      </c>
      <c r="K161" s="46" t="s">
        <v>655</v>
      </c>
      <c r="L161" s="47" t="s">
        <v>1260</v>
      </c>
      <c r="M161" s="66">
        <f>IFERROR(VLOOKUP($L161,[3]Consolidated!$C$9:$AC$452,27,0),0)</f>
        <v>6549250</v>
      </c>
      <c r="N161" s="66">
        <f>IFERROR(VLOOKUP($L161,[3]Consolidated!$C$9:$AC$452,5,0),0)</f>
        <v>35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4">
        <f>(VLOOKUP($O$2,Prices!$E$3:$K$17,2,FALSE)*O161)+(VLOOKUP($P$2,Prices!$J$3:$K$17,2,FALSE)*P161)+(VLOOKUP($Q$2,Prices!$J$3:$K$17,2,FALSE)*Q161)+(VLOOKUP($R$2,Prices!$J$3:$K$17,2,FALSE)*R161)+(VLOOKUP($S$2,Prices!$J$3:$K$17,2,FALSE)*S161)+(VLOOKUP($T$2,Prices!$J$3:$K$17,2,FALSE)*T161)+(VLOOKUP($U$2,Prices!$J$3:$K$17,2,FALSE)*U161)+(VLOOKUP($V$2,Prices!$J$3:$K$17,2,FALSE)*V161)+(VLOOKUP($W$2,Prices!$J$3:$K$17,2,FALSE)*W161)+(VLOOKUP($X$2,Prices!$J$3:$K$17,2,FALSE)*X161)+(VLOOKUP($Y$2,Prices!$J$3:$K$17,2,FALSE)*Y161)+(VLOOKUP($Z$2,Prices!$J$3:$K$17,2,FALSE)*Z161)+(VLOOKUP($AA$2,Prices!$J$3:$K$17,2,FALSE)*AA161)+(VLOOKUP($AB$2,Prices!$J$3:$K$17,2,FALSE)*AB161)+M161</f>
        <v>6549250</v>
      </c>
      <c r="AD161" s="13">
        <v>0</v>
      </c>
      <c r="AE161" s="18"/>
      <c r="AF161" s="4">
        <f t="shared" si="14"/>
        <v>0</v>
      </c>
      <c r="AG161" s="4"/>
      <c r="AH161" s="16">
        <f t="shared" si="15"/>
        <v>0</v>
      </c>
      <c r="AI161" s="21">
        <f t="shared" si="13"/>
        <v>0</v>
      </c>
      <c r="AJ161" s="20">
        <f t="shared" si="16"/>
        <v>0</v>
      </c>
      <c r="AK161" s="9"/>
    </row>
    <row r="162" spans="1:37" hidden="1">
      <c r="A162" s="3">
        <v>160</v>
      </c>
      <c r="B162" s="12"/>
      <c r="C162" s="13"/>
      <c r="D162" s="13"/>
      <c r="E162" s="13"/>
      <c r="F162" s="13"/>
      <c r="G162" s="13"/>
      <c r="H162" s="15"/>
      <c r="I162" s="45" t="s">
        <v>910</v>
      </c>
      <c r="J162" s="45" t="s">
        <v>1387</v>
      </c>
      <c r="K162" s="46" t="s">
        <v>655</v>
      </c>
      <c r="L162" s="47" t="s">
        <v>1261</v>
      </c>
      <c r="M162" s="66">
        <f>IFERROR(VLOOKUP($L162,[3]Consolidated!$C$9:$AC$452,27,0),0)</f>
        <v>6549250</v>
      </c>
      <c r="N162" s="66">
        <f>IFERROR(VLOOKUP($L162,[3]Consolidated!$C$9:$AC$452,5,0),0)</f>
        <v>35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4">
        <f>(VLOOKUP($O$2,Prices!$E$3:$K$17,2,FALSE)*O162)+(VLOOKUP($P$2,Prices!$J$3:$K$17,2,FALSE)*P162)+(VLOOKUP($Q$2,Prices!$J$3:$K$17,2,FALSE)*Q162)+(VLOOKUP($R$2,Prices!$J$3:$K$17,2,FALSE)*R162)+(VLOOKUP($S$2,Prices!$J$3:$K$17,2,FALSE)*S162)+(VLOOKUP($T$2,Prices!$J$3:$K$17,2,FALSE)*T162)+(VLOOKUP($U$2,Prices!$J$3:$K$17,2,FALSE)*U162)+(VLOOKUP($V$2,Prices!$J$3:$K$17,2,FALSE)*V162)+(VLOOKUP($W$2,Prices!$J$3:$K$17,2,FALSE)*W162)+(VLOOKUP($X$2,Prices!$J$3:$K$17,2,FALSE)*X162)+(VLOOKUP($Y$2,Prices!$J$3:$K$17,2,FALSE)*Y162)+(VLOOKUP($Z$2,Prices!$J$3:$K$17,2,FALSE)*Z162)+(VLOOKUP($AA$2,Prices!$J$3:$K$17,2,FALSE)*AA162)+(VLOOKUP($AB$2,Prices!$J$3:$K$17,2,FALSE)*AB162)+M162</f>
        <v>6549250</v>
      </c>
      <c r="AD162" s="69">
        <v>1804350</v>
      </c>
      <c r="AE162" s="18"/>
      <c r="AF162" s="4">
        <f t="shared" si="14"/>
        <v>1804350</v>
      </c>
      <c r="AG162" s="4"/>
      <c r="AH162" s="16">
        <f t="shared" si="15"/>
        <v>1804350</v>
      </c>
      <c r="AI162" s="21">
        <f t="shared" si="13"/>
        <v>0.27550482879719052</v>
      </c>
      <c r="AJ162" s="20">
        <f t="shared" si="16"/>
        <v>0.27550482879719052</v>
      </c>
      <c r="AK162" s="9"/>
    </row>
    <row r="163" spans="1:37" hidden="1">
      <c r="A163" s="3">
        <v>161</v>
      </c>
      <c r="B163" s="12"/>
      <c r="C163" s="13"/>
      <c r="D163" s="13"/>
      <c r="E163" s="13"/>
      <c r="F163" s="13"/>
      <c r="G163" s="13"/>
      <c r="H163" s="15"/>
      <c r="I163" s="45" t="s">
        <v>911</v>
      </c>
      <c r="J163" s="45" t="s">
        <v>1387</v>
      </c>
      <c r="K163" s="46" t="s">
        <v>655</v>
      </c>
      <c r="L163" s="47" t="s">
        <v>1262</v>
      </c>
      <c r="M163" s="66">
        <f>IFERROR(VLOOKUP($L163,[3]Consolidated!$C$9:$AC$452,27,0),0)</f>
        <v>0</v>
      </c>
      <c r="N163" s="66">
        <f>IFERROR(VLOOKUP($L163,[3]Consolidated!$C$9:$AC$452,5,0),0)</f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4">
        <f>(VLOOKUP($O$2,Prices!$E$3:$K$17,2,FALSE)*O163)+(VLOOKUP($P$2,Prices!$J$3:$K$17,2,FALSE)*P163)+(VLOOKUP($Q$2,Prices!$J$3:$K$17,2,FALSE)*Q163)+(VLOOKUP($R$2,Prices!$J$3:$K$17,2,FALSE)*R163)+(VLOOKUP($S$2,Prices!$J$3:$K$17,2,FALSE)*S163)+(VLOOKUP($T$2,Prices!$J$3:$K$17,2,FALSE)*T163)+(VLOOKUP($U$2,Prices!$J$3:$K$17,2,FALSE)*U163)+(VLOOKUP($V$2,Prices!$J$3:$K$17,2,FALSE)*V163)+(VLOOKUP($W$2,Prices!$J$3:$K$17,2,FALSE)*W163)+(VLOOKUP($X$2,Prices!$J$3:$K$17,2,FALSE)*X163)+(VLOOKUP($Y$2,Prices!$J$3:$K$17,2,FALSE)*Y163)+(VLOOKUP($Z$2,Prices!$J$3:$K$17,2,FALSE)*Z163)+(VLOOKUP($AA$2,Prices!$J$3:$K$17,2,FALSE)*AA163)+(VLOOKUP($AB$2,Prices!$J$3:$K$17,2,FALSE)*AB163)+M163</f>
        <v>0</v>
      </c>
      <c r="AD163" s="13">
        <v>0</v>
      </c>
      <c r="AE163" s="18"/>
      <c r="AF163" s="4">
        <f t="shared" si="14"/>
        <v>0</v>
      </c>
      <c r="AG163" s="4"/>
      <c r="AH163" s="16">
        <f t="shared" si="15"/>
        <v>0</v>
      </c>
      <c r="AI163" s="21" t="e">
        <f t="shared" si="13"/>
        <v>#DIV/0!</v>
      </c>
      <c r="AJ163" s="20" t="e">
        <f t="shared" si="16"/>
        <v>#DIV/0!</v>
      </c>
      <c r="AK163" s="9"/>
    </row>
    <row r="164" spans="1:37" hidden="1">
      <c r="A164" s="3">
        <v>162</v>
      </c>
      <c r="B164" s="12"/>
      <c r="C164" s="13"/>
      <c r="D164" s="13"/>
      <c r="E164" s="13"/>
      <c r="F164" s="13"/>
      <c r="G164" s="13"/>
      <c r="H164" s="15"/>
      <c r="I164" s="45" t="s">
        <v>912</v>
      </c>
      <c r="J164" s="45" t="s">
        <v>1387</v>
      </c>
      <c r="K164" s="46" t="s">
        <v>655</v>
      </c>
      <c r="L164" s="47" t="s">
        <v>1263</v>
      </c>
      <c r="M164" s="66">
        <f>IFERROR(VLOOKUP($L164,[3]Consolidated!$C$9:$AC$452,27,0),0)</f>
        <v>3992835</v>
      </c>
      <c r="N164" s="66">
        <f>IFERROR(VLOOKUP($L164,[3]Consolidated!$C$9:$AC$452,5,0),0)</f>
        <v>20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4">
        <f>(VLOOKUP($O$2,Prices!$E$3:$K$17,2,FALSE)*O164)+(VLOOKUP($P$2,Prices!$J$3:$K$17,2,FALSE)*P164)+(VLOOKUP($Q$2,Prices!$J$3:$K$17,2,FALSE)*Q164)+(VLOOKUP($R$2,Prices!$J$3:$K$17,2,FALSE)*R164)+(VLOOKUP($S$2,Prices!$J$3:$K$17,2,FALSE)*S164)+(VLOOKUP($T$2,Prices!$J$3:$K$17,2,FALSE)*T164)+(VLOOKUP($U$2,Prices!$J$3:$K$17,2,FALSE)*U164)+(VLOOKUP($V$2,Prices!$J$3:$K$17,2,FALSE)*V164)+(VLOOKUP($W$2,Prices!$J$3:$K$17,2,FALSE)*W164)+(VLOOKUP($X$2,Prices!$J$3:$K$17,2,FALSE)*X164)+(VLOOKUP($Y$2,Prices!$J$3:$K$17,2,FALSE)*Y164)+(VLOOKUP($Z$2,Prices!$J$3:$K$17,2,FALSE)*Z164)+(VLOOKUP($AA$2,Prices!$J$3:$K$17,2,FALSE)*AA164)+(VLOOKUP($AB$2,Prices!$J$3:$K$17,2,FALSE)*AB164)+M164</f>
        <v>3992835</v>
      </c>
      <c r="AD164" s="69">
        <v>1046000</v>
      </c>
      <c r="AE164" s="18"/>
      <c r="AF164" s="4">
        <f t="shared" si="14"/>
        <v>1046000</v>
      </c>
      <c r="AG164" s="4"/>
      <c r="AH164" s="16">
        <f t="shared" si="15"/>
        <v>1046000</v>
      </c>
      <c r="AI164" s="21">
        <f t="shared" si="13"/>
        <v>0.26196925242340341</v>
      </c>
      <c r="AJ164" s="20">
        <f t="shared" si="16"/>
        <v>0.26196925242340341</v>
      </c>
      <c r="AK164" s="9"/>
    </row>
    <row r="165" spans="1:37" hidden="1">
      <c r="A165" s="3">
        <v>163</v>
      </c>
      <c r="B165" s="12"/>
      <c r="C165" s="13"/>
      <c r="D165" s="13"/>
      <c r="E165" s="13"/>
      <c r="F165" s="13"/>
      <c r="G165" s="13"/>
      <c r="H165" s="15"/>
      <c r="I165" s="45" t="s">
        <v>913</v>
      </c>
      <c r="J165" s="45" t="s">
        <v>1387</v>
      </c>
      <c r="K165" s="46" t="s">
        <v>655</v>
      </c>
      <c r="L165" s="47" t="s">
        <v>1264</v>
      </c>
      <c r="M165" s="66">
        <f>IFERROR(VLOOKUP($L165,[3]Consolidated!$C$9:$AC$452,27,0),0)</f>
        <v>2917810</v>
      </c>
      <c r="N165" s="66">
        <f>IFERROR(VLOOKUP($L165,[3]Consolidated!$C$9:$AC$452,5,0),0)</f>
        <v>15.000000000000002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4">
        <f>(VLOOKUP($O$2,Prices!$E$3:$K$17,2,FALSE)*O165)+(VLOOKUP($P$2,Prices!$J$3:$K$17,2,FALSE)*P165)+(VLOOKUP($Q$2,Prices!$J$3:$K$17,2,FALSE)*Q165)+(VLOOKUP($R$2,Prices!$J$3:$K$17,2,FALSE)*R165)+(VLOOKUP($S$2,Prices!$J$3:$K$17,2,FALSE)*S165)+(VLOOKUP($T$2,Prices!$J$3:$K$17,2,FALSE)*T165)+(VLOOKUP($U$2,Prices!$J$3:$K$17,2,FALSE)*U165)+(VLOOKUP($V$2,Prices!$J$3:$K$17,2,FALSE)*V165)+(VLOOKUP($W$2,Prices!$J$3:$K$17,2,FALSE)*W165)+(VLOOKUP($X$2,Prices!$J$3:$K$17,2,FALSE)*X165)+(VLOOKUP($Y$2,Prices!$J$3:$K$17,2,FALSE)*Y165)+(VLOOKUP($Z$2,Prices!$J$3:$K$17,2,FALSE)*Z165)+(VLOOKUP($AA$2,Prices!$J$3:$K$17,2,FALSE)*AA165)+(VLOOKUP($AB$2,Prices!$J$3:$K$17,2,FALSE)*AB165)+M165</f>
        <v>2917810</v>
      </c>
      <c r="AD165" s="69">
        <v>993700</v>
      </c>
      <c r="AE165" s="18"/>
      <c r="AF165" s="4">
        <f t="shared" si="14"/>
        <v>993700</v>
      </c>
      <c r="AG165" s="4"/>
      <c r="AH165" s="16">
        <f t="shared" si="15"/>
        <v>993700</v>
      </c>
      <c r="AI165" s="21">
        <f t="shared" si="13"/>
        <v>0.34056364190951433</v>
      </c>
      <c r="AJ165" s="20">
        <f t="shared" si="16"/>
        <v>0.34056364190951433</v>
      </c>
      <c r="AK165" s="19"/>
    </row>
    <row r="166" spans="1:37" hidden="1">
      <c r="A166" s="3">
        <v>164</v>
      </c>
      <c r="B166" s="12"/>
      <c r="C166" s="13"/>
      <c r="D166" s="13"/>
      <c r="E166" s="13"/>
      <c r="F166" s="13"/>
      <c r="G166" s="13"/>
      <c r="H166" s="15"/>
      <c r="I166" s="45" t="s">
        <v>915</v>
      </c>
      <c r="J166" s="45" t="s">
        <v>1387</v>
      </c>
      <c r="K166" s="46" t="s">
        <v>655</v>
      </c>
      <c r="L166" s="47" t="s">
        <v>1266</v>
      </c>
      <c r="M166" s="66">
        <f>IFERROR(VLOOKUP($L166,[3]Consolidated!$C$9:$AC$452,27,0),0)</f>
        <v>12399500</v>
      </c>
      <c r="N166" s="66">
        <f>IFERROR(VLOOKUP($L166,[3]Consolidated!$C$9:$AC$452,5,0),0)</f>
        <v>60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4">
        <f>(VLOOKUP($O$2,Prices!$E$3:$K$17,2,FALSE)*O166)+(VLOOKUP($P$2,Prices!$J$3:$K$17,2,FALSE)*P166)+(VLOOKUP($Q$2,Prices!$J$3:$K$17,2,FALSE)*Q166)+(VLOOKUP($R$2,Prices!$J$3:$K$17,2,FALSE)*R166)+(VLOOKUP($S$2,Prices!$J$3:$K$17,2,FALSE)*S166)+(VLOOKUP($T$2,Prices!$J$3:$K$17,2,FALSE)*T166)+(VLOOKUP($U$2,Prices!$J$3:$K$17,2,FALSE)*U166)+(VLOOKUP($V$2,Prices!$J$3:$K$17,2,FALSE)*V166)+(VLOOKUP($W$2,Prices!$J$3:$K$17,2,FALSE)*W166)+(VLOOKUP($X$2,Prices!$J$3:$K$17,2,FALSE)*X166)+(VLOOKUP($Y$2,Prices!$J$3:$K$17,2,FALSE)*Y166)+(VLOOKUP($Z$2,Prices!$J$3:$K$17,2,FALSE)*Z166)+(VLOOKUP($AA$2,Prices!$J$3:$K$17,2,FALSE)*AA166)+(VLOOKUP($AB$2,Prices!$J$3:$K$17,2,FALSE)*AB166)+M166</f>
        <v>12399500</v>
      </c>
      <c r="AD166" s="69">
        <v>4262450</v>
      </c>
      <c r="AE166" s="18"/>
      <c r="AF166" s="4">
        <f t="shared" si="14"/>
        <v>4262450</v>
      </c>
      <c r="AG166" s="4"/>
      <c r="AH166" s="16">
        <f t="shared" si="15"/>
        <v>4262450</v>
      </c>
      <c r="AI166" s="21">
        <f t="shared" si="13"/>
        <v>0.34375982902536395</v>
      </c>
      <c r="AJ166" s="20">
        <f t="shared" si="16"/>
        <v>0.34375982902536395</v>
      </c>
      <c r="AK166" s="9"/>
    </row>
    <row r="167" spans="1:37" hidden="1">
      <c r="A167" s="3">
        <v>165</v>
      </c>
      <c r="B167" s="12"/>
      <c r="C167" s="13"/>
      <c r="D167" s="13"/>
      <c r="E167" s="13"/>
      <c r="F167" s="13"/>
      <c r="G167" s="13"/>
      <c r="H167" s="15"/>
      <c r="I167" s="45" t="s">
        <v>916</v>
      </c>
      <c r="J167" s="45" t="s">
        <v>1387</v>
      </c>
      <c r="K167" s="46" t="s">
        <v>655</v>
      </c>
      <c r="L167" s="47" t="s">
        <v>1267</v>
      </c>
      <c r="M167" s="66">
        <f>IFERROR(VLOOKUP($L167,[3]Consolidated!$C$9:$AC$452,27,0),0)</f>
        <v>2246500</v>
      </c>
      <c r="N167" s="66">
        <f>IFERROR(VLOOKUP($L167,[3]Consolidated!$C$9:$AC$452,5,0),0)</f>
        <v>11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4">
        <f>(VLOOKUP($O$2,Prices!$E$3:$K$17,2,FALSE)*O167)+(VLOOKUP($P$2,Prices!$J$3:$K$17,2,FALSE)*P167)+(VLOOKUP($Q$2,Prices!$J$3:$K$17,2,FALSE)*Q167)+(VLOOKUP($R$2,Prices!$J$3:$K$17,2,FALSE)*R167)+(VLOOKUP($S$2,Prices!$J$3:$K$17,2,FALSE)*S167)+(VLOOKUP($T$2,Prices!$J$3:$K$17,2,FALSE)*T167)+(VLOOKUP($U$2,Prices!$J$3:$K$17,2,FALSE)*U167)+(VLOOKUP($V$2,Prices!$J$3:$K$17,2,FALSE)*V167)+(VLOOKUP($W$2,Prices!$J$3:$K$17,2,FALSE)*W167)+(VLOOKUP($X$2,Prices!$J$3:$K$17,2,FALSE)*X167)+(VLOOKUP($Y$2,Prices!$J$3:$K$17,2,FALSE)*Y167)+(VLOOKUP($Z$2,Prices!$J$3:$K$17,2,FALSE)*Z167)+(VLOOKUP($AA$2,Prices!$J$3:$K$17,2,FALSE)*AA167)+(VLOOKUP($AB$2,Prices!$J$3:$K$17,2,FALSE)*AB167)+M167</f>
        <v>2246500</v>
      </c>
      <c r="AD167" s="13">
        <v>0</v>
      </c>
      <c r="AE167" s="18"/>
      <c r="AF167" s="4">
        <f t="shared" si="14"/>
        <v>0</v>
      </c>
      <c r="AG167" s="4"/>
      <c r="AH167" s="16">
        <f t="shared" si="15"/>
        <v>0</v>
      </c>
      <c r="AI167" s="21">
        <f t="shared" si="13"/>
        <v>0</v>
      </c>
      <c r="AJ167" s="20">
        <f t="shared" si="16"/>
        <v>0</v>
      </c>
      <c r="AK167" s="9"/>
    </row>
    <row r="168" spans="1:37" hidden="1">
      <c r="A168" s="3">
        <v>166</v>
      </c>
      <c r="B168" s="12"/>
      <c r="C168" s="13"/>
      <c r="D168" s="13"/>
      <c r="E168" s="13"/>
      <c r="F168" s="13"/>
      <c r="G168" s="13"/>
      <c r="H168" s="15"/>
      <c r="I168" s="45" t="s">
        <v>917</v>
      </c>
      <c r="J168" s="45" t="s">
        <v>1387</v>
      </c>
      <c r="K168" s="46" t="s">
        <v>656</v>
      </c>
      <c r="L168" s="47" t="s">
        <v>1268</v>
      </c>
      <c r="M168" s="66">
        <f>IFERROR(VLOOKUP($L168,[3]Consolidated!$C$9:$AC$452,27,0),0)</f>
        <v>1937600</v>
      </c>
      <c r="N168" s="66">
        <f>IFERROR(VLOOKUP($L168,[3]Consolidated!$C$9:$AC$452,5,0),0)</f>
        <v>10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4">
        <f>(VLOOKUP($O$2,Prices!$E$3:$K$17,2,FALSE)*O168)+(VLOOKUP($P$2,Prices!$J$3:$K$17,2,FALSE)*P168)+(VLOOKUP($Q$2,Prices!$J$3:$K$17,2,FALSE)*Q168)+(VLOOKUP($R$2,Prices!$J$3:$K$17,2,FALSE)*R168)+(VLOOKUP($S$2,Prices!$J$3:$K$17,2,FALSE)*S168)+(VLOOKUP($T$2,Prices!$J$3:$K$17,2,FALSE)*T168)+(VLOOKUP($U$2,Prices!$J$3:$K$17,2,FALSE)*U168)+(VLOOKUP($V$2,Prices!$J$3:$K$17,2,FALSE)*V168)+(VLOOKUP($W$2,Prices!$J$3:$K$17,2,FALSE)*W168)+(VLOOKUP($X$2,Prices!$J$3:$K$17,2,FALSE)*X168)+(VLOOKUP($Y$2,Prices!$J$3:$K$17,2,FALSE)*Y168)+(VLOOKUP($Z$2,Prices!$J$3:$K$17,2,FALSE)*Z168)+(VLOOKUP($AA$2,Prices!$J$3:$K$17,2,FALSE)*AA168)+(VLOOKUP($AB$2,Prices!$J$3:$K$17,2,FALSE)*AB168)+M168</f>
        <v>1937600</v>
      </c>
      <c r="AD168" s="69">
        <v>661900</v>
      </c>
      <c r="AE168" s="18"/>
      <c r="AF168" s="4">
        <f t="shared" si="14"/>
        <v>661900</v>
      </c>
      <c r="AG168" s="4"/>
      <c r="AH168" s="16">
        <f t="shared" si="15"/>
        <v>661900</v>
      </c>
      <c r="AI168" s="21">
        <f t="shared" si="13"/>
        <v>0.34160817506193231</v>
      </c>
      <c r="AJ168" s="20">
        <f t="shared" si="16"/>
        <v>0.34160817506193231</v>
      </c>
      <c r="AK168" s="9"/>
    </row>
    <row r="169" spans="1:37" hidden="1">
      <c r="A169" s="3">
        <v>167</v>
      </c>
      <c r="B169" s="12"/>
      <c r="C169" s="13"/>
      <c r="D169" s="13"/>
      <c r="E169" s="13"/>
      <c r="F169" s="13"/>
      <c r="G169" s="13"/>
      <c r="H169" s="15"/>
      <c r="I169" s="45" t="s">
        <v>918</v>
      </c>
      <c r="J169" s="45" t="s">
        <v>1387</v>
      </c>
      <c r="K169" s="46" t="s">
        <v>656</v>
      </c>
      <c r="L169" s="47" t="s">
        <v>1269</v>
      </c>
      <c r="M169" s="66">
        <f>IFERROR(VLOOKUP($L169,[3]Consolidated!$C$9:$AC$452,27,0),0)</f>
        <v>8596050</v>
      </c>
      <c r="N169" s="66">
        <f>IFERROR(VLOOKUP($L169,[3]Consolidated!$C$9:$AC$452,5,0),0)</f>
        <v>40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4">
        <f>(VLOOKUP($O$2,Prices!$E$3:$K$17,2,FALSE)*O169)+(VLOOKUP($P$2,Prices!$J$3:$K$17,2,FALSE)*P169)+(VLOOKUP($Q$2,Prices!$J$3:$K$17,2,FALSE)*Q169)+(VLOOKUP($R$2,Prices!$J$3:$K$17,2,FALSE)*R169)+(VLOOKUP($S$2,Prices!$J$3:$K$17,2,FALSE)*S169)+(VLOOKUP($T$2,Prices!$J$3:$K$17,2,FALSE)*T169)+(VLOOKUP($U$2,Prices!$J$3:$K$17,2,FALSE)*U169)+(VLOOKUP($V$2,Prices!$J$3:$K$17,2,FALSE)*V169)+(VLOOKUP($W$2,Prices!$J$3:$K$17,2,FALSE)*W169)+(VLOOKUP($X$2,Prices!$J$3:$K$17,2,FALSE)*X169)+(VLOOKUP($Y$2,Prices!$J$3:$K$17,2,FALSE)*Y169)+(VLOOKUP($Z$2,Prices!$J$3:$K$17,2,FALSE)*Z169)+(VLOOKUP($AA$2,Prices!$J$3:$K$17,2,FALSE)*AA169)+(VLOOKUP($AB$2,Prices!$J$3:$K$17,2,FALSE)*AB169)+M169</f>
        <v>8596050</v>
      </c>
      <c r="AD169" s="69">
        <v>1267750</v>
      </c>
      <c r="AE169" s="18"/>
      <c r="AF169" s="4">
        <f t="shared" si="14"/>
        <v>1267750</v>
      </c>
      <c r="AG169" s="4"/>
      <c r="AH169" s="16">
        <f t="shared" si="15"/>
        <v>1267750</v>
      </c>
      <c r="AI169" s="21">
        <f t="shared" si="13"/>
        <v>0.14748052884755208</v>
      </c>
      <c r="AJ169" s="20">
        <f t="shared" si="16"/>
        <v>0.14748052884755208</v>
      </c>
      <c r="AK169" s="9"/>
    </row>
    <row r="170" spans="1:37" hidden="1">
      <c r="A170" s="3">
        <v>168</v>
      </c>
      <c r="B170" s="12"/>
      <c r="C170" s="13"/>
      <c r="D170" s="13"/>
      <c r="E170" s="13"/>
      <c r="F170" s="13"/>
      <c r="G170" s="13"/>
      <c r="H170" s="15"/>
      <c r="I170" s="45" t="s">
        <v>919</v>
      </c>
      <c r="J170" s="45" t="s">
        <v>1387</v>
      </c>
      <c r="K170" s="46" t="s">
        <v>656</v>
      </c>
      <c r="L170" s="47" t="s">
        <v>1270</v>
      </c>
      <c r="M170" s="66">
        <f>IFERROR(VLOOKUP($L170,[3]Consolidated!$C$9:$AC$452,27,0),0)</f>
        <v>8359400</v>
      </c>
      <c r="N170" s="66">
        <f>IFERROR(VLOOKUP($L170,[3]Consolidated!$C$9:$AC$452,5,0),0)</f>
        <v>40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4">
        <f>(VLOOKUP($O$2,Prices!$E$3:$K$17,2,FALSE)*O170)+(VLOOKUP($P$2,Prices!$J$3:$K$17,2,FALSE)*P170)+(VLOOKUP($Q$2,Prices!$J$3:$K$17,2,FALSE)*Q170)+(VLOOKUP($R$2,Prices!$J$3:$K$17,2,FALSE)*R170)+(VLOOKUP($S$2,Prices!$J$3:$K$17,2,FALSE)*S170)+(VLOOKUP($T$2,Prices!$J$3:$K$17,2,FALSE)*T170)+(VLOOKUP($U$2,Prices!$J$3:$K$17,2,FALSE)*U170)+(VLOOKUP($V$2,Prices!$J$3:$K$17,2,FALSE)*V170)+(VLOOKUP($W$2,Prices!$J$3:$K$17,2,FALSE)*W170)+(VLOOKUP($X$2,Prices!$J$3:$K$17,2,FALSE)*X170)+(VLOOKUP($Y$2,Prices!$J$3:$K$17,2,FALSE)*Y170)+(VLOOKUP($Z$2,Prices!$J$3:$K$17,2,FALSE)*Z170)+(VLOOKUP($AA$2,Prices!$J$3:$K$17,2,FALSE)*AA170)+(VLOOKUP($AB$2,Prices!$J$3:$K$17,2,FALSE)*AB170)+M170</f>
        <v>8359400</v>
      </c>
      <c r="AD170" s="69">
        <v>1319050</v>
      </c>
      <c r="AE170" s="18"/>
      <c r="AF170" s="4">
        <f t="shared" si="14"/>
        <v>1319050</v>
      </c>
      <c r="AG170" s="4"/>
      <c r="AH170" s="16">
        <f t="shared" si="15"/>
        <v>1319050</v>
      </c>
      <c r="AI170" s="21">
        <f t="shared" si="13"/>
        <v>0.15779242529368137</v>
      </c>
      <c r="AJ170" s="20">
        <f t="shared" si="16"/>
        <v>0.15779242529368137</v>
      </c>
      <c r="AK170" s="9"/>
    </row>
    <row r="171" spans="1:37" hidden="1">
      <c r="A171" s="3">
        <v>169</v>
      </c>
      <c r="B171" s="12"/>
      <c r="C171" s="13"/>
      <c r="D171" s="13"/>
      <c r="E171" s="13"/>
      <c r="F171" s="13"/>
      <c r="G171" s="13"/>
      <c r="H171" s="15"/>
      <c r="I171" s="45" t="s">
        <v>920</v>
      </c>
      <c r="J171" s="45" t="s">
        <v>1387</v>
      </c>
      <c r="K171" s="46" t="s">
        <v>656</v>
      </c>
      <c r="L171" s="47" t="s">
        <v>1271</v>
      </c>
      <c r="M171" s="66">
        <f>IFERROR(VLOOKUP($L171,[3]Consolidated!$C$9:$AC$452,27,0),0)</f>
        <v>0</v>
      </c>
      <c r="N171" s="66">
        <f>IFERROR(VLOOKUP($L171,[3]Consolidated!$C$9:$AC$452,5,0),0)</f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4">
        <f>(VLOOKUP($O$2,Prices!$E$3:$K$17,2,FALSE)*O171)+(VLOOKUP($P$2,Prices!$J$3:$K$17,2,FALSE)*P171)+(VLOOKUP($Q$2,Prices!$J$3:$K$17,2,FALSE)*Q171)+(VLOOKUP($R$2,Prices!$J$3:$K$17,2,FALSE)*R171)+(VLOOKUP($S$2,Prices!$J$3:$K$17,2,FALSE)*S171)+(VLOOKUP($T$2,Prices!$J$3:$K$17,2,FALSE)*T171)+(VLOOKUP($U$2,Prices!$J$3:$K$17,2,FALSE)*U171)+(VLOOKUP($V$2,Prices!$J$3:$K$17,2,FALSE)*V171)+(VLOOKUP($W$2,Prices!$J$3:$K$17,2,FALSE)*W171)+(VLOOKUP($X$2,Prices!$J$3:$K$17,2,FALSE)*X171)+(VLOOKUP($Y$2,Prices!$J$3:$K$17,2,FALSE)*Y171)+(VLOOKUP($Z$2,Prices!$J$3:$K$17,2,FALSE)*Z171)+(VLOOKUP($AA$2,Prices!$J$3:$K$17,2,FALSE)*AA171)+(VLOOKUP($AB$2,Prices!$J$3:$K$17,2,FALSE)*AB171)+M171</f>
        <v>0</v>
      </c>
      <c r="AD171" s="13">
        <v>0</v>
      </c>
      <c r="AE171" s="18"/>
      <c r="AF171" s="4">
        <f t="shared" si="14"/>
        <v>0</v>
      </c>
      <c r="AG171" s="4"/>
      <c r="AH171" s="16">
        <f t="shared" si="15"/>
        <v>0</v>
      </c>
      <c r="AI171" s="21" t="e">
        <f t="shared" si="13"/>
        <v>#DIV/0!</v>
      </c>
      <c r="AJ171" s="20" t="e">
        <f t="shared" si="16"/>
        <v>#DIV/0!</v>
      </c>
      <c r="AK171" s="9"/>
    </row>
    <row r="172" spans="1:37" hidden="1">
      <c r="A172" s="3">
        <v>170</v>
      </c>
      <c r="B172" s="12"/>
      <c r="C172" s="13"/>
      <c r="D172" s="13"/>
      <c r="E172" s="13"/>
      <c r="F172" s="13"/>
      <c r="G172" s="13"/>
      <c r="H172" s="15"/>
      <c r="I172" s="45" t="s">
        <v>921</v>
      </c>
      <c r="J172" s="45" t="s">
        <v>1387</v>
      </c>
      <c r="K172" s="46" t="s">
        <v>656</v>
      </c>
      <c r="L172" s="47" t="s">
        <v>1272</v>
      </c>
      <c r="M172" s="66">
        <f>IFERROR(VLOOKUP($L172,[3]Consolidated!$C$9:$AC$452,27,0),0)</f>
        <v>0</v>
      </c>
      <c r="N172" s="66">
        <f>IFERROR(VLOOKUP($L172,[3]Consolidated!$C$9:$AC$452,5,0),0)</f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4">
        <f>(VLOOKUP($O$2,Prices!$E$3:$K$17,2,FALSE)*O172)+(VLOOKUP($P$2,Prices!$J$3:$K$17,2,FALSE)*P172)+(VLOOKUP($Q$2,Prices!$J$3:$K$17,2,FALSE)*Q172)+(VLOOKUP($R$2,Prices!$J$3:$K$17,2,FALSE)*R172)+(VLOOKUP($S$2,Prices!$J$3:$K$17,2,FALSE)*S172)+(VLOOKUP($T$2,Prices!$J$3:$K$17,2,FALSE)*T172)+(VLOOKUP($U$2,Prices!$J$3:$K$17,2,FALSE)*U172)+(VLOOKUP($V$2,Prices!$J$3:$K$17,2,FALSE)*V172)+(VLOOKUP($W$2,Prices!$J$3:$K$17,2,FALSE)*W172)+(VLOOKUP($X$2,Prices!$J$3:$K$17,2,FALSE)*X172)+(VLOOKUP($Y$2,Prices!$J$3:$K$17,2,FALSE)*Y172)+(VLOOKUP($Z$2,Prices!$J$3:$K$17,2,FALSE)*Z172)+(VLOOKUP($AA$2,Prices!$J$3:$K$17,2,FALSE)*AA172)+(VLOOKUP($AB$2,Prices!$J$3:$K$17,2,FALSE)*AB172)+M172</f>
        <v>0</v>
      </c>
      <c r="AD172" s="13">
        <v>0</v>
      </c>
      <c r="AE172" s="18"/>
      <c r="AF172" s="4">
        <f t="shared" si="14"/>
        <v>0</v>
      </c>
      <c r="AG172" s="4"/>
      <c r="AH172" s="16">
        <f t="shared" si="15"/>
        <v>0</v>
      </c>
      <c r="AI172" s="21" t="e">
        <f t="shared" si="13"/>
        <v>#DIV/0!</v>
      </c>
      <c r="AJ172" s="20" t="e">
        <f t="shared" si="16"/>
        <v>#DIV/0!</v>
      </c>
      <c r="AK172" s="9"/>
    </row>
    <row r="173" spans="1:37" hidden="1">
      <c r="A173" s="3">
        <v>171</v>
      </c>
      <c r="B173" s="12"/>
      <c r="C173" s="13"/>
      <c r="D173" s="13"/>
      <c r="E173" s="13"/>
      <c r="F173" s="13"/>
      <c r="G173" s="13"/>
      <c r="H173" s="15"/>
      <c r="I173" s="45" t="s">
        <v>922</v>
      </c>
      <c r="J173" s="45" t="s">
        <v>1387</v>
      </c>
      <c r="K173" s="46" t="s">
        <v>656</v>
      </c>
      <c r="L173" s="47" t="s">
        <v>1273</v>
      </c>
      <c r="M173" s="66">
        <f>IFERROR(VLOOKUP($L173,[3]Consolidated!$C$9:$AC$452,27,0),0)</f>
        <v>1558640</v>
      </c>
      <c r="N173" s="66">
        <f>IFERROR(VLOOKUP($L173,[3]Consolidated!$C$9:$AC$452,5,0),0)</f>
        <v>9.9999999999999982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4">
        <f>(VLOOKUP($O$2,Prices!$E$3:$K$17,2,FALSE)*O173)+(VLOOKUP($P$2,Prices!$J$3:$K$17,2,FALSE)*P173)+(VLOOKUP($Q$2,Prices!$J$3:$K$17,2,FALSE)*Q173)+(VLOOKUP($R$2,Prices!$J$3:$K$17,2,FALSE)*R173)+(VLOOKUP($S$2,Prices!$J$3:$K$17,2,FALSE)*S173)+(VLOOKUP($T$2,Prices!$J$3:$K$17,2,FALSE)*T173)+(VLOOKUP($U$2,Prices!$J$3:$K$17,2,FALSE)*U173)+(VLOOKUP($V$2,Prices!$J$3:$K$17,2,FALSE)*V173)+(VLOOKUP($W$2,Prices!$J$3:$K$17,2,FALSE)*W173)+(VLOOKUP($X$2,Prices!$J$3:$K$17,2,FALSE)*X173)+(VLOOKUP($Y$2,Prices!$J$3:$K$17,2,FALSE)*Y173)+(VLOOKUP($Z$2,Prices!$J$3:$K$17,2,FALSE)*Z173)+(VLOOKUP($AA$2,Prices!$J$3:$K$17,2,FALSE)*AA173)+(VLOOKUP($AB$2,Prices!$J$3:$K$17,2,FALSE)*AB173)+M173</f>
        <v>1558640</v>
      </c>
      <c r="AD173" s="13">
        <v>0</v>
      </c>
      <c r="AE173" s="18"/>
      <c r="AF173" s="4">
        <f t="shared" si="14"/>
        <v>0</v>
      </c>
      <c r="AG173" s="4"/>
      <c r="AH173" s="16">
        <f t="shared" si="15"/>
        <v>0</v>
      </c>
      <c r="AI173" s="21">
        <f t="shared" si="13"/>
        <v>0</v>
      </c>
      <c r="AJ173" s="20">
        <f t="shared" si="16"/>
        <v>0</v>
      </c>
      <c r="AK173" s="9"/>
    </row>
    <row r="174" spans="1:37" hidden="1">
      <c r="A174" s="3">
        <v>172</v>
      </c>
      <c r="B174" s="12"/>
      <c r="C174" s="13"/>
      <c r="D174" s="13"/>
      <c r="E174" s="13"/>
      <c r="F174" s="13"/>
      <c r="G174" s="13"/>
      <c r="H174" s="15"/>
      <c r="I174" s="45" t="s">
        <v>923</v>
      </c>
      <c r="J174" s="45" t="s">
        <v>1387</v>
      </c>
      <c r="K174" s="46" t="s">
        <v>656</v>
      </c>
      <c r="L174" s="46" t="s">
        <v>1274</v>
      </c>
      <c r="M174" s="66">
        <f>IFERROR(VLOOKUP($L174,[3]Consolidated!$C$9:$AC$452,27,0),0)</f>
        <v>15217620</v>
      </c>
      <c r="N174" s="66">
        <f>IFERROR(VLOOKUP($L174,[3]Consolidated!$C$9:$AC$452,5,0),0)</f>
        <v>70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4">
        <f>(VLOOKUP($O$2,Prices!$E$3:$K$17,2,FALSE)*O174)+(VLOOKUP($P$2,Prices!$J$3:$K$17,2,FALSE)*P174)+(VLOOKUP($Q$2,Prices!$J$3:$K$17,2,FALSE)*Q174)+(VLOOKUP($R$2,Prices!$J$3:$K$17,2,FALSE)*R174)+(VLOOKUP($S$2,Prices!$J$3:$K$17,2,FALSE)*S174)+(VLOOKUP($T$2,Prices!$J$3:$K$17,2,FALSE)*T174)+(VLOOKUP($U$2,Prices!$J$3:$K$17,2,FALSE)*U174)+(VLOOKUP($V$2,Prices!$J$3:$K$17,2,FALSE)*V174)+(VLOOKUP($W$2,Prices!$J$3:$K$17,2,FALSE)*W174)+(VLOOKUP($X$2,Prices!$J$3:$K$17,2,FALSE)*X174)+(VLOOKUP($Y$2,Prices!$J$3:$K$17,2,FALSE)*Y174)+(VLOOKUP($Z$2,Prices!$J$3:$K$17,2,FALSE)*Z174)+(VLOOKUP($AA$2,Prices!$J$3:$K$17,2,FALSE)*AA174)+(VLOOKUP($AB$2,Prices!$J$3:$K$17,2,FALSE)*AB174)+M174</f>
        <v>15217620</v>
      </c>
      <c r="AD174" s="69">
        <v>2803100</v>
      </c>
      <c r="AE174" s="18"/>
      <c r="AF174" s="4">
        <f t="shared" si="14"/>
        <v>2803100</v>
      </c>
      <c r="AG174" s="4"/>
      <c r="AH174" s="16">
        <f t="shared" si="15"/>
        <v>2803100</v>
      </c>
      <c r="AI174" s="21">
        <f t="shared" si="13"/>
        <v>0.18420094600863998</v>
      </c>
      <c r="AJ174" s="20">
        <f t="shared" si="16"/>
        <v>0.18420094600863998</v>
      </c>
      <c r="AK174" s="9"/>
    </row>
    <row r="175" spans="1:37" hidden="1">
      <c r="A175" s="3">
        <v>173</v>
      </c>
      <c r="B175" s="12"/>
      <c r="C175" s="13"/>
      <c r="D175" s="13"/>
      <c r="E175" s="13"/>
      <c r="F175" s="13"/>
      <c r="G175" s="13"/>
      <c r="H175" s="15"/>
      <c r="I175" s="45" t="s">
        <v>924</v>
      </c>
      <c r="J175" s="45" t="s">
        <v>1387</v>
      </c>
      <c r="K175" s="46" t="s">
        <v>656</v>
      </c>
      <c r="L175" s="46" t="s">
        <v>1275</v>
      </c>
      <c r="M175" s="66">
        <f>IFERROR(VLOOKUP($L175,[3]Consolidated!$C$9:$AC$452,27,0),0)</f>
        <v>6944980</v>
      </c>
      <c r="N175" s="66">
        <f>IFERROR(VLOOKUP($L175,[3]Consolidated!$C$9:$AC$452,5,0),0)</f>
        <v>36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4">
        <f>(VLOOKUP($O$2,Prices!$E$3:$K$17,2,FALSE)*O175)+(VLOOKUP($P$2,Prices!$J$3:$K$17,2,FALSE)*P175)+(VLOOKUP($Q$2,Prices!$J$3:$K$17,2,FALSE)*Q175)+(VLOOKUP($R$2,Prices!$J$3:$K$17,2,FALSE)*R175)+(VLOOKUP($S$2,Prices!$J$3:$K$17,2,FALSE)*S175)+(VLOOKUP($T$2,Prices!$J$3:$K$17,2,FALSE)*T175)+(VLOOKUP($U$2,Prices!$J$3:$K$17,2,FALSE)*U175)+(VLOOKUP($V$2,Prices!$J$3:$K$17,2,FALSE)*V175)+(VLOOKUP($W$2,Prices!$J$3:$K$17,2,FALSE)*W175)+(VLOOKUP($X$2,Prices!$J$3:$K$17,2,FALSE)*X175)+(VLOOKUP($Y$2,Prices!$J$3:$K$17,2,FALSE)*Y175)+(VLOOKUP($Z$2,Prices!$J$3:$K$17,2,FALSE)*Z175)+(VLOOKUP($AA$2,Prices!$J$3:$K$17,2,FALSE)*AA175)+(VLOOKUP($AB$2,Prices!$J$3:$K$17,2,FALSE)*AB175)+M175</f>
        <v>6944980</v>
      </c>
      <c r="AD175" s="69">
        <v>2209900</v>
      </c>
      <c r="AE175" s="18"/>
      <c r="AF175" s="4">
        <f t="shared" si="14"/>
        <v>2209900</v>
      </c>
      <c r="AG175" s="4"/>
      <c r="AH175" s="16">
        <f t="shared" si="15"/>
        <v>2209900</v>
      </c>
      <c r="AI175" s="21">
        <f t="shared" si="13"/>
        <v>0.31820106033422701</v>
      </c>
      <c r="AJ175" s="20">
        <f t="shared" si="16"/>
        <v>0.31820106033422701</v>
      </c>
      <c r="AK175" s="9"/>
    </row>
    <row r="176" spans="1:37" hidden="1">
      <c r="A176" s="3">
        <v>174</v>
      </c>
      <c r="B176" s="12"/>
      <c r="C176" s="13"/>
      <c r="D176" s="13"/>
      <c r="E176" s="13"/>
      <c r="F176" s="13"/>
      <c r="G176" s="13"/>
      <c r="H176" s="15"/>
      <c r="I176" s="45" t="s">
        <v>925</v>
      </c>
      <c r="J176" s="45" t="s">
        <v>1387</v>
      </c>
      <c r="K176" s="46" t="s">
        <v>656</v>
      </c>
      <c r="L176" s="46" t="s">
        <v>1276</v>
      </c>
      <c r="M176" s="66">
        <f>IFERROR(VLOOKUP($L176,[3]Consolidated!$C$9:$AC$452,27,0),0)</f>
        <v>0</v>
      </c>
      <c r="N176" s="66">
        <f>IFERROR(VLOOKUP($L176,[3]Consolidated!$C$9:$AC$452,5,0),0)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4">
        <f>(VLOOKUP($O$2,Prices!$E$3:$K$17,2,FALSE)*O176)+(VLOOKUP($P$2,Prices!$J$3:$K$17,2,FALSE)*P176)+(VLOOKUP($Q$2,Prices!$J$3:$K$17,2,FALSE)*Q176)+(VLOOKUP($R$2,Prices!$J$3:$K$17,2,FALSE)*R176)+(VLOOKUP($S$2,Prices!$J$3:$K$17,2,FALSE)*S176)+(VLOOKUP($T$2,Prices!$J$3:$K$17,2,FALSE)*T176)+(VLOOKUP($U$2,Prices!$J$3:$K$17,2,FALSE)*U176)+(VLOOKUP($V$2,Prices!$J$3:$K$17,2,FALSE)*V176)+(VLOOKUP($W$2,Prices!$J$3:$K$17,2,FALSE)*W176)+(VLOOKUP($X$2,Prices!$J$3:$K$17,2,FALSE)*X176)+(VLOOKUP($Y$2,Prices!$J$3:$K$17,2,FALSE)*Y176)+(VLOOKUP($Z$2,Prices!$J$3:$K$17,2,FALSE)*Z176)+(VLOOKUP($AA$2,Prices!$J$3:$K$17,2,FALSE)*AA176)+(VLOOKUP($AB$2,Prices!$J$3:$K$17,2,FALSE)*AB176)+M176</f>
        <v>0</v>
      </c>
      <c r="AD176" s="13">
        <v>0</v>
      </c>
      <c r="AE176" s="18"/>
      <c r="AF176" s="4">
        <f t="shared" si="14"/>
        <v>0</v>
      </c>
      <c r="AG176" s="4"/>
      <c r="AH176" s="16">
        <f t="shared" si="15"/>
        <v>0</v>
      </c>
      <c r="AI176" s="21" t="e">
        <f t="shared" si="13"/>
        <v>#DIV/0!</v>
      </c>
      <c r="AJ176" s="20" t="e">
        <f t="shared" si="16"/>
        <v>#DIV/0!</v>
      </c>
      <c r="AK176" s="9"/>
    </row>
    <row r="177" spans="1:37" hidden="1">
      <c r="A177" s="3">
        <v>175</v>
      </c>
      <c r="B177" s="12"/>
      <c r="C177" s="13"/>
      <c r="D177" s="13"/>
      <c r="E177" s="13"/>
      <c r="F177" s="13"/>
      <c r="G177" s="13"/>
      <c r="H177" s="15"/>
      <c r="I177" s="45" t="s">
        <v>926</v>
      </c>
      <c r="J177" s="45" t="s">
        <v>1387</v>
      </c>
      <c r="K177" s="46" t="s">
        <v>656</v>
      </c>
      <c r="L177" s="46" t="s">
        <v>1277</v>
      </c>
      <c r="M177" s="66">
        <f>IFERROR(VLOOKUP($L177,[3]Consolidated!$C$9:$AC$452,27,0),0)</f>
        <v>10446020</v>
      </c>
      <c r="N177" s="66">
        <f>IFERROR(VLOOKUP($L177,[3]Consolidated!$C$9:$AC$452,5,0),0)</f>
        <v>45.000000000000007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4">
        <f>(VLOOKUP($O$2,Prices!$E$3:$K$17,2,FALSE)*O177)+(VLOOKUP($P$2,Prices!$J$3:$K$17,2,FALSE)*P177)+(VLOOKUP($Q$2,Prices!$J$3:$K$17,2,FALSE)*Q177)+(VLOOKUP($R$2,Prices!$J$3:$K$17,2,FALSE)*R177)+(VLOOKUP($S$2,Prices!$J$3:$K$17,2,FALSE)*S177)+(VLOOKUP($T$2,Prices!$J$3:$K$17,2,FALSE)*T177)+(VLOOKUP($U$2,Prices!$J$3:$K$17,2,FALSE)*U177)+(VLOOKUP($V$2,Prices!$J$3:$K$17,2,FALSE)*V177)+(VLOOKUP($W$2,Prices!$J$3:$K$17,2,FALSE)*W177)+(VLOOKUP($X$2,Prices!$J$3:$K$17,2,FALSE)*X177)+(VLOOKUP($Y$2,Prices!$J$3:$K$17,2,FALSE)*Y177)+(VLOOKUP($Z$2,Prices!$J$3:$K$17,2,FALSE)*Z177)+(VLOOKUP($AA$2,Prices!$J$3:$K$17,2,FALSE)*AA177)+(VLOOKUP($AB$2,Prices!$J$3:$K$17,2,FALSE)*AB177)+M177</f>
        <v>10446020</v>
      </c>
      <c r="AD177" s="69">
        <v>1439400</v>
      </c>
      <c r="AE177" s="18"/>
      <c r="AF177" s="4">
        <f t="shared" si="14"/>
        <v>1439400</v>
      </c>
      <c r="AG177" s="4"/>
      <c r="AH177" s="16">
        <f t="shared" si="15"/>
        <v>1439400</v>
      </c>
      <c r="AI177" s="21">
        <f t="shared" si="13"/>
        <v>0.13779410722935626</v>
      </c>
      <c r="AJ177" s="20">
        <f t="shared" si="16"/>
        <v>0.13779410722935626</v>
      </c>
      <c r="AK177" s="19"/>
    </row>
    <row r="178" spans="1:37" hidden="1">
      <c r="A178" s="3">
        <v>176</v>
      </c>
      <c r="B178" s="12"/>
      <c r="C178" s="13"/>
      <c r="D178" s="13"/>
      <c r="E178" s="13"/>
      <c r="F178" s="13"/>
      <c r="G178" s="13"/>
      <c r="H178" s="15"/>
      <c r="I178" s="45" t="s">
        <v>927</v>
      </c>
      <c r="J178" s="45" t="s">
        <v>1387</v>
      </c>
      <c r="K178" s="46" t="s">
        <v>656</v>
      </c>
      <c r="L178" s="47" t="s">
        <v>1278</v>
      </c>
      <c r="M178" s="66">
        <f>IFERROR(VLOOKUP($L178,[3]Consolidated!$C$9:$AC$452,27,0),0)</f>
        <v>3492140</v>
      </c>
      <c r="N178" s="66">
        <f>IFERROR(VLOOKUP($L178,[3]Consolidated!$C$9:$AC$452,5,0),0)</f>
        <v>14.999999999999998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4">
        <f>(VLOOKUP($O$2,Prices!$E$3:$K$17,2,FALSE)*O178)+(VLOOKUP($P$2,Prices!$J$3:$K$17,2,FALSE)*P178)+(VLOOKUP($Q$2,Prices!$J$3:$K$17,2,FALSE)*Q178)+(VLOOKUP($R$2,Prices!$J$3:$K$17,2,FALSE)*R178)+(VLOOKUP($S$2,Prices!$J$3:$K$17,2,FALSE)*S178)+(VLOOKUP($T$2,Prices!$J$3:$K$17,2,FALSE)*T178)+(VLOOKUP($U$2,Prices!$J$3:$K$17,2,FALSE)*U178)+(VLOOKUP($V$2,Prices!$J$3:$K$17,2,FALSE)*V178)+(VLOOKUP($W$2,Prices!$J$3:$K$17,2,FALSE)*W178)+(VLOOKUP($X$2,Prices!$J$3:$K$17,2,FALSE)*X178)+(VLOOKUP($Y$2,Prices!$J$3:$K$17,2,FALSE)*Y178)+(VLOOKUP($Z$2,Prices!$J$3:$K$17,2,FALSE)*Z178)+(VLOOKUP($AA$2,Prices!$J$3:$K$17,2,FALSE)*AA178)+(VLOOKUP($AB$2,Prices!$J$3:$K$17,2,FALSE)*AB178)+M178</f>
        <v>3492140</v>
      </c>
      <c r="AD178" s="69">
        <v>701950</v>
      </c>
      <c r="AE178" s="18"/>
      <c r="AF178" s="4">
        <f t="shared" si="14"/>
        <v>701950</v>
      </c>
      <c r="AG178" s="4"/>
      <c r="AH178" s="16">
        <f t="shared" si="15"/>
        <v>701950</v>
      </c>
      <c r="AI178" s="21">
        <f t="shared" si="13"/>
        <v>0.20100855063084527</v>
      </c>
      <c r="AJ178" s="20">
        <f t="shared" si="16"/>
        <v>0.20100855063084527</v>
      </c>
      <c r="AK178" s="9"/>
    </row>
    <row r="179" spans="1:37" hidden="1">
      <c r="A179" s="3">
        <v>177</v>
      </c>
      <c r="B179" s="12"/>
      <c r="C179" s="13"/>
      <c r="D179" s="13"/>
      <c r="E179" s="13"/>
      <c r="F179" s="13"/>
      <c r="G179" s="13"/>
      <c r="H179" s="15"/>
      <c r="I179" s="45" t="s">
        <v>928</v>
      </c>
      <c r="J179" s="45" t="s">
        <v>1387</v>
      </c>
      <c r="K179" s="46" t="s">
        <v>656</v>
      </c>
      <c r="L179" s="47" t="s">
        <v>1279</v>
      </c>
      <c r="M179" s="66">
        <f>IFERROR(VLOOKUP($L179,[3]Consolidated!$C$9:$AC$452,27,0),0)</f>
        <v>5483420</v>
      </c>
      <c r="N179" s="66">
        <f>IFERROR(VLOOKUP($L179,[3]Consolidated!$C$9:$AC$452,5,0),0)</f>
        <v>25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4">
        <f>(VLOOKUP($O$2,Prices!$E$3:$K$17,2,FALSE)*O179)+(VLOOKUP($P$2,Prices!$J$3:$K$17,2,FALSE)*P179)+(VLOOKUP($Q$2,Prices!$J$3:$K$17,2,FALSE)*Q179)+(VLOOKUP($R$2,Prices!$J$3:$K$17,2,FALSE)*R179)+(VLOOKUP($S$2,Prices!$J$3:$K$17,2,FALSE)*S179)+(VLOOKUP($T$2,Prices!$J$3:$K$17,2,FALSE)*T179)+(VLOOKUP($U$2,Prices!$J$3:$K$17,2,FALSE)*U179)+(VLOOKUP($V$2,Prices!$J$3:$K$17,2,FALSE)*V179)+(VLOOKUP($W$2,Prices!$J$3:$K$17,2,FALSE)*W179)+(VLOOKUP($X$2,Prices!$J$3:$K$17,2,FALSE)*X179)+(VLOOKUP($Y$2,Prices!$J$3:$K$17,2,FALSE)*Y179)+(VLOOKUP($Z$2,Prices!$J$3:$K$17,2,FALSE)*Z179)+(VLOOKUP($AA$2,Prices!$J$3:$K$17,2,FALSE)*AA179)+(VLOOKUP($AB$2,Prices!$J$3:$K$17,2,FALSE)*AB179)+M179</f>
        <v>5483420</v>
      </c>
      <c r="AD179" s="69">
        <v>1659950</v>
      </c>
      <c r="AE179" s="18"/>
      <c r="AF179" s="4">
        <f t="shared" ref="AF179:AF210" si="17">AD179-AE179</f>
        <v>1659950</v>
      </c>
      <c r="AG179" s="4"/>
      <c r="AH179" s="16">
        <f t="shared" ref="AH179:AH210" si="18">AD179+AG179</f>
        <v>1659950</v>
      </c>
      <c r="AI179" s="21">
        <f t="shared" si="13"/>
        <v>0.3027216591105551</v>
      </c>
      <c r="AJ179" s="20">
        <f t="shared" ref="AJ179:AJ210" si="19">AH179/AC179</f>
        <v>0.3027216591105551</v>
      </c>
      <c r="AK179" s="9"/>
    </row>
    <row r="180" spans="1:37" hidden="1">
      <c r="A180" s="3">
        <v>178</v>
      </c>
      <c r="B180" s="12"/>
      <c r="C180" s="13"/>
      <c r="D180" s="13"/>
      <c r="E180" s="13"/>
      <c r="F180" s="13"/>
      <c r="G180" s="13"/>
      <c r="H180" s="15"/>
      <c r="I180" s="45" t="s">
        <v>929</v>
      </c>
      <c r="J180" s="45" t="s">
        <v>1387</v>
      </c>
      <c r="K180" s="46" t="s">
        <v>656</v>
      </c>
      <c r="L180" s="47" t="s">
        <v>1280</v>
      </c>
      <c r="M180" s="66">
        <f>IFERROR(VLOOKUP($L180,[3]Consolidated!$C$9:$AC$452,27,0),0)</f>
        <v>3983620</v>
      </c>
      <c r="N180" s="66">
        <f>IFERROR(VLOOKUP($L180,[3]Consolidated!$C$9:$AC$452,5,0),0)</f>
        <v>20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4">
        <f>(VLOOKUP($O$2,Prices!$E$3:$K$17,2,FALSE)*O180)+(VLOOKUP($P$2,Prices!$J$3:$K$17,2,FALSE)*P180)+(VLOOKUP($Q$2,Prices!$J$3:$K$17,2,FALSE)*Q180)+(VLOOKUP($R$2,Prices!$J$3:$K$17,2,FALSE)*R180)+(VLOOKUP($S$2,Prices!$J$3:$K$17,2,FALSE)*S180)+(VLOOKUP($T$2,Prices!$J$3:$K$17,2,FALSE)*T180)+(VLOOKUP($U$2,Prices!$J$3:$K$17,2,FALSE)*U180)+(VLOOKUP($V$2,Prices!$J$3:$K$17,2,FALSE)*V180)+(VLOOKUP($W$2,Prices!$J$3:$K$17,2,FALSE)*W180)+(VLOOKUP($X$2,Prices!$J$3:$K$17,2,FALSE)*X180)+(VLOOKUP($Y$2,Prices!$J$3:$K$17,2,FALSE)*Y180)+(VLOOKUP($Z$2,Prices!$J$3:$K$17,2,FALSE)*Z180)+(VLOOKUP($AA$2,Prices!$J$3:$K$17,2,FALSE)*AA180)+(VLOOKUP($AB$2,Prices!$J$3:$K$17,2,FALSE)*AB180)+M180</f>
        <v>3983620</v>
      </c>
      <c r="AD180" s="69">
        <v>1235550</v>
      </c>
      <c r="AE180" s="18"/>
      <c r="AF180" s="4">
        <f t="shared" si="17"/>
        <v>1235550</v>
      </c>
      <c r="AG180" s="4"/>
      <c r="AH180" s="16">
        <f t="shared" si="18"/>
        <v>1235550</v>
      </c>
      <c r="AI180" s="21">
        <f t="shared" si="13"/>
        <v>0.31015759535297044</v>
      </c>
      <c r="AJ180" s="20">
        <f t="shared" si="19"/>
        <v>0.31015759535297044</v>
      </c>
      <c r="AK180" s="9"/>
    </row>
    <row r="181" spans="1:37" hidden="1">
      <c r="A181" s="3">
        <v>179</v>
      </c>
      <c r="B181" s="12"/>
      <c r="C181" s="13"/>
      <c r="D181" s="13"/>
      <c r="E181" s="13"/>
      <c r="F181" s="13"/>
      <c r="G181" s="13"/>
      <c r="H181" s="15"/>
      <c r="I181" s="45" t="s">
        <v>930</v>
      </c>
      <c r="J181" s="45" t="s">
        <v>1387</v>
      </c>
      <c r="K181" s="46" t="s">
        <v>656</v>
      </c>
      <c r="L181" s="47" t="s">
        <v>1281</v>
      </c>
      <c r="M181" s="66">
        <f>IFERROR(VLOOKUP($L181,[3]Consolidated!$C$9:$AC$452,27,0),0)</f>
        <v>10870960</v>
      </c>
      <c r="N181" s="66">
        <f>IFERROR(VLOOKUP($L181,[3]Consolidated!$C$9:$AC$452,5,0),0)</f>
        <v>50.000000000000007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4">
        <f>(VLOOKUP($O$2,Prices!$E$3:$K$17,2,FALSE)*O181)+(VLOOKUP($P$2,Prices!$J$3:$K$17,2,FALSE)*P181)+(VLOOKUP($Q$2,Prices!$J$3:$K$17,2,FALSE)*Q181)+(VLOOKUP($R$2,Prices!$J$3:$K$17,2,FALSE)*R181)+(VLOOKUP($S$2,Prices!$J$3:$K$17,2,FALSE)*S181)+(VLOOKUP($T$2,Prices!$J$3:$K$17,2,FALSE)*T181)+(VLOOKUP($U$2,Prices!$J$3:$K$17,2,FALSE)*U181)+(VLOOKUP($V$2,Prices!$J$3:$K$17,2,FALSE)*V181)+(VLOOKUP($W$2,Prices!$J$3:$K$17,2,FALSE)*W181)+(VLOOKUP($X$2,Prices!$J$3:$K$17,2,FALSE)*X181)+(VLOOKUP($Y$2,Prices!$J$3:$K$17,2,FALSE)*Y181)+(VLOOKUP($Z$2,Prices!$J$3:$K$17,2,FALSE)*Z181)+(VLOOKUP($AA$2,Prices!$J$3:$K$17,2,FALSE)*AA181)+(VLOOKUP($AB$2,Prices!$J$3:$K$17,2,FALSE)*AB181)+M181</f>
        <v>10870960</v>
      </c>
      <c r="AD181" s="69">
        <v>1651400</v>
      </c>
      <c r="AE181" s="18"/>
      <c r="AF181" s="4">
        <f t="shared" si="17"/>
        <v>1651400</v>
      </c>
      <c r="AG181" s="4"/>
      <c r="AH181" s="16">
        <f t="shared" si="18"/>
        <v>1651400</v>
      </c>
      <c r="AI181" s="21">
        <f t="shared" si="13"/>
        <v>0.15190930699772606</v>
      </c>
      <c r="AJ181" s="20">
        <f t="shared" si="19"/>
        <v>0.15190930699772606</v>
      </c>
      <c r="AK181" s="9"/>
    </row>
    <row r="182" spans="1:37" hidden="1">
      <c r="A182" s="3">
        <v>180</v>
      </c>
      <c r="B182" s="12"/>
      <c r="C182" s="13"/>
      <c r="D182" s="13"/>
      <c r="E182" s="13"/>
      <c r="F182" s="13"/>
      <c r="G182" s="13"/>
      <c r="H182" s="15"/>
      <c r="I182" s="45" t="s">
        <v>931</v>
      </c>
      <c r="J182" s="45" t="s">
        <v>1387</v>
      </c>
      <c r="K182" s="46" t="s">
        <v>656</v>
      </c>
      <c r="L182" s="47" t="s">
        <v>1282</v>
      </c>
      <c r="M182" s="66">
        <f>IFERROR(VLOOKUP($L182,[3]Consolidated!$C$9:$AC$452,27,0),0)</f>
        <v>1715140</v>
      </c>
      <c r="N182" s="66">
        <f>IFERROR(VLOOKUP($L182,[3]Consolidated!$C$9:$AC$452,5,0),0)</f>
        <v>9.9999999999999982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4">
        <f>(VLOOKUP($O$2,Prices!$E$3:$K$17,2,FALSE)*O182)+(VLOOKUP($P$2,Prices!$J$3:$K$17,2,FALSE)*P182)+(VLOOKUP($Q$2,Prices!$J$3:$K$17,2,FALSE)*Q182)+(VLOOKUP($R$2,Prices!$J$3:$K$17,2,FALSE)*R182)+(VLOOKUP($S$2,Prices!$J$3:$K$17,2,FALSE)*S182)+(VLOOKUP($T$2,Prices!$J$3:$K$17,2,FALSE)*T182)+(VLOOKUP($U$2,Prices!$J$3:$K$17,2,FALSE)*U182)+(VLOOKUP($V$2,Prices!$J$3:$K$17,2,FALSE)*V182)+(VLOOKUP($W$2,Prices!$J$3:$K$17,2,FALSE)*W182)+(VLOOKUP($X$2,Prices!$J$3:$K$17,2,FALSE)*X182)+(VLOOKUP($Y$2,Prices!$J$3:$K$17,2,FALSE)*Y182)+(VLOOKUP($Z$2,Prices!$J$3:$K$17,2,FALSE)*Z182)+(VLOOKUP($AA$2,Prices!$J$3:$K$17,2,FALSE)*AA182)+(VLOOKUP($AB$2,Prices!$J$3:$K$17,2,FALSE)*AB182)+M182</f>
        <v>1715140</v>
      </c>
      <c r="AD182" s="13">
        <v>0</v>
      </c>
      <c r="AE182" s="18"/>
      <c r="AF182" s="4">
        <f t="shared" si="17"/>
        <v>0</v>
      </c>
      <c r="AG182" s="4"/>
      <c r="AH182" s="16">
        <f t="shared" si="18"/>
        <v>0</v>
      </c>
      <c r="AI182" s="21">
        <f t="shared" si="13"/>
        <v>0</v>
      </c>
      <c r="AJ182" s="20">
        <f t="shared" si="19"/>
        <v>0</v>
      </c>
      <c r="AK182" s="9"/>
    </row>
    <row r="183" spans="1:37" hidden="1">
      <c r="A183" s="3">
        <v>181</v>
      </c>
      <c r="B183" s="12"/>
      <c r="C183" s="13"/>
      <c r="D183" s="13"/>
      <c r="E183" s="13"/>
      <c r="F183" s="13"/>
      <c r="G183" s="13"/>
      <c r="H183" s="15"/>
      <c r="I183" s="45" t="s">
        <v>932</v>
      </c>
      <c r="J183" s="45" t="s">
        <v>1387</v>
      </c>
      <c r="K183" s="46" t="s">
        <v>656</v>
      </c>
      <c r="L183" s="47" t="s">
        <v>1283</v>
      </c>
      <c r="M183" s="66">
        <f>IFERROR(VLOOKUP($L183,[3]Consolidated!$C$9:$AC$452,27,0),0)</f>
        <v>0</v>
      </c>
      <c r="N183" s="66">
        <f>IFERROR(VLOOKUP($L183,[3]Consolidated!$C$9:$AC$452,5,0),0)</f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4">
        <f>(VLOOKUP($O$2,Prices!$E$3:$K$17,2,FALSE)*O183)+(VLOOKUP($P$2,Prices!$J$3:$K$17,2,FALSE)*P183)+(VLOOKUP($Q$2,Prices!$J$3:$K$17,2,FALSE)*Q183)+(VLOOKUP($R$2,Prices!$J$3:$K$17,2,FALSE)*R183)+(VLOOKUP($S$2,Prices!$J$3:$K$17,2,FALSE)*S183)+(VLOOKUP($T$2,Prices!$J$3:$K$17,2,FALSE)*T183)+(VLOOKUP($U$2,Prices!$J$3:$K$17,2,FALSE)*U183)+(VLOOKUP($V$2,Prices!$J$3:$K$17,2,FALSE)*V183)+(VLOOKUP($W$2,Prices!$J$3:$K$17,2,FALSE)*W183)+(VLOOKUP($X$2,Prices!$J$3:$K$17,2,FALSE)*X183)+(VLOOKUP($Y$2,Prices!$J$3:$K$17,2,FALSE)*Y183)+(VLOOKUP($Z$2,Prices!$J$3:$K$17,2,FALSE)*Z183)+(VLOOKUP($AA$2,Prices!$J$3:$K$17,2,FALSE)*AA183)+(VLOOKUP($AB$2,Prices!$J$3:$K$17,2,FALSE)*AB183)+M183</f>
        <v>0</v>
      </c>
      <c r="AD183" s="13">
        <v>0</v>
      </c>
      <c r="AE183" s="18"/>
      <c r="AF183" s="4">
        <f t="shared" si="17"/>
        <v>0</v>
      </c>
      <c r="AG183" s="4"/>
      <c r="AH183" s="16">
        <f t="shared" si="18"/>
        <v>0</v>
      </c>
      <c r="AI183" s="21" t="e">
        <f t="shared" si="13"/>
        <v>#DIV/0!</v>
      </c>
      <c r="AJ183" s="20" t="e">
        <f t="shared" si="19"/>
        <v>#DIV/0!</v>
      </c>
      <c r="AK183" s="9"/>
    </row>
    <row r="184" spans="1:37" hidden="1">
      <c r="A184" s="3">
        <v>182</v>
      </c>
      <c r="B184" s="12"/>
      <c r="C184" s="13"/>
      <c r="D184" s="13"/>
      <c r="E184" s="13"/>
      <c r="F184" s="13"/>
      <c r="G184" s="13"/>
      <c r="H184" s="15"/>
      <c r="I184" s="45" t="s">
        <v>933</v>
      </c>
      <c r="J184" s="45" t="s">
        <v>1387</v>
      </c>
      <c r="K184" s="46" t="s">
        <v>656</v>
      </c>
      <c r="L184" s="47" t="s">
        <v>1284</v>
      </c>
      <c r="M184" s="66">
        <f>IFERROR(VLOOKUP($L184,[3]Consolidated!$C$9:$AC$452,27,0),0)</f>
        <v>0</v>
      </c>
      <c r="N184" s="66">
        <f>IFERROR(VLOOKUP($L184,[3]Consolidated!$C$9:$AC$452,5,0),0)</f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4">
        <f>(VLOOKUP($O$2,Prices!$E$3:$K$17,2,FALSE)*O184)+(VLOOKUP($P$2,Prices!$J$3:$K$17,2,FALSE)*P184)+(VLOOKUP($Q$2,Prices!$J$3:$K$17,2,FALSE)*Q184)+(VLOOKUP($R$2,Prices!$J$3:$K$17,2,FALSE)*R184)+(VLOOKUP($S$2,Prices!$J$3:$K$17,2,FALSE)*S184)+(VLOOKUP($T$2,Prices!$J$3:$K$17,2,FALSE)*T184)+(VLOOKUP($U$2,Prices!$J$3:$K$17,2,FALSE)*U184)+(VLOOKUP($V$2,Prices!$J$3:$K$17,2,FALSE)*V184)+(VLOOKUP($W$2,Prices!$J$3:$K$17,2,FALSE)*W184)+(VLOOKUP($X$2,Prices!$J$3:$K$17,2,FALSE)*X184)+(VLOOKUP($Y$2,Prices!$J$3:$K$17,2,FALSE)*Y184)+(VLOOKUP($Z$2,Prices!$J$3:$K$17,2,FALSE)*Z184)+(VLOOKUP($AA$2,Prices!$J$3:$K$17,2,FALSE)*AA184)+(VLOOKUP($AB$2,Prices!$J$3:$K$17,2,FALSE)*AB184)+M184</f>
        <v>0</v>
      </c>
      <c r="AD184" s="13">
        <v>0</v>
      </c>
      <c r="AE184" s="18"/>
      <c r="AF184" s="4">
        <f t="shared" si="17"/>
        <v>0</v>
      </c>
      <c r="AG184" s="4"/>
      <c r="AH184" s="16">
        <f t="shared" si="18"/>
        <v>0</v>
      </c>
      <c r="AI184" s="21" t="e">
        <f t="shared" si="13"/>
        <v>#DIV/0!</v>
      </c>
      <c r="AJ184" s="20" t="e">
        <f t="shared" si="19"/>
        <v>#DIV/0!</v>
      </c>
      <c r="AK184" s="9"/>
    </row>
    <row r="185" spans="1:37" hidden="1">
      <c r="A185" s="3">
        <v>183</v>
      </c>
      <c r="B185" s="12"/>
      <c r="C185" s="13"/>
      <c r="D185" s="13"/>
      <c r="E185" s="13"/>
      <c r="F185" s="13"/>
      <c r="G185" s="13"/>
      <c r="H185" s="15"/>
      <c r="I185" s="45" t="s">
        <v>934</v>
      </c>
      <c r="J185" s="45" t="s">
        <v>1387</v>
      </c>
      <c r="K185" s="46" t="s">
        <v>656</v>
      </c>
      <c r="L185" s="47" t="s">
        <v>1285</v>
      </c>
      <c r="M185" s="66">
        <f>IFERROR(VLOOKUP($L185,[3]Consolidated!$C$9:$AC$452,27,0),0)</f>
        <v>3957000</v>
      </c>
      <c r="N185" s="66">
        <f>IFERROR(VLOOKUP($L185,[3]Consolidated!$C$9:$AC$452,5,0),0)</f>
        <v>20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4">
        <f>(VLOOKUP($O$2,Prices!$E$3:$K$17,2,FALSE)*O185)+(VLOOKUP($P$2,Prices!$J$3:$K$17,2,FALSE)*P185)+(VLOOKUP($Q$2,Prices!$J$3:$K$17,2,FALSE)*Q185)+(VLOOKUP($R$2,Prices!$J$3:$K$17,2,FALSE)*R185)+(VLOOKUP($S$2,Prices!$J$3:$K$17,2,FALSE)*S185)+(VLOOKUP($T$2,Prices!$J$3:$K$17,2,FALSE)*T185)+(VLOOKUP($U$2,Prices!$J$3:$K$17,2,FALSE)*U185)+(VLOOKUP($V$2,Prices!$J$3:$K$17,2,FALSE)*V185)+(VLOOKUP($W$2,Prices!$J$3:$K$17,2,FALSE)*W185)+(VLOOKUP($X$2,Prices!$J$3:$K$17,2,FALSE)*X185)+(VLOOKUP($Y$2,Prices!$J$3:$K$17,2,FALSE)*Y185)+(VLOOKUP($Z$2,Prices!$J$3:$K$17,2,FALSE)*Z185)+(VLOOKUP($AA$2,Prices!$J$3:$K$17,2,FALSE)*AA185)+(VLOOKUP($AB$2,Prices!$J$3:$K$17,2,FALSE)*AB185)+M185</f>
        <v>3957000</v>
      </c>
      <c r="AD185" s="13">
        <v>0</v>
      </c>
      <c r="AE185" s="18"/>
      <c r="AF185" s="4">
        <f t="shared" si="17"/>
        <v>0</v>
      </c>
      <c r="AG185" s="4"/>
      <c r="AH185" s="16">
        <f t="shared" si="18"/>
        <v>0</v>
      </c>
      <c r="AI185" s="21">
        <f t="shared" si="13"/>
        <v>0</v>
      </c>
      <c r="AJ185" s="20">
        <f t="shared" si="19"/>
        <v>0</v>
      </c>
      <c r="AK185" s="9"/>
    </row>
    <row r="186" spans="1:37" hidden="1">
      <c r="A186" s="3">
        <v>184</v>
      </c>
      <c r="B186" s="12"/>
      <c r="C186" s="13"/>
      <c r="D186" s="13"/>
      <c r="E186" s="13"/>
      <c r="F186" s="13"/>
      <c r="G186" s="13"/>
      <c r="H186" s="15"/>
      <c r="I186" s="45" t="s">
        <v>935</v>
      </c>
      <c r="J186" s="45" t="s">
        <v>1387</v>
      </c>
      <c r="K186" s="46" t="s">
        <v>656</v>
      </c>
      <c r="L186" s="47" t="s">
        <v>1286</v>
      </c>
      <c r="M186" s="66">
        <f>IFERROR(VLOOKUP($L186,[3]Consolidated!$C$9:$AC$452,27,0),0)</f>
        <v>2751940</v>
      </c>
      <c r="N186" s="66">
        <f>IFERROR(VLOOKUP($L186,[3]Consolidated!$C$9:$AC$452,5,0),0)</f>
        <v>11.999999999999998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4">
        <f>(VLOOKUP($O$2,Prices!$E$3:$K$17,2,FALSE)*O186)+(VLOOKUP($P$2,Prices!$J$3:$K$17,2,FALSE)*P186)+(VLOOKUP($Q$2,Prices!$J$3:$K$17,2,FALSE)*Q186)+(VLOOKUP($R$2,Prices!$J$3:$K$17,2,FALSE)*R186)+(VLOOKUP($S$2,Prices!$J$3:$K$17,2,FALSE)*S186)+(VLOOKUP($T$2,Prices!$J$3:$K$17,2,FALSE)*T186)+(VLOOKUP($U$2,Prices!$J$3:$K$17,2,FALSE)*U186)+(VLOOKUP($V$2,Prices!$J$3:$K$17,2,FALSE)*V186)+(VLOOKUP($W$2,Prices!$J$3:$K$17,2,FALSE)*W186)+(VLOOKUP($X$2,Prices!$J$3:$K$17,2,FALSE)*X186)+(VLOOKUP($Y$2,Prices!$J$3:$K$17,2,FALSE)*Y186)+(VLOOKUP($Z$2,Prices!$J$3:$K$17,2,FALSE)*Z186)+(VLOOKUP($AA$2,Prices!$J$3:$K$17,2,FALSE)*AA186)+(VLOOKUP($AB$2,Prices!$J$3:$K$17,2,FALSE)*AB186)+M186</f>
        <v>2751940</v>
      </c>
      <c r="AD186" s="69">
        <v>645400</v>
      </c>
      <c r="AE186" s="18"/>
      <c r="AF186" s="4">
        <f t="shared" si="17"/>
        <v>645400</v>
      </c>
      <c r="AG186" s="4"/>
      <c r="AH186" s="16">
        <f t="shared" si="18"/>
        <v>645400</v>
      </c>
      <c r="AI186" s="21">
        <f t="shared" si="13"/>
        <v>0.23452546203768979</v>
      </c>
      <c r="AJ186" s="20">
        <f t="shared" si="19"/>
        <v>0.23452546203768979</v>
      </c>
      <c r="AK186" s="19"/>
    </row>
    <row r="187" spans="1:37" hidden="1">
      <c r="A187" s="3">
        <v>185</v>
      </c>
      <c r="B187" s="12"/>
      <c r="C187" s="13"/>
      <c r="D187" s="13"/>
      <c r="E187" s="13"/>
      <c r="F187" s="13"/>
      <c r="G187" s="13"/>
      <c r="H187" s="15"/>
      <c r="I187" s="45" t="s">
        <v>936</v>
      </c>
      <c r="J187" s="45" t="s">
        <v>1387</v>
      </c>
      <c r="K187" s="46" t="s">
        <v>656</v>
      </c>
      <c r="L187" s="47" t="s">
        <v>1287</v>
      </c>
      <c r="M187" s="66">
        <f>IFERROR(VLOOKUP($L187,[3]Consolidated!$C$9:$AC$452,27,0),0)</f>
        <v>0</v>
      </c>
      <c r="N187" s="66">
        <f>IFERROR(VLOOKUP($L187,[3]Consolidated!$C$9:$AC$452,5,0),0)</f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4">
        <f>(VLOOKUP($O$2,Prices!$E$3:$K$17,2,FALSE)*O187)+(VLOOKUP($P$2,Prices!$J$3:$K$17,2,FALSE)*P187)+(VLOOKUP($Q$2,Prices!$J$3:$K$17,2,FALSE)*Q187)+(VLOOKUP($R$2,Prices!$J$3:$K$17,2,FALSE)*R187)+(VLOOKUP($S$2,Prices!$J$3:$K$17,2,FALSE)*S187)+(VLOOKUP($T$2,Prices!$J$3:$K$17,2,FALSE)*T187)+(VLOOKUP($U$2,Prices!$J$3:$K$17,2,FALSE)*U187)+(VLOOKUP($V$2,Prices!$J$3:$K$17,2,FALSE)*V187)+(VLOOKUP($W$2,Prices!$J$3:$K$17,2,FALSE)*W187)+(VLOOKUP($X$2,Prices!$J$3:$K$17,2,FALSE)*X187)+(VLOOKUP($Y$2,Prices!$J$3:$K$17,2,FALSE)*Y187)+(VLOOKUP($Z$2,Prices!$J$3:$K$17,2,FALSE)*Z187)+(VLOOKUP($AA$2,Prices!$J$3:$K$17,2,FALSE)*AA187)+(VLOOKUP($AB$2,Prices!$J$3:$K$17,2,FALSE)*AB187)+M187</f>
        <v>0</v>
      </c>
      <c r="AD187" s="13">
        <v>0</v>
      </c>
      <c r="AE187" s="18"/>
      <c r="AF187" s="4">
        <f t="shared" si="17"/>
        <v>0</v>
      </c>
      <c r="AG187" s="4"/>
      <c r="AH187" s="16">
        <f t="shared" si="18"/>
        <v>0</v>
      </c>
      <c r="AI187" s="21" t="e">
        <f t="shared" si="13"/>
        <v>#DIV/0!</v>
      </c>
      <c r="AJ187" s="20" t="e">
        <f t="shared" si="19"/>
        <v>#DIV/0!</v>
      </c>
      <c r="AK187" s="9"/>
    </row>
    <row r="188" spans="1:37" hidden="1">
      <c r="A188" s="3">
        <v>186</v>
      </c>
      <c r="B188" s="12"/>
      <c r="C188" s="13"/>
      <c r="D188" s="13"/>
      <c r="E188" s="13"/>
      <c r="F188" s="13"/>
      <c r="G188" s="13"/>
      <c r="H188" s="15"/>
      <c r="I188" s="45" t="s">
        <v>937</v>
      </c>
      <c r="J188" s="45" t="s">
        <v>1387</v>
      </c>
      <c r="K188" s="46" t="s">
        <v>656</v>
      </c>
      <c r="L188" s="47" t="s">
        <v>1288</v>
      </c>
      <c r="M188" s="66">
        <f>IFERROR(VLOOKUP($L188,[3]Consolidated!$C$9:$AC$452,27,0),0)</f>
        <v>9138520</v>
      </c>
      <c r="N188" s="66">
        <f>IFERROR(VLOOKUP($L188,[3]Consolidated!$C$9:$AC$452,5,0),0)</f>
        <v>40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4">
        <f>(VLOOKUP($O$2,Prices!$E$3:$K$17,2,FALSE)*O188)+(VLOOKUP($P$2,Prices!$J$3:$K$17,2,FALSE)*P188)+(VLOOKUP($Q$2,Prices!$J$3:$K$17,2,FALSE)*Q188)+(VLOOKUP($R$2,Prices!$J$3:$K$17,2,FALSE)*R188)+(VLOOKUP($S$2,Prices!$J$3:$K$17,2,FALSE)*S188)+(VLOOKUP($T$2,Prices!$J$3:$K$17,2,FALSE)*T188)+(VLOOKUP($U$2,Prices!$J$3:$K$17,2,FALSE)*U188)+(VLOOKUP($V$2,Prices!$J$3:$K$17,2,FALSE)*V188)+(VLOOKUP($W$2,Prices!$J$3:$K$17,2,FALSE)*W188)+(VLOOKUP($X$2,Prices!$J$3:$K$17,2,FALSE)*X188)+(VLOOKUP($Y$2,Prices!$J$3:$K$17,2,FALSE)*Y188)+(VLOOKUP($Z$2,Prices!$J$3:$K$17,2,FALSE)*Z188)+(VLOOKUP($AA$2,Prices!$J$3:$K$17,2,FALSE)*AA188)+(VLOOKUP($AB$2,Prices!$J$3:$K$17,2,FALSE)*AB188)+M188</f>
        <v>9138520</v>
      </c>
      <c r="AD188" s="69">
        <v>2801500</v>
      </c>
      <c r="AE188" s="18"/>
      <c r="AF188" s="4">
        <f t="shared" si="17"/>
        <v>2801500</v>
      </c>
      <c r="AG188" s="4"/>
      <c r="AH188" s="16">
        <f t="shared" si="18"/>
        <v>2801500</v>
      </c>
      <c r="AI188" s="21">
        <f t="shared" si="13"/>
        <v>0.30655948665648269</v>
      </c>
      <c r="AJ188" s="20">
        <f t="shared" si="19"/>
        <v>0.30655948665648269</v>
      </c>
      <c r="AK188" s="9"/>
    </row>
    <row r="189" spans="1:37" hidden="1">
      <c r="A189" s="3">
        <v>187</v>
      </c>
      <c r="B189" s="12"/>
      <c r="C189" s="13"/>
      <c r="D189" s="13"/>
      <c r="E189" s="13"/>
      <c r="F189" s="13"/>
      <c r="G189" s="13"/>
      <c r="H189" s="15"/>
      <c r="I189" s="45" t="s">
        <v>938</v>
      </c>
      <c r="J189" s="45" t="s">
        <v>1387</v>
      </c>
      <c r="K189" s="46" t="s">
        <v>656</v>
      </c>
      <c r="L189" s="47" t="s">
        <v>1289</v>
      </c>
      <c r="M189" s="66">
        <f>IFERROR(VLOOKUP($L189,[3]Consolidated!$C$9:$AC$452,27,0),0)</f>
        <v>8092975</v>
      </c>
      <c r="N189" s="66">
        <f>IFERROR(VLOOKUP($L189,[3]Consolidated!$C$9:$AC$452,5,0),0)</f>
        <v>35.950000000000003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4">
        <f>(VLOOKUP($O$2,Prices!$E$3:$K$17,2,FALSE)*O189)+(VLOOKUP($P$2,Prices!$J$3:$K$17,2,FALSE)*P189)+(VLOOKUP($Q$2,Prices!$J$3:$K$17,2,FALSE)*Q189)+(VLOOKUP($R$2,Prices!$J$3:$K$17,2,FALSE)*R189)+(VLOOKUP($S$2,Prices!$J$3:$K$17,2,FALSE)*S189)+(VLOOKUP($T$2,Prices!$J$3:$K$17,2,FALSE)*T189)+(VLOOKUP($U$2,Prices!$J$3:$K$17,2,FALSE)*U189)+(VLOOKUP($V$2,Prices!$J$3:$K$17,2,FALSE)*V189)+(VLOOKUP($W$2,Prices!$J$3:$K$17,2,FALSE)*W189)+(VLOOKUP($X$2,Prices!$J$3:$K$17,2,FALSE)*X189)+(VLOOKUP($Y$2,Prices!$J$3:$K$17,2,FALSE)*Y189)+(VLOOKUP($Z$2,Prices!$J$3:$K$17,2,FALSE)*Z189)+(VLOOKUP($AA$2,Prices!$J$3:$K$17,2,FALSE)*AA189)+(VLOOKUP($AB$2,Prices!$J$3:$K$17,2,FALSE)*AB189)+M189</f>
        <v>8092975</v>
      </c>
      <c r="AD189" s="69">
        <v>1283250</v>
      </c>
      <c r="AE189" s="18"/>
      <c r="AF189" s="4">
        <f t="shared" si="17"/>
        <v>1283250</v>
      </c>
      <c r="AG189" s="4"/>
      <c r="AH189" s="16">
        <f t="shared" si="18"/>
        <v>1283250</v>
      </c>
      <c r="AI189" s="21">
        <f t="shared" si="13"/>
        <v>0.15856344545732565</v>
      </c>
      <c r="AJ189" s="20">
        <f t="shared" si="19"/>
        <v>0.15856344545732565</v>
      </c>
      <c r="AK189" s="9"/>
    </row>
    <row r="190" spans="1:37" hidden="1">
      <c r="A190" s="3">
        <v>188</v>
      </c>
      <c r="B190" s="12"/>
      <c r="C190" s="13"/>
      <c r="D190" s="13"/>
      <c r="E190" s="13"/>
      <c r="F190" s="13"/>
      <c r="G190" s="13"/>
      <c r="H190" s="15"/>
      <c r="I190" s="45" t="s">
        <v>939</v>
      </c>
      <c r="J190" s="45" t="s">
        <v>1387</v>
      </c>
      <c r="K190" s="46" t="s">
        <v>656</v>
      </c>
      <c r="L190" s="47" t="s">
        <v>1290</v>
      </c>
      <c r="M190" s="66">
        <f>IFERROR(VLOOKUP($L190,[3]Consolidated!$C$9:$AC$452,27,0),0)</f>
        <v>3985100</v>
      </c>
      <c r="N190" s="66">
        <f>IFERROR(VLOOKUP($L190,[3]Consolidated!$C$9:$AC$452,5,0),0)</f>
        <v>26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4">
        <f>(VLOOKUP($O$2,Prices!$E$3:$K$17,2,FALSE)*O190)+(VLOOKUP($P$2,Prices!$J$3:$K$17,2,FALSE)*P190)+(VLOOKUP($Q$2,Prices!$J$3:$K$17,2,FALSE)*Q190)+(VLOOKUP($R$2,Prices!$J$3:$K$17,2,FALSE)*R190)+(VLOOKUP($S$2,Prices!$J$3:$K$17,2,FALSE)*S190)+(VLOOKUP($T$2,Prices!$J$3:$K$17,2,FALSE)*T190)+(VLOOKUP($U$2,Prices!$J$3:$K$17,2,FALSE)*U190)+(VLOOKUP($V$2,Prices!$J$3:$K$17,2,FALSE)*V190)+(VLOOKUP($W$2,Prices!$J$3:$K$17,2,FALSE)*W190)+(VLOOKUP($X$2,Prices!$J$3:$K$17,2,FALSE)*X190)+(VLOOKUP($Y$2,Prices!$J$3:$K$17,2,FALSE)*Y190)+(VLOOKUP($Z$2,Prices!$J$3:$K$17,2,FALSE)*Z190)+(VLOOKUP($AA$2,Prices!$J$3:$K$17,2,FALSE)*AA190)+(VLOOKUP($AB$2,Prices!$J$3:$K$17,2,FALSE)*AB190)+M190</f>
        <v>3985100</v>
      </c>
      <c r="AD190" s="69">
        <v>1332350</v>
      </c>
      <c r="AE190" s="18"/>
      <c r="AF190" s="4">
        <f t="shared" si="17"/>
        <v>1332350</v>
      </c>
      <c r="AG190" s="4"/>
      <c r="AH190" s="16">
        <f t="shared" si="18"/>
        <v>1332350</v>
      </c>
      <c r="AI190" s="21">
        <f t="shared" si="13"/>
        <v>0.33433289001530703</v>
      </c>
      <c r="AJ190" s="20">
        <f t="shared" si="19"/>
        <v>0.33433289001530703</v>
      </c>
      <c r="AK190" s="9"/>
    </row>
    <row r="191" spans="1:37" hidden="1">
      <c r="A191" s="3">
        <v>189</v>
      </c>
      <c r="B191" s="12"/>
      <c r="C191" s="13"/>
      <c r="D191" s="13"/>
      <c r="E191" s="13"/>
      <c r="F191" s="13"/>
      <c r="G191" s="13"/>
      <c r="H191" s="15"/>
      <c r="I191" s="45" t="s">
        <v>940</v>
      </c>
      <c r="J191" s="45" t="s">
        <v>1387</v>
      </c>
      <c r="K191" s="46" t="s">
        <v>657</v>
      </c>
      <c r="L191" s="47" t="s">
        <v>1291</v>
      </c>
      <c r="M191" s="66">
        <f>IFERROR(VLOOKUP($L191,[3]Consolidated!$C$9:$AC$452,27,0),0)</f>
        <v>19668000</v>
      </c>
      <c r="N191" s="66">
        <f>IFERROR(VLOOKUP($L191,[3]Consolidated!$C$9:$AC$452,5,0),0)</f>
        <v>80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4">
        <f>(VLOOKUP($O$2,Prices!$E$3:$K$17,2,FALSE)*O191)+(VLOOKUP($P$2,Prices!$J$3:$K$17,2,FALSE)*P191)+(VLOOKUP($Q$2,Prices!$J$3:$K$17,2,FALSE)*Q191)+(VLOOKUP($R$2,Prices!$J$3:$K$17,2,FALSE)*R191)+(VLOOKUP($S$2,Prices!$J$3:$K$17,2,FALSE)*S191)+(VLOOKUP($T$2,Prices!$J$3:$K$17,2,FALSE)*T191)+(VLOOKUP($U$2,Prices!$J$3:$K$17,2,FALSE)*U191)+(VLOOKUP($V$2,Prices!$J$3:$K$17,2,FALSE)*V191)+(VLOOKUP($W$2,Prices!$J$3:$K$17,2,FALSE)*W191)+(VLOOKUP($X$2,Prices!$J$3:$K$17,2,FALSE)*X191)+(VLOOKUP($Y$2,Prices!$J$3:$K$17,2,FALSE)*Y191)+(VLOOKUP($Z$2,Prices!$J$3:$K$17,2,FALSE)*Z191)+(VLOOKUP($AA$2,Prices!$J$3:$K$17,2,FALSE)*AA191)+(VLOOKUP($AB$2,Prices!$J$3:$K$17,2,FALSE)*AB191)+M191</f>
        <v>19668000</v>
      </c>
      <c r="AD191" s="69">
        <v>2412500</v>
      </c>
      <c r="AE191" s="18"/>
      <c r="AF191" s="4">
        <f t="shared" si="17"/>
        <v>2412500</v>
      </c>
      <c r="AG191" s="4"/>
      <c r="AH191" s="16">
        <f t="shared" si="18"/>
        <v>2412500</v>
      </c>
      <c r="AI191" s="21">
        <f t="shared" si="13"/>
        <v>0.12266117551352451</v>
      </c>
      <c r="AJ191" s="20">
        <f t="shared" si="19"/>
        <v>0.12266117551352451</v>
      </c>
      <c r="AK191" s="9"/>
    </row>
    <row r="192" spans="1:37" hidden="1">
      <c r="A192" s="3">
        <v>190</v>
      </c>
      <c r="B192" s="12"/>
      <c r="C192" s="13"/>
      <c r="D192" s="13"/>
      <c r="E192" s="13"/>
      <c r="F192" s="13"/>
      <c r="G192" s="13"/>
      <c r="H192" s="15"/>
      <c r="I192" s="45" t="s">
        <v>941</v>
      </c>
      <c r="J192" s="45" t="s">
        <v>1387</v>
      </c>
      <c r="K192" s="46" t="s">
        <v>657</v>
      </c>
      <c r="L192" s="47" t="s">
        <v>1292</v>
      </c>
      <c r="M192" s="66">
        <f>IFERROR(VLOOKUP($L192,[3]Consolidated!$C$9:$AC$452,27,0),0)</f>
        <v>8716500</v>
      </c>
      <c r="N192" s="66">
        <f>IFERROR(VLOOKUP($L192,[3]Consolidated!$C$9:$AC$452,5,0),0)</f>
        <v>35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4">
        <f>(VLOOKUP($O$2,Prices!$E$3:$K$17,2,FALSE)*O192)+(VLOOKUP($P$2,Prices!$J$3:$K$17,2,FALSE)*P192)+(VLOOKUP($Q$2,Prices!$J$3:$K$17,2,FALSE)*Q192)+(VLOOKUP($R$2,Prices!$J$3:$K$17,2,FALSE)*R192)+(VLOOKUP($S$2,Prices!$J$3:$K$17,2,FALSE)*S192)+(VLOOKUP($T$2,Prices!$J$3:$K$17,2,FALSE)*T192)+(VLOOKUP($U$2,Prices!$J$3:$K$17,2,FALSE)*U192)+(VLOOKUP($V$2,Prices!$J$3:$K$17,2,FALSE)*V192)+(VLOOKUP($W$2,Prices!$J$3:$K$17,2,FALSE)*W192)+(VLOOKUP($X$2,Prices!$J$3:$K$17,2,FALSE)*X192)+(VLOOKUP($Y$2,Prices!$J$3:$K$17,2,FALSE)*Y192)+(VLOOKUP($Z$2,Prices!$J$3:$K$17,2,FALSE)*Z192)+(VLOOKUP($AA$2,Prices!$J$3:$K$17,2,FALSE)*AA192)+(VLOOKUP($AB$2,Prices!$J$3:$K$17,2,FALSE)*AB192)+M192</f>
        <v>8716500</v>
      </c>
      <c r="AD192" s="69">
        <v>1294500</v>
      </c>
      <c r="AE192" s="18"/>
      <c r="AF192" s="4">
        <f t="shared" si="17"/>
        <v>1294500</v>
      </c>
      <c r="AG192" s="4"/>
      <c r="AH192" s="16">
        <f t="shared" si="18"/>
        <v>1294500</v>
      </c>
      <c r="AI192" s="21">
        <f t="shared" si="13"/>
        <v>0.14851144381345724</v>
      </c>
      <c r="AJ192" s="20">
        <f t="shared" si="19"/>
        <v>0.14851144381345724</v>
      </c>
      <c r="AK192" s="9"/>
    </row>
    <row r="193" spans="1:37" hidden="1">
      <c r="A193" s="3">
        <v>191</v>
      </c>
      <c r="B193" s="12"/>
      <c r="C193" s="13"/>
      <c r="D193" s="13"/>
      <c r="E193" s="13"/>
      <c r="F193" s="13"/>
      <c r="G193" s="13"/>
      <c r="H193" s="15"/>
      <c r="I193" s="45" t="s">
        <v>942</v>
      </c>
      <c r="J193" s="45" t="s">
        <v>1387</v>
      </c>
      <c r="K193" s="46" t="s">
        <v>657</v>
      </c>
      <c r="L193" s="47" t="s">
        <v>1293</v>
      </c>
      <c r="M193" s="66">
        <f>IFERROR(VLOOKUP($L193,[3]Consolidated!$C$9:$AC$452,27,0),0)</f>
        <v>3626500</v>
      </c>
      <c r="N193" s="66">
        <f>IFERROR(VLOOKUP($L193,[3]Consolidated!$C$9:$AC$452,5,0),0)</f>
        <v>15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4">
        <f>(VLOOKUP($O$2,Prices!$E$3:$K$17,2,FALSE)*O193)+(VLOOKUP($P$2,Prices!$J$3:$K$17,2,FALSE)*P193)+(VLOOKUP($Q$2,Prices!$J$3:$K$17,2,FALSE)*Q193)+(VLOOKUP($R$2,Prices!$J$3:$K$17,2,FALSE)*R193)+(VLOOKUP($S$2,Prices!$J$3:$K$17,2,FALSE)*S193)+(VLOOKUP($T$2,Prices!$J$3:$K$17,2,FALSE)*T193)+(VLOOKUP($U$2,Prices!$J$3:$K$17,2,FALSE)*U193)+(VLOOKUP($V$2,Prices!$J$3:$K$17,2,FALSE)*V193)+(VLOOKUP($W$2,Prices!$J$3:$K$17,2,FALSE)*W193)+(VLOOKUP($X$2,Prices!$J$3:$K$17,2,FALSE)*X193)+(VLOOKUP($Y$2,Prices!$J$3:$K$17,2,FALSE)*Y193)+(VLOOKUP($Z$2,Prices!$J$3:$K$17,2,FALSE)*Z193)+(VLOOKUP($AA$2,Prices!$J$3:$K$17,2,FALSE)*AA193)+(VLOOKUP($AB$2,Prices!$J$3:$K$17,2,FALSE)*AB193)+M193</f>
        <v>3626500</v>
      </c>
      <c r="AD193" s="69">
        <v>680500</v>
      </c>
      <c r="AE193" s="18"/>
      <c r="AF193" s="4">
        <f t="shared" si="17"/>
        <v>680500</v>
      </c>
      <c r="AG193" s="4"/>
      <c r="AH193" s="16">
        <f t="shared" si="18"/>
        <v>680500</v>
      </c>
      <c r="AI193" s="21">
        <f t="shared" si="13"/>
        <v>0.18764649110712808</v>
      </c>
      <c r="AJ193" s="20">
        <f t="shared" si="19"/>
        <v>0.18764649110712808</v>
      </c>
      <c r="AK193" s="9"/>
    </row>
    <row r="194" spans="1:37" hidden="1">
      <c r="A194" s="3">
        <v>192</v>
      </c>
      <c r="B194" s="12"/>
      <c r="C194" s="13"/>
      <c r="D194" s="13"/>
      <c r="E194" s="13"/>
      <c r="F194" s="13"/>
      <c r="G194" s="13"/>
      <c r="H194" s="15"/>
      <c r="I194" s="45" t="s">
        <v>943</v>
      </c>
      <c r="J194" s="45" t="s">
        <v>1387</v>
      </c>
      <c r="K194" s="46" t="s">
        <v>657</v>
      </c>
      <c r="L194" s="47" t="s">
        <v>1294</v>
      </c>
      <c r="M194" s="66">
        <f>IFERROR(VLOOKUP($L194,[3]Consolidated!$C$9:$AC$452,27,0),0)</f>
        <v>10024000</v>
      </c>
      <c r="N194" s="66">
        <f>IFERROR(VLOOKUP($L194,[3]Consolidated!$C$9:$AC$452,5,0),0)</f>
        <v>40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4">
        <f>(VLOOKUP($O$2,Prices!$E$3:$K$17,2,FALSE)*O194)+(VLOOKUP($P$2,Prices!$J$3:$K$17,2,FALSE)*P194)+(VLOOKUP($Q$2,Prices!$J$3:$K$17,2,FALSE)*Q194)+(VLOOKUP($R$2,Prices!$J$3:$K$17,2,FALSE)*R194)+(VLOOKUP($S$2,Prices!$J$3:$K$17,2,FALSE)*S194)+(VLOOKUP($T$2,Prices!$J$3:$K$17,2,FALSE)*T194)+(VLOOKUP($U$2,Prices!$J$3:$K$17,2,FALSE)*U194)+(VLOOKUP($V$2,Prices!$J$3:$K$17,2,FALSE)*V194)+(VLOOKUP($W$2,Prices!$J$3:$K$17,2,FALSE)*W194)+(VLOOKUP($X$2,Prices!$J$3:$K$17,2,FALSE)*X194)+(VLOOKUP($Y$2,Prices!$J$3:$K$17,2,FALSE)*Y194)+(VLOOKUP($Z$2,Prices!$J$3:$K$17,2,FALSE)*Z194)+(VLOOKUP($AA$2,Prices!$J$3:$K$17,2,FALSE)*AA194)+(VLOOKUP($AB$2,Prices!$J$3:$K$17,2,FALSE)*AB194)+M194</f>
        <v>10024000</v>
      </c>
      <c r="AD194" s="69">
        <v>1483000</v>
      </c>
      <c r="AE194" s="18"/>
      <c r="AF194" s="4">
        <f t="shared" si="17"/>
        <v>1483000</v>
      </c>
      <c r="AG194" s="4"/>
      <c r="AH194" s="16">
        <f t="shared" si="18"/>
        <v>1483000</v>
      </c>
      <c r="AI194" s="21">
        <f t="shared" si="13"/>
        <v>0.14794493216280927</v>
      </c>
      <c r="AJ194" s="20">
        <f t="shared" si="19"/>
        <v>0.14794493216280927</v>
      </c>
      <c r="AK194" s="9"/>
    </row>
    <row r="195" spans="1:37" hidden="1">
      <c r="A195" s="3">
        <v>193</v>
      </c>
      <c r="B195" s="12"/>
      <c r="C195" s="13"/>
      <c r="D195" s="13"/>
      <c r="E195" s="13"/>
      <c r="F195" s="13"/>
      <c r="G195" s="13"/>
      <c r="H195" s="15"/>
      <c r="I195" s="45" t="s">
        <v>944</v>
      </c>
      <c r="J195" s="45" t="s">
        <v>1387</v>
      </c>
      <c r="K195" s="46" t="s">
        <v>657</v>
      </c>
      <c r="L195" s="46" t="s">
        <v>1295</v>
      </c>
      <c r="M195" s="66">
        <f>IFERROR(VLOOKUP($L195,[3]Consolidated!$C$9:$AC$452,27,0),0)</f>
        <v>2376000</v>
      </c>
      <c r="N195" s="66">
        <f>IFERROR(VLOOKUP($L195,[3]Consolidated!$C$9:$AC$452,5,0),0)</f>
        <v>10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4">
        <f>(VLOOKUP($O$2,Prices!$E$3:$K$17,2,FALSE)*O195)+(VLOOKUP($P$2,Prices!$J$3:$K$17,2,FALSE)*P195)+(VLOOKUP($Q$2,Prices!$J$3:$K$17,2,FALSE)*Q195)+(VLOOKUP($R$2,Prices!$J$3:$K$17,2,FALSE)*R195)+(VLOOKUP($S$2,Prices!$J$3:$K$17,2,FALSE)*S195)+(VLOOKUP($T$2,Prices!$J$3:$K$17,2,FALSE)*T195)+(VLOOKUP($U$2,Prices!$J$3:$K$17,2,FALSE)*U195)+(VLOOKUP($V$2,Prices!$J$3:$K$17,2,FALSE)*V195)+(VLOOKUP($W$2,Prices!$J$3:$K$17,2,FALSE)*W195)+(VLOOKUP($X$2,Prices!$J$3:$K$17,2,FALSE)*X195)+(VLOOKUP($Y$2,Prices!$J$3:$K$17,2,FALSE)*Y195)+(VLOOKUP($Z$2,Prices!$J$3:$K$17,2,FALSE)*Z195)+(VLOOKUP($AA$2,Prices!$J$3:$K$17,2,FALSE)*AA195)+(VLOOKUP($AB$2,Prices!$J$3:$K$17,2,FALSE)*AB195)+M195</f>
        <v>2376000</v>
      </c>
      <c r="AD195" s="69">
        <v>831555.5</v>
      </c>
      <c r="AE195" s="18"/>
      <c r="AF195" s="4">
        <f t="shared" si="17"/>
        <v>831555.5</v>
      </c>
      <c r="AG195" s="4"/>
      <c r="AH195" s="16">
        <f t="shared" si="18"/>
        <v>831555.5</v>
      </c>
      <c r="AI195" s="21">
        <f t="shared" si="13"/>
        <v>0.34998127104377103</v>
      </c>
      <c r="AJ195" s="20">
        <f t="shared" si="19"/>
        <v>0.34998127104377103</v>
      </c>
      <c r="AK195" s="9"/>
    </row>
    <row r="196" spans="1:37" hidden="1">
      <c r="A196" s="3">
        <v>194</v>
      </c>
      <c r="B196" s="12"/>
      <c r="C196" s="13"/>
      <c r="D196" s="13"/>
      <c r="E196" s="13"/>
      <c r="F196" s="13"/>
      <c r="G196" s="13"/>
      <c r="H196" s="15"/>
      <c r="I196" s="45" t="s">
        <v>945</v>
      </c>
      <c r="J196" s="45" t="s">
        <v>1387</v>
      </c>
      <c r="K196" s="46" t="s">
        <v>658</v>
      </c>
      <c r="L196" s="46" t="s">
        <v>1296</v>
      </c>
      <c r="M196" s="66">
        <f>IFERROR(VLOOKUP($L196,[3]Consolidated!$C$9:$AC$452,27,0),0)</f>
        <v>0</v>
      </c>
      <c r="N196" s="66">
        <f>IFERROR(VLOOKUP($L196,[3]Consolidated!$C$9:$AC$452,5,0),0)</f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4">
        <f>(VLOOKUP($O$2,Prices!$E$3:$K$17,2,FALSE)*O196)+(VLOOKUP($P$2,Prices!$J$3:$K$17,2,FALSE)*P196)+(VLOOKUP($Q$2,Prices!$J$3:$K$17,2,FALSE)*Q196)+(VLOOKUP($R$2,Prices!$J$3:$K$17,2,FALSE)*R196)+(VLOOKUP($S$2,Prices!$J$3:$K$17,2,FALSE)*S196)+(VLOOKUP($T$2,Prices!$J$3:$K$17,2,FALSE)*T196)+(VLOOKUP($U$2,Prices!$J$3:$K$17,2,FALSE)*U196)+(VLOOKUP($V$2,Prices!$J$3:$K$17,2,FALSE)*V196)+(VLOOKUP($W$2,Prices!$J$3:$K$17,2,FALSE)*W196)+(VLOOKUP($X$2,Prices!$J$3:$K$17,2,FALSE)*X196)+(VLOOKUP($Y$2,Prices!$J$3:$K$17,2,FALSE)*Y196)+(VLOOKUP($Z$2,Prices!$J$3:$K$17,2,FALSE)*Z196)+(VLOOKUP($AA$2,Prices!$J$3:$K$17,2,FALSE)*AA196)+(VLOOKUP($AB$2,Prices!$J$3:$K$17,2,FALSE)*AB196)+M196</f>
        <v>0</v>
      </c>
      <c r="AD196" s="13">
        <v>0</v>
      </c>
      <c r="AE196" s="18"/>
      <c r="AF196" s="4">
        <f t="shared" si="17"/>
        <v>0</v>
      </c>
      <c r="AG196" s="4"/>
      <c r="AH196" s="16">
        <f t="shared" si="18"/>
        <v>0</v>
      </c>
      <c r="AI196" s="21" t="e">
        <f t="shared" ref="AI196:AI259" si="20">AH196/M196</f>
        <v>#DIV/0!</v>
      </c>
      <c r="AJ196" s="20" t="e">
        <f t="shared" si="19"/>
        <v>#DIV/0!</v>
      </c>
      <c r="AK196" s="9"/>
    </row>
    <row r="197" spans="1:37" hidden="1">
      <c r="A197" s="3">
        <v>195</v>
      </c>
      <c r="B197" s="12"/>
      <c r="C197" s="13"/>
      <c r="D197" s="13"/>
      <c r="E197" s="13"/>
      <c r="F197" s="13"/>
      <c r="G197" s="13"/>
      <c r="H197" s="15"/>
      <c r="I197" s="45" t="s">
        <v>946</v>
      </c>
      <c r="J197" s="45" t="s">
        <v>1387</v>
      </c>
      <c r="K197" s="46" t="s">
        <v>658</v>
      </c>
      <c r="L197" s="46" t="s">
        <v>1297</v>
      </c>
      <c r="M197" s="66">
        <f>IFERROR(VLOOKUP($L197,[3]Consolidated!$C$9:$AC$452,27,0),0)</f>
        <v>10004000</v>
      </c>
      <c r="N197" s="66">
        <f>IFERROR(VLOOKUP($L197,[3]Consolidated!$C$9:$AC$452,5,0),0)</f>
        <v>40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4">
        <f>(VLOOKUP($O$2,Prices!$E$3:$K$17,2,FALSE)*O197)+(VLOOKUP($P$2,Prices!$J$3:$K$17,2,FALSE)*P197)+(VLOOKUP($Q$2,Prices!$J$3:$K$17,2,FALSE)*Q197)+(VLOOKUP($R$2,Prices!$J$3:$K$17,2,FALSE)*R197)+(VLOOKUP($S$2,Prices!$J$3:$K$17,2,FALSE)*S197)+(VLOOKUP($T$2,Prices!$J$3:$K$17,2,FALSE)*T197)+(VLOOKUP($U$2,Prices!$J$3:$K$17,2,FALSE)*U197)+(VLOOKUP($V$2,Prices!$J$3:$K$17,2,FALSE)*V197)+(VLOOKUP($W$2,Prices!$J$3:$K$17,2,FALSE)*W197)+(VLOOKUP($X$2,Prices!$J$3:$K$17,2,FALSE)*X197)+(VLOOKUP($Y$2,Prices!$J$3:$K$17,2,FALSE)*Y197)+(VLOOKUP($Z$2,Prices!$J$3:$K$17,2,FALSE)*Z197)+(VLOOKUP($AA$2,Prices!$J$3:$K$17,2,FALSE)*AA197)+(VLOOKUP($AB$2,Prices!$J$3:$K$17,2,FALSE)*AB197)+M197</f>
        <v>10004000</v>
      </c>
      <c r="AD197" s="69">
        <v>2114500</v>
      </c>
      <c r="AE197" s="18"/>
      <c r="AF197" s="4">
        <f t="shared" si="17"/>
        <v>2114500</v>
      </c>
      <c r="AG197" s="4"/>
      <c r="AH197" s="16">
        <f t="shared" si="18"/>
        <v>2114500</v>
      </c>
      <c r="AI197" s="21">
        <f t="shared" si="20"/>
        <v>0.2113654538184726</v>
      </c>
      <c r="AJ197" s="20">
        <f t="shared" si="19"/>
        <v>0.2113654538184726</v>
      </c>
      <c r="AK197" s="9"/>
    </row>
    <row r="198" spans="1:37" hidden="1">
      <c r="A198" s="3">
        <v>196</v>
      </c>
      <c r="B198" s="12"/>
      <c r="C198" s="13"/>
      <c r="D198" s="13"/>
      <c r="E198" s="13"/>
      <c r="F198" s="13"/>
      <c r="G198" s="13"/>
      <c r="H198" s="15"/>
      <c r="I198" s="45" t="s">
        <v>948</v>
      </c>
      <c r="J198" s="45" t="s">
        <v>1387</v>
      </c>
      <c r="K198" s="46" t="s">
        <v>653</v>
      </c>
      <c r="L198" s="46" t="s">
        <v>1301</v>
      </c>
      <c r="M198" s="66">
        <f>IFERROR(VLOOKUP($L198,[3]Consolidated!$C$9:$AC$452,27,0),0)</f>
        <v>2876500</v>
      </c>
      <c r="N198" s="66">
        <f>IFERROR(VLOOKUP($L198,[3]Consolidated!$C$9:$AC$452,5,0),0)</f>
        <v>11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4">
        <f>(VLOOKUP($O$2,Prices!$E$3:$K$17,2,FALSE)*O198)+(VLOOKUP($P$2,Prices!$J$3:$K$17,2,FALSE)*P198)+(VLOOKUP($Q$2,Prices!$J$3:$K$17,2,FALSE)*Q198)+(VLOOKUP($R$2,Prices!$J$3:$K$17,2,FALSE)*R198)+(VLOOKUP($S$2,Prices!$J$3:$K$17,2,FALSE)*S198)+(VLOOKUP($T$2,Prices!$J$3:$K$17,2,FALSE)*T198)+(VLOOKUP($U$2,Prices!$J$3:$K$17,2,FALSE)*U198)+(VLOOKUP($V$2,Prices!$J$3:$K$17,2,FALSE)*V198)+(VLOOKUP($W$2,Prices!$J$3:$K$17,2,FALSE)*W198)+(VLOOKUP($X$2,Prices!$J$3:$K$17,2,FALSE)*X198)+(VLOOKUP($Y$2,Prices!$J$3:$K$17,2,FALSE)*Y198)+(VLOOKUP($Z$2,Prices!$J$3:$K$17,2,FALSE)*Z198)+(VLOOKUP($AA$2,Prices!$J$3:$K$17,2,FALSE)*AA198)+(VLOOKUP($AB$2,Prices!$J$3:$K$17,2,FALSE)*AB198)+M198</f>
        <v>2876500</v>
      </c>
      <c r="AD198" s="13">
        <v>0</v>
      </c>
      <c r="AE198" s="18"/>
      <c r="AF198" s="4">
        <f t="shared" si="17"/>
        <v>0</v>
      </c>
      <c r="AG198" s="4"/>
      <c r="AH198" s="16">
        <f t="shared" si="18"/>
        <v>0</v>
      </c>
      <c r="AI198" s="21">
        <f t="shared" si="20"/>
        <v>0</v>
      </c>
      <c r="AJ198" s="20">
        <f t="shared" si="19"/>
        <v>0</v>
      </c>
      <c r="AK198" s="19"/>
    </row>
    <row r="199" spans="1:37" hidden="1">
      <c r="A199" s="3">
        <v>197</v>
      </c>
      <c r="B199" s="12"/>
      <c r="C199" s="13"/>
      <c r="D199" s="13"/>
      <c r="E199" s="13"/>
      <c r="F199" s="13"/>
      <c r="G199" s="13"/>
      <c r="H199" s="15"/>
      <c r="I199" s="45" t="s">
        <v>950</v>
      </c>
      <c r="J199" s="45" t="s">
        <v>1387</v>
      </c>
      <c r="K199" s="46" t="s">
        <v>653</v>
      </c>
      <c r="L199" s="47" t="s">
        <v>1302</v>
      </c>
      <c r="M199" s="66">
        <f>IFERROR(VLOOKUP($L199,[3]Consolidated!$C$9:$AC$452,27,0),0)</f>
        <v>5230000</v>
      </c>
      <c r="N199" s="66">
        <f>IFERROR(VLOOKUP($L199,[3]Consolidated!$C$9:$AC$452,5,0),0)</f>
        <v>20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4">
        <f>(VLOOKUP($O$2,Prices!$E$3:$K$17,2,FALSE)*O199)+(VLOOKUP($P$2,Prices!$J$3:$K$17,2,FALSE)*P199)+(VLOOKUP($Q$2,Prices!$J$3:$K$17,2,FALSE)*Q199)+(VLOOKUP($R$2,Prices!$J$3:$K$17,2,FALSE)*R199)+(VLOOKUP($S$2,Prices!$J$3:$K$17,2,FALSE)*S199)+(VLOOKUP($T$2,Prices!$J$3:$K$17,2,FALSE)*T199)+(VLOOKUP($U$2,Prices!$J$3:$K$17,2,FALSE)*U199)+(VLOOKUP($V$2,Prices!$J$3:$K$17,2,FALSE)*V199)+(VLOOKUP($W$2,Prices!$J$3:$K$17,2,FALSE)*W199)+(VLOOKUP($X$2,Prices!$J$3:$K$17,2,FALSE)*X199)+(VLOOKUP($Y$2,Prices!$J$3:$K$17,2,FALSE)*Y199)+(VLOOKUP($Z$2,Prices!$J$3:$K$17,2,FALSE)*Z199)+(VLOOKUP($AA$2,Prices!$J$3:$K$17,2,FALSE)*AA199)+(VLOOKUP($AB$2,Prices!$J$3:$K$17,2,FALSE)*AB199)+M199</f>
        <v>5230000</v>
      </c>
      <c r="AD199" s="69">
        <v>649500</v>
      </c>
      <c r="AE199" s="18"/>
      <c r="AF199" s="4">
        <f t="shared" si="17"/>
        <v>649500</v>
      </c>
      <c r="AG199" s="4"/>
      <c r="AH199" s="16">
        <f t="shared" si="18"/>
        <v>649500</v>
      </c>
      <c r="AI199" s="21">
        <f t="shared" si="20"/>
        <v>0.12418738049713193</v>
      </c>
      <c r="AJ199" s="20">
        <f t="shared" si="19"/>
        <v>0.12418738049713193</v>
      </c>
      <c r="AK199" s="9"/>
    </row>
    <row r="200" spans="1:37" hidden="1">
      <c r="A200" s="3">
        <v>198</v>
      </c>
      <c r="B200" s="12"/>
      <c r="C200" s="13"/>
      <c r="D200" s="13"/>
      <c r="E200" s="13"/>
      <c r="F200" s="13"/>
      <c r="G200" s="13"/>
      <c r="H200" s="15"/>
      <c r="I200" s="45" t="s">
        <v>951</v>
      </c>
      <c r="J200" s="45" t="s">
        <v>1387</v>
      </c>
      <c r="K200" s="46" t="s">
        <v>653</v>
      </c>
      <c r="L200" s="47" t="s">
        <v>1303</v>
      </c>
      <c r="M200" s="66">
        <f>IFERROR(VLOOKUP($L200,[3]Consolidated!$C$9:$AC$452,27,0),0)</f>
        <v>9152500</v>
      </c>
      <c r="N200" s="66">
        <f>IFERROR(VLOOKUP($L200,[3]Consolidated!$C$9:$AC$452,5,0),0)</f>
        <v>35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4">
        <f>(VLOOKUP($O$2,Prices!$E$3:$K$17,2,FALSE)*O200)+(VLOOKUP($P$2,Prices!$J$3:$K$17,2,FALSE)*P200)+(VLOOKUP($Q$2,Prices!$J$3:$K$17,2,FALSE)*Q200)+(VLOOKUP($R$2,Prices!$J$3:$K$17,2,FALSE)*R200)+(VLOOKUP($S$2,Prices!$J$3:$K$17,2,FALSE)*S200)+(VLOOKUP($T$2,Prices!$J$3:$K$17,2,FALSE)*T200)+(VLOOKUP($U$2,Prices!$J$3:$K$17,2,FALSE)*U200)+(VLOOKUP($V$2,Prices!$J$3:$K$17,2,FALSE)*V200)+(VLOOKUP($W$2,Prices!$J$3:$K$17,2,FALSE)*W200)+(VLOOKUP($X$2,Prices!$J$3:$K$17,2,FALSE)*X200)+(VLOOKUP($Y$2,Prices!$J$3:$K$17,2,FALSE)*Y200)+(VLOOKUP($Z$2,Prices!$J$3:$K$17,2,FALSE)*Z200)+(VLOOKUP($AA$2,Prices!$J$3:$K$17,2,FALSE)*AA200)+(VLOOKUP($AB$2,Prices!$J$3:$K$17,2,FALSE)*AB200)+M200</f>
        <v>9152500</v>
      </c>
      <c r="AD200" s="69">
        <v>1403300</v>
      </c>
      <c r="AE200" s="18"/>
      <c r="AF200" s="4">
        <f t="shared" si="17"/>
        <v>1403300</v>
      </c>
      <c r="AG200" s="4"/>
      <c r="AH200" s="16">
        <f t="shared" si="18"/>
        <v>1403300</v>
      </c>
      <c r="AI200" s="21">
        <f t="shared" si="20"/>
        <v>0.15332422835290904</v>
      </c>
      <c r="AJ200" s="20">
        <f t="shared" si="19"/>
        <v>0.15332422835290904</v>
      </c>
      <c r="AK200" s="9"/>
    </row>
    <row r="201" spans="1:37" hidden="1">
      <c r="A201" s="3">
        <v>199</v>
      </c>
      <c r="B201" s="12"/>
      <c r="C201" s="13"/>
      <c r="D201" s="13"/>
      <c r="E201" s="13"/>
      <c r="F201" s="13"/>
      <c r="G201" s="13"/>
      <c r="H201" s="15"/>
      <c r="I201" s="45" t="s">
        <v>961</v>
      </c>
      <c r="J201" s="67" t="s">
        <v>1387</v>
      </c>
      <c r="K201" s="46" t="s">
        <v>658</v>
      </c>
      <c r="L201" s="47" t="s">
        <v>1313</v>
      </c>
      <c r="M201" s="66">
        <f>IFERROR(VLOOKUP($L201,[3]Consolidated!$C$9:$AC$452,27,0),0)</f>
        <v>2376000</v>
      </c>
      <c r="N201" s="66">
        <f>IFERROR(VLOOKUP($L201,[3]Consolidated!$C$9:$AC$452,5,0),0)</f>
        <v>10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4">
        <f>(VLOOKUP($O$2,Prices!$E$3:$K$17,2,FALSE)*O201)+(VLOOKUP($P$2,Prices!$J$3:$K$17,2,FALSE)*P201)+(VLOOKUP($Q$2,Prices!$J$3:$K$17,2,FALSE)*Q201)+(VLOOKUP($R$2,Prices!$J$3:$K$17,2,FALSE)*R201)+(VLOOKUP($S$2,Prices!$J$3:$K$17,2,FALSE)*S201)+(VLOOKUP($T$2,Prices!$J$3:$K$17,2,FALSE)*T201)+(VLOOKUP($U$2,Prices!$J$3:$K$17,2,FALSE)*U201)+(VLOOKUP($V$2,Prices!$J$3:$K$17,2,FALSE)*V201)+(VLOOKUP($W$2,Prices!$J$3:$K$17,2,FALSE)*W201)+(VLOOKUP($X$2,Prices!$J$3:$K$17,2,FALSE)*X201)+(VLOOKUP($Y$2,Prices!$J$3:$K$17,2,FALSE)*Y201)+(VLOOKUP($Z$2,Prices!$J$3:$K$17,2,FALSE)*Z201)+(VLOOKUP($AA$2,Prices!$J$3:$K$17,2,FALSE)*AA201)+(VLOOKUP($AB$2,Prices!$J$3:$K$17,2,FALSE)*AB201)+M201</f>
        <v>2376000</v>
      </c>
      <c r="AD201" s="13">
        <v>0</v>
      </c>
      <c r="AE201" s="18"/>
      <c r="AF201" s="4">
        <f t="shared" si="17"/>
        <v>0</v>
      </c>
      <c r="AG201" s="4"/>
      <c r="AH201" s="16">
        <f t="shared" si="18"/>
        <v>0</v>
      </c>
      <c r="AI201" s="21">
        <f t="shared" si="20"/>
        <v>0</v>
      </c>
      <c r="AJ201" s="20">
        <f t="shared" si="19"/>
        <v>0</v>
      </c>
      <c r="AK201" s="9"/>
    </row>
    <row r="202" spans="1:37" hidden="1">
      <c r="A202" s="3">
        <v>200</v>
      </c>
      <c r="B202" s="12"/>
      <c r="C202" s="13"/>
      <c r="D202" s="13"/>
      <c r="E202" s="13"/>
      <c r="F202" s="13"/>
      <c r="G202" s="13"/>
      <c r="H202" s="15"/>
      <c r="I202" s="45" t="s">
        <v>962</v>
      </c>
      <c r="J202" s="45" t="s">
        <v>1387</v>
      </c>
      <c r="K202" s="46" t="s">
        <v>657</v>
      </c>
      <c r="L202" s="47" t="s">
        <v>1314</v>
      </c>
      <c r="M202" s="66">
        <f>IFERROR(VLOOKUP($L202,[3]Consolidated!$C$9:$AC$452,27,0),0)</f>
        <v>0</v>
      </c>
      <c r="N202" s="66">
        <f>IFERROR(VLOOKUP($L202,[3]Consolidated!$C$9:$AC$452,5,0),0)</f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4">
        <f>(VLOOKUP($O$2,Prices!$E$3:$K$17,2,FALSE)*O202)+(VLOOKUP($P$2,Prices!$J$3:$K$17,2,FALSE)*P202)+(VLOOKUP($Q$2,Prices!$J$3:$K$17,2,FALSE)*Q202)+(VLOOKUP($R$2,Prices!$J$3:$K$17,2,FALSE)*R202)+(VLOOKUP($S$2,Prices!$J$3:$K$17,2,FALSE)*S202)+(VLOOKUP($T$2,Prices!$J$3:$K$17,2,FALSE)*T202)+(VLOOKUP($U$2,Prices!$J$3:$K$17,2,FALSE)*U202)+(VLOOKUP($V$2,Prices!$J$3:$K$17,2,FALSE)*V202)+(VLOOKUP($W$2,Prices!$J$3:$K$17,2,FALSE)*W202)+(VLOOKUP($X$2,Prices!$J$3:$K$17,2,FALSE)*X202)+(VLOOKUP($Y$2,Prices!$J$3:$K$17,2,FALSE)*Y202)+(VLOOKUP($Z$2,Prices!$J$3:$K$17,2,FALSE)*Z202)+(VLOOKUP($AA$2,Prices!$J$3:$K$17,2,FALSE)*AA202)+(VLOOKUP($AB$2,Prices!$J$3:$K$17,2,FALSE)*AB202)+M202</f>
        <v>0</v>
      </c>
      <c r="AD202" s="13">
        <v>0</v>
      </c>
      <c r="AE202" s="18"/>
      <c r="AF202" s="4">
        <f t="shared" si="17"/>
        <v>0</v>
      </c>
      <c r="AG202" s="4"/>
      <c r="AH202" s="16">
        <f t="shared" si="18"/>
        <v>0</v>
      </c>
      <c r="AI202" s="21" t="e">
        <f t="shared" si="20"/>
        <v>#DIV/0!</v>
      </c>
      <c r="AJ202" s="20" t="e">
        <f t="shared" si="19"/>
        <v>#DIV/0!</v>
      </c>
      <c r="AK202" s="9"/>
    </row>
    <row r="203" spans="1:37" hidden="1">
      <c r="A203" s="3">
        <v>201</v>
      </c>
      <c r="B203" s="12"/>
      <c r="C203" s="13"/>
      <c r="D203" s="13"/>
      <c r="E203" s="13"/>
      <c r="F203" s="13"/>
      <c r="G203" s="13"/>
      <c r="H203" s="15"/>
      <c r="I203" s="45" t="s">
        <v>963</v>
      </c>
      <c r="J203" s="45" t="s">
        <v>1387</v>
      </c>
      <c r="K203" s="46" t="s">
        <v>658</v>
      </c>
      <c r="L203" s="47" t="s">
        <v>1315</v>
      </c>
      <c r="M203" s="66">
        <f>IFERROR(VLOOKUP($L203,[3]Consolidated!$C$9:$AC$452,27,0),0)</f>
        <v>3745500</v>
      </c>
      <c r="N203" s="66">
        <f>IFERROR(VLOOKUP($L203,[3]Consolidated!$C$9:$AC$452,5,0),0)</f>
        <v>15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4">
        <f>(VLOOKUP($O$2,Prices!$E$3:$K$17,2,FALSE)*O203)+(VLOOKUP($P$2,Prices!$J$3:$K$17,2,FALSE)*P203)+(VLOOKUP($Q$2,Prices!$J$3:$K$17,2,FALSE)*Q203)+(VLOOKUP($R$2,Prices!$J$3:$K$17,2,FALSE)*R203)+(VLOOKUP($S$2,Prices!$J$3:$K$17,2,FALSE)*S203)+(VLOOKUP($T$2,Prices!$J$3:$K$17,2,FALSE)*T203)+(VLOOKUP($U$2,Prices!$J$3:$K$17,2,FALSE)*U203)+(VLOOKUP($V$2,Prices!$J$3:$K$17,2,FALSE)*V203)+(VLOOKUP($W$2,Prices!$J$3:$K$17,2,FALSE)*W203)+(VLOOKUP($X$2,Prices!$J$3:$K$17,2,FALSE)*X203)+(VLOOKUP($Y$2,Prices!$J$3:$K$17,2,FALSE)*Y203)+(VLOOKUP($Z$2,Prices!$J$3:$K$17,2,FALSE)*Z203)+(VLOOKUP($AA$2,Prices!$J$3:$K$17,2,FALSE)*AA203)+(VLOOKUP($AB$2,Prices!$J$3:$K$17,2,FALSE)*AB203)+M203</f>
        <v>3745500</v>
      </c>
      <c r="AD203" s="69">
        <v>565250</v>
      </c>
      <c r="AE203" s="18"/>
      <c r="AF203" s="4">
        <f t="shared" si="17"/>
        <v>565250</v>
      </c>
      <c r="AG203" s="4"/>
      <c r="AH203" s="16">
        <f t="shared" si="18"/>
        <v>565250</v>
      </c>
      <c r="AI203" s="21">
        <f t="shared" si="20"/>
        <v>0.15091443065011348</v>
      </c>
      <c r="AJ203" s="20">
        <f t="shared" si="19"/>
        <v>0.15091443065011348</v>
      </c>
      <c r="AK203" s="9"/>
    </row>
    <row r="204" spans="1:37" hidden="1">
      <c r="A204" s="3">
        <v>202</v>
      </c>
      <c r="B204" s="12"/>
      <c r="C204" s="13"/>
      <c r="D204" s="13"/>
      <c r="E204" s="13"/>
      <c r="F204" s="13"/>
      <c r="G204" s="13"/>
      <c r="H204" s="15"/>
      <c r="I204" s="45" t="s">
        <v>1326</v>
      </c>
      <c r="J204" s="45" t="s">
        <v>1387</v>
      </c>
      <c r="K204" s="46" t="s">
        <v>657</v>
      </c>
      <c r="L204" s="47" t="s">
        <v>1336</v>
      </c>
      <c r="M204" s="66">
        <f>IFERROR(VLOOKUP($L204,[3]Consolidated!$C$9:$AC$452,27,0),0)</f>
        <v>10024000</v>
      </c>
      <c r="N204" s="66">
        <f>IFERROR(VLOOKUP($L204,[3]Consolidated!$C$9:$AC$452,5,0),0)</f>
        <v>40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4">
        <f>(VLOOKUP($O$2,Prices!$E$3:$K$17,2,FALSE)*O204)+(VLOOKUP($P$2,Prices!$J$3:$K$17,2,FALSE)*P204)+(VLOOKUP($Q$2,Prices!$J$3:$K$17,2,FALSE)*Q204)+(VLOOKUP($R$2,Prices!$J$3:$K$17,2,FALSE)*R204)+(VLOOKUP($S$2,Prices!$J$3:$K$17,2,FALSE)*S204)+(VLOOKUP($T$2,Prices!$J$3:$K$17,2,FALSE)*T204)+(VLOOKUP($U$2,Prices!$J$3:$K$17,2,FALSE)*U204)+(VLOOKUP($V$2,Prices!$J$3:$K$17,2,FALSE)*V204)+(VLOOKUP($W$2,Prices!$J$3:$K$17,2,FALSE)*W204)+(VLOOKUP($X$2,Prices!$J$3:$K$17,2,FALSE)*X204)+(VLOOKUP($Y$2,Prices!$J$3:$K$17,2,FALSE)*Y204)+(VLOOKUP($Z$2,Prices!$J$3:$K$17,2,FALSE)*Z204)+(VLOOKUP($AA$2,Prices!$J$3:$K$17,2,FALSE)*AA204)+(VLOOKUP($AB$2,Prices!$J$3:$K$17,2,FALSE)*AB204)+M204</f>
        <v>10024000</v>
      </c>
      <c r="AD204" s="69">
        <v>1483000</v>
      </c>
      <c r="AE204" s="18"/>
      <c r="AF204" s="4">
        <f t="shared" si="17"/>
        <v>1483000</v>
      </c>
      <c r="AG204" s="4"/>
      <c r="AH204" s="16">
        <f t="shared" si="18"/>
        <v>1483000</v>
      </c>
      <c r="AI204" s="21">
        <f t="shared" si="20"/>
        <v>0.14794493216280927</v>
      </c>
      <c r="AJ204" s="20">
        <f t="shared" si="19"/>
        <v>0.14794493216280927</v>
      </c>
      <c r="AK204" s="9"/>
    </row>
    <row r="205" spans="1:37" hidden="1">
      <c r="A205" s="3">
        <v>203</v>
      </c>
      <c r="B205" s="12"/>
      <c r="C205" s="13"/>
      <c r="D205" s="13"/>
      <c r="E205" s="13"/>
      <c r="F205" s="13"/>
      <c r="G205" s="13"/>
      <c r="H205" s="15"/>
      <c r="I205" s="45" t="s">
        <v>1327</v>
      </c>
      <c r="J205" s="45" t="s">
        <v>1387</v>
      </c>
      <c r="K205" s="46" t="s">
        <v>658</v>
      </c>
      <c r="L205" s="47" t="s">
        <v>1337</v>
      </c>
      <c r="M205" s="66">
        <f>IFERROR(VLOOKUP($L205,[3]Consolidated!$C$9:$AC$452,27,0),0)</f>
        <v>4091500</v>
      </c>
      <c r="N205" s="66">
        <f>IFERROR(VLOOKUP($L205,[3]Consolidated!$C$9:$AC$452,5,0),0)</f>
        <v>17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4">
        <f>(VLOOKUP($O$2,Prices!$E$3:$K$17,2,FALSE)*O205)+(VLOOKUP($P$2,Prices!$J$3:$K$17,2,FALSE)*P205)+(VLOOKUP($Q$2,Prices!$J$3:$K$17,2,FALSE)*Q205)+(VLOOKUP($R$2,Prices!$J$3:$K$17,2,FALSE)*R205)+(VLOOKUP($S$2,Prices!$J$3:$K$17,2,FALSE)*S205)+(VLOOKUP($T$2,Prices!$J$3:$K$17,2,FALSE)*T205)+(VLOOKUP($U$2,Prices!$J$3:$K$17,2,FALSE)*U205)+(VLOOKUP($V$2,Prices!$J$3:$K$17,2,FALSE)*V205)+(VLOOKUP($W$2,Prices!$J$3:$K$17,2,FALSE)*W205)+(VLOOKUP($X$2,Prices!$J$3:$K$17,2,FALSE)*X205)+(VLOOKUP($Y$2,Prices!$J$3:$K$17,2,FALSE)*Y205)+(VLOOKUP($Z$2,Prices!$J$3:$K$17,2,FALSE)*Z205)+(VLOOKUP($AA$2,Prices!$J$3:$K$17,2,FALSE)*AA205)+(VLOOKUP($AB$2,Prices!$J$3:$K$17,2,FALSE)*AB205)+M205</f>
        <v>4091500</v>
      </c>
      <c r="AD205" s="69">
        <v>565250</v>
      </c>
      <c r="AE205" s="18"/>
      <c r="AF205" s="4">
        <f t="shared" si="17"/>
        <v>565250</v>
      </c>
      <c r="AG205" s="4"/>
      <c r="AH205" s="16">
        <f t="shared" si="18"/>
        <v>565250</v>
      </c>
      <c r="AI205" s="21">
        <f t="shared" si="20"/>
        <v>0.13815226689478186</v>
      </c>
      <c r="AJ205" s="20">
        <f t="shared" si="19"/>
        <v>0.13815226689478186</v>
      </c>
      <c r="AK205" s="9"/>
    </row>
    <row r="206" spans="1:37" hidden="1">
      <c r="A206" s="3">
        <v>204</v>
      </c>
      <c r="B206" s="12"/>
      <c r="C206" s="13"/>
      <c r="D206" s="13"/>
      <c r="E206" s="13"/>
      <c r="F206" s="13"/>
      <c r="G206" s="13"/>
      <c r="H206" s="15"/>
      <c r="I206" s="45" t="s">
        <v>1328</v>
      </c>
      <c r="J206" s="45" t="s">
        <v>1387</v>
      </c>
      <c r="K206" s="46" t="s">
        <v>657</v>
      </c>
      <c r="L206" s="47" t="s">
        <v>1338</v>
      </c>
      <c r="M206" s="66">
        <f>IFERROR(VLOOKUP($L206,[3]Consolidated!$C$9:$AC$452,27,0),0)</f>
        <v>7471000</v>
      </c>
      <c r="N206" s="66">
        <f>IFERROR(VLOOKUP($L206,[3]Consolidated!$C$9:$AC$452,5,0),0)</f>
        <v>30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4">
        <f>(VLOOKUP($O$2,Prices!$E$3:$K$17,2,FALSE)*O206)+(VLOOKUP($P$2,Prices!$J$3:$K$17,2,FALSE)*P206)+(VLOOKUP($Q$2,Prices!$J$3:$K$17,2,FALSE)*Q206)+(VLOOKUP($R$2,Prices!$J$3:$K$17,2,FALSE)*R206)+(VLOOKUP($S$2,Prices!$J$3:$K$17,2,FALSE)*S206)+(VLOOKUP($T$2,Prices!$J$3:$K$17,2,FALSE)*T206)+(VLOOKUP($U$2,Prices!$J$3:$K$17,2,FALSE)*U206)+(VLOOKUP($V$2,Prices!$J$3:$K$17,2,FALSE)*V206)+(VLOOKUP($W$2,Prices!$J$3:$K$17,2,FALSE)*W206)+(VLOOKUP($X$2,Prices!$J$3:$K$17,2,FALSE)*X206)+(VLOOKUP($Y$2,Prices!$J$3:$K$17,2,FALSE)*Y206)+(VLOOKUP($Z$2,Prices!$J$3:$K$17,2,FALSE)*Z206)+(VLOOKUP($AA$2,Prices!$J$3:$K$17,2,FALSE)*AA206)+(VLOOKUP($AB$2,Prices!$J$3:$K$17,2,FALSE)*AB206)+M206</f>
        <v>7471000</v>
      </c>
      <c r="AD206" s="69">
        <v>1088500</v>
      </c>
      <c r="AE206" s="18"/>
      <c r="AF206" s="4">
        <f t="shared" si="17"/>
        <v>1088500</v>
      </c>
      <c r="AG206" s="4"/>
      <c r="AH206" s="16">
        <f t="shared" si="18"/>
        <v>1088500</v>
      </c>
      <c r="AI206" s="21">
        <f t="shared" si="20"/>
        <v>0.14569669388301432</v>
      </c>
      <c r="AJ206" s="20">
        <f t="shared" si="19"/>
        <v>0.14569669388301432</v>
      </c>
      <c r="AK206" s="9"/>
    </row>
    <row r="207" spans="1:37" hidden="1">
      <c r="A207" s="3">
        <v>205</v>
      </c>
      <c r="B207" s="12"/>
      <c r="C207" s="13"/>
      <c r="D207" s="13"/>
      <c r="E207" s="13"/>
      <c r="F207" s="13"/>
      <c r="G207" s="13"/>
      <c r="H207" s="15"/>
      <c r="I207" s="45" t="s">
        <v>952</v>
      </c>
      <c r="J207" s="45" t="s">
        <v>1387</v>
      </c>
      <c r="K207" s="46" t="s">
        <v>656</v>
      </c>
      <c r="L207" s="47" t="s">
        <v>1304</v>
      </c>
      <c r="M207" s="66">
        <f>IFERROR(VLOOKUP($L207,[3]Consolidated!$C$9:$AC$452,27,0),0)</f>
        <v>7786750</v>
      </c>
      <c r="N207" s="66">
        <f>IFERROR(VLOOKUP($L207,[3]Consolidated!$C$9:$AC$452,5,0),0)</f>
        <v>36.000000000000007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4">
        <f>(VLOOKUP($O$2,Prices!$E$3:$K$17,2,FALSE)*O207)+(VLOOKUP($P$2,Prices!$J$3:$K$17,2,FALSE)*P207)+(VLOOKUP($Q$2,Prices!$J$3:$K$17,2,FALSE)*Q207)+(VLOOKUP($R$2,Prices!$J$3:$K$17,2,FALSE)*R207)+(VLOOKUP($S$2,Prices!$J$3:$K$17,2,FALSE)*S207)+(VLOOKUP($T$2,Prices!$J$3:$K$17,2,FALSE)*T207)+(VLOOKUP($U$2,Prices!$J$3:$K$17,2,FALSE)*U207)+(VLOOKUP($V$2,Prices!$J$3:$K$17,2,FALSE)*V207)+(VLOOKUP($W$2,Prices!$J$3:$K$17,2,FALSE)*W207)+(VLOOKUP($X$2,Prices!$J$3:$K$17,2,FALSE)*X207)+(VLOOKUP($Y$2,Prices!$J$3:$K$17,2,FALSE)*Y207)+(VLOOKUP($Z$2,Prices!$J$3:$K$17,2,FALSE)*Z207)+(VLOOKUP($AA$2,Prices!$J$3:$K$17,2,FALSE)*AA207)+(VLOOKUP($AB$2,Prices!$J$3:$K$17,2,FALSE)*AB207)+M207</f>
        <v>7786750</v>
      </c>
      <c r="AD207" s="69">
        <v>1123650</v>
      </c>
      <c r="AE207" s="18"/>
      <c r="AF207" s="4">
        <f t="shared" si="17"/>
        <v>1123650</v>
      </c>
      <c r="AG207" s="4"/>
      <c r="AH207" s="16">
        <f t="shared" si="18"/>
        <v>1123650</v>
      </c>
      <c r="AI207" s="21">
        <f t="shared" si="20"/>
        <v>0.14430282210164702</v>
      </c>
      <c r="AJ207" s="20">
        <f t="shared" si="19"/>
        <v>0.14430282210164702</v>
      </c>
      <c r="AK207" s="19"/>
    </row>
    <row r="208" spans="1:37" hidden="1">
      <c r="A208" s="3">
        <v>206</v>
      </c>
      <c r="B208" s="12"/>
      <c r="C208" s="13"/>
      <c r="D208" s="13"/>
      <c r="E208" s="13"/>
      <c r="F208" s="13"/>
      <c r="G208" s="13"/>
      <c r="H208" s="15"/>
      <c r="I208" s="45" t="s">
        <v>953</v>
      </c>
      <c r="J208" s="67" t="s">
        <v>1387</v>
      </c>
      <c r="K208" s="46" t="s">
        <v>656</v>
      </c>
      <c r="L208" s="47" t="s">
        <v>1305</v>
      </c>
      <c r="M208" s="66">
        <f>IFERROR(VLOOKUP($L208,[3]Consolidated!$C$9:$AC$452,27,0),0)</f>
        <v>6910240</v>
      </c>
      <c r="N208" s="66">
        <f>IFERROR(VLOOKUP($L208,[3]Consolidated!$C$9:$AC$452,5,0),0)</f>
        <v>34.999999999999993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4">
        <f>(VLOOKUP($O$2,Prices!$E$3:$K$17,2,FALSE)*O208)+(VLOOKUP($P$2,Prices!$J$3:$K$17,2,FALSE)*P208)+(VLOOKUP($Q$2,Prices!$J$3:$K$17,2,FALSE)*Q208)+(VLOOKUP($R$2,Prices!$J$3:$K$17,2,FALSE)*R208)+(VLOOKUP($S$2,Prices!$J$3:$K$17,2,FALSE)*S208)+(VLOOKUP($T$2,Prices!$J$3:$K$17,2,FALSE)*T208)+(VLOOKUP($U$2,Prices!$J$3:$K$17,2,FALSE)*U208)+(VLOOKUP($V$2,Prices!$J$3:$K$17,2,FALSE)*V208)+(VLOOKUP($W$2,Prices!$J$3:$K$17,2,FALSE)*W208)+(VLOOKUP($X$2,Prices!$J$3:$K$17,2,FALSE)*X208)+(VLOOKUP($Y$2,Prices!$J$3:$K$17,2,FALSE)*Y208)+(VLOOKUP($Z$2,Prices!$J$3:$K$17,2,FALSE)*Z208)+(VLOOKUP($AA$2,Prices!$J$3:$K$17,2,FALSE)*AA208)+(VLOOKUP($AB$2,Prices!$J$3:$K$17,2,FALSE)*AB208)+M208</f>
        <v>6910240</v>
      </c>
      <c r="AD208" s="13">
        <v>0</v>
      </c>
      <c r="AE208" s="18"/>
      <c r="AF208" s="4">
        <f t="shared" si="17"/>
        <v>0</v>
      </c>
      <c r="AG208" s="4"/>
      <c r="AH208" s="16">
        <f t="shared" si="18"/>
        <v>0</v>
      </c>
      <c r="AI208" s="21">
        <f t="shared" si="20"/>
        <v>0</v>
      </c>
      <c r="AJ208" s="20">
        <f t="shared" si="19"/>
        <v>0</v>
      </c>
      <c r="AK208" s="9"/>
    </row>
    <row r="209" spans="1:37" hidden="1">
      <c r="A209" s="3">
        <v>207</v>
      </c>
      <c r="B209" s="12"/>
      <c r="C209" s="13"/>
      <c r="D209" s="13"/>
      <c r="E209" s="13"/>
      <c r="F209" s="13"/>
      <c r="G209" s="13"/>
      <c r="H209" s="15"/>
      <c r="I209" s="45" t="s">
        <v>866</v>
      </c>
      <c r="J209" s="45" t="s">
        <v>1387</v>
      </c>
      <c r="K209" s="46" t="s">
        <v>652</v>
      </c>
      <c r="L209" s="47" t="s">
        <v>1216</v>
      </c>
      <c r="M209" s="66">
        <f>IFERROR(VLOOKUP($L209,[3]Consolidated!$C$9:$AC$452,27,0),0)</f>
        <v>0</v>
      </c>
      <c r="N209" s="66">
        <f>IFERROR(VLOOKUP($L209,[3]Consolidated!$C$9:$AC$452,5,0),0)</f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4">
        <f>(VLOOKUP($O$2,Prices!$E$3:$K$17,2,FALSE)*O209)+(VLOOKUP($P$2,Prices!$J$3:$K$17,2,FALSE)*P209)+(VLOOKUP($Q$2,Prices!$J$3:$K$17,2,FALSE)*Q209)+(VLOOKUP($R$2,Prices!$J$3:$K$17,2,FALSE)*R209)+(VLOOKUP($S$2,Prices!$J$3:$K$17,2,FALSE)*S209)+(VLOOKUP($T$2,Prices!$J$3:$K$17,2,FALSE)*T209)+(VLOOKUP($U$2,Prices!$J$3:$K$17,2,FALSE)*U209)+(VLOOKUP($V$2,Prices!$J$3:$K$17,2,FALSE)*V209)+(VLOOKUP($W$2,Prices!$J$3:$K$17,2,FALSE)*W209)+(VLOOKUP($X$2,Prices!$J$3:$K$17,2,FALSE)*X209)+(VLOOKUP($Y$2,Prices!$J$3:$K$17,2,FALSE)*Y209)+(VLOOKUP($Z$2,Prices!$J$3:$K$17,2,FALSE)*Z209)+(VLOOKUP($AA$2,Prices!$J$3:$K$17,2,FALSE)*AA209)+(VLOOKUP($AB$2,Prices!$J$3:$K$17,2,FALSE)*AB209)+M209</f>
        <v>0</v>
      </c>
      <c r="AD209" s="13">
        <v>0</v>
      </c>
      <c r="AE209" s="18"/>
      <c r="AF209" s="4">
        <f t="shared" si="17"/>
        <v>0</v>
      </c>
      <c r="AG209" s="4"/>
      <c r="AH209" s="16">
        <f t="shared" si="18"/>
        <v>0</v>
      </c>
      <c r="AI209" s="21" t="e">
        <f t="shared" si="20"/>
        <v>#DIV/0!</v>
      </c>
      <c r="AJ209" s="20" t="e">
        <f t="shared" si="19"/>
        <v>#DIV/0!</v>
      </c>
      <c r="AK209" s="9"/>
    </row>
    <row r="210" spans="1:37" hidden="1">
      <c r="A210" s="3">
        <v>208</v>
      </c>
      <c r="B210" s="12"/>
      <c r="C210" s="13"/>
      <c r="D210" s="13"/>
      <c r="E210" s="13"/>
      <c r="F210" s="13"/>
      <c r="G210" s="13"/>
      <c r="H210" s="15"/>
      <c r="I210" s="45" t="s">
        <v>870</v>
      </c>
      <c r="J210" s="45" t="s">
        <v>1387</v>
      </c>
      <c r="K210" s="46" t="s">
        <v>652</v>
      </c>
      <c r="L210" s="47" t="s">
        <v>1220</v>
      </c>
      <c r="M210" s="66">
        <f>IFERROR(VLOOKUP($L210,[3]Consolidated!$C$9:$AC$452,27,0),0)</f>
        <v>8767500</v>
      </c>
      <c r="N210" s="66">
        <f>IFERROR(VLOOKUP($L210,[3]Consolidated!$C$9:$AC$452,5,0),0)</f>
        <v>50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4">
        <f>(VLOOKUP($O$2,Prices!$E$3:$K$17,2,FALSE)*O210)+(VLOOKUP($P$2,Prices!$J$3:$K$17,2,FALSE)*P210)+(VLOOKUP($Q$2,Prices!$J$3:$K$17,2,FALSE)*Q210)+(VLOOKUP($R$2,Prices!$J$3:$K$17,2,FALSE)*R210)+(VLOOKUP($S$2,Prices!$J$3:$K$17,2,FALSE)*S210)+(VLOOKUP($T$2,Prices!$J$3:$K$17,2,FALSE)*T210)+(VLOOKUP($U$2,Prices!$J$3:$K$17,2,FALSE)*U210)+(VLOOKUP($V$2,Prices!$J$3:$K$17,2,FALSE)*V210)+(VLOOKUP($W$2,Prices!$J$3:$K$17,2,FALSE)*W210)+(VLOOKUP($X$2,Prices!$J$3:$K$17,2,FALSE)*X210)+(VLOOKUP($Y$2,Prices!$J$3:$K$17,2,FALSE)*Y210)+(VLOOKUP($Z$2,Prices!$J$3:$K$17,2,FALSE)*Z210)+(VLOOKUP($AA$2,Prices!$J$3:$K$17,2,FALSE)*AA210)+(VLOOKUP($AB$2,Prices!$J$3:$K$17,2,FALSE)*AB210)+M210</f>
        <v>8767500</v>
      </c>
      <c r="AD210" s="69">
        <v>1838500</v>
      </c>
      <c r="AE210" s="18"/>
      <c r="AF210" s="4">
        <f t="shared" si="17"/>
        <v>1838500</v>
      </c>
      <c r="AG210" s="4"/>
      <c r="AH210" s="16">
        <f t="shared" si="18"/>
        <v>1838500</v>
      </c>
      <c r="AI210" s="21">
        <f t="shared" si="20"/>
        <v>0.20969489592244084</v>
      </c>
      <c r="AJ210" s="20">
        <f t="shared" si="19"/>
        <v>0.20969489592244084</v>
      </c>
      <c r="AK210" s="9"/>
    </row>
    <row r="211" spans="1:37" hidden="1">
      <c r="A211" s="3">
        <v>209</v>
      </c>
      <c r="B211" s="12"/>
      <c r="C211" s="13"/>
      <c r="D211" s="13"/>
      <c r="E211" s="13"/>
      <c r="F211" s="13"/>
      <c r="G211" s="13"/>
      <c r="H211" s="15"/>
      <c r="I211" s="45" t="s">
        <v>871</v>
      </c>
      <c r="J211" s="45" t="s">
        <v>1387</v>
      </c>
      <c r="K211" s="46" t="s">
        <v>652</v>
      </c>
      <c r="L211" s="47" t="s">
        <v>1221</v>
      </c>
      <c r="M211" s="66">
        <f>IFERROR(VLOOKUP($L211,[3]Consolidated!$C$9:$AC$452,27,0),0)</f>
        <v>0</v>
      </c>
      <c r="N211" s="66">
        <f>IFERROR(VLOOKUP($L211,[3]Consolidated!$C$9:$AC$452,5,0),0)</f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4">
        <f>(VLOOKUP($O$2,Prices!$E$3:$K$17,2,FALSE)*O211)+(VLOOKUP($P$2,Prices!$J$3:$K$17,2,FALSE)*P211)+(VLOOKUP($Q$2,Prices!$J$3:$K$17,2,FALSE)*Q211)+(VLOOKUP($R$2,Prices!$J$3:$K$17,2,FALSE)*R211)+(VLOOKUP($S$2,Prices!$J$3:$K$17,2,FALSE)*S211)+(VLOOKUP($T$2,Prices!$J$3:$K$17,2,FALSE)*T211)+(VLOOKUP($U$2,Prices!$J$3:$K$17,2,FALSE)*U211)+(VLOOKUP($V$2,Prices!$J$3:$K$17,2,FALSE)*V211)+(VLOOKUP($W$2,Prices!$J$3:$K$17,2,FALSE)*W211)+(VLOOKUP($X$2,Prices!$J$3:$K$17,2,FALSE)*X211)+(VLOOKUP($Y$2,Prices!$J$3:$K$17,2,FALSE)*Y211)+(VLOOKUP($Z$2,Prices!$J$3:$K$17,2,FALSE)*Z211)+(VLOOKUP($AA$2,Prices!$J$3:$K$17,2,FALSE)*AA211)+(VLOOKUP($AB$2,Prices!$J$3:$K$17,2,FALSE)*AB211)+M211</f>
        <v>0</v>
      </c>
      <c r="AD211" s="13">
        <v>0</v>
      </c>
      <c r="AE211" s="18"/>
      <c r="AF211" s="4">
        <f t="shared" ref="AF211:AF225" si="21">AD211-AE211</f>
        <v>0</v>
      </c>
      <c r="AG211" s="4"/>
      <c r="AH211" s="16">
        <f t="shared" ref="AH211:AH225" si="22">AD211+AG211</f>
        <v>0</v>
      </c>
      <c r="AI211" s="21" t="e">
        <f t="shared" si="20"/>
        <v>#DIV/0!</v>
      </c>
      <c r="AJ211" s="20" t="e">
        <f t="shared" ref="AJ211:AJ225" si="23">AH211/AC211</f>
        <v>#DIV/0!</v>
      </c>
      <c r="AK211" s="9"/>
    </row>
    <row r="212" spans="1:37" hidden="1">
      <c r="A212" s="3">
        <v>210</v>
      </c>
      <c r="B212" s="12"/>
      <c r="C212" s="13"/>
      <c r="D212" s="13"/>
      <c r="E212" s="13"/>
      <c r="F212" s="13"/>
      <c r="G212" s="13"/>
      <c r="H212" s="15"/>
      <c r="I212" s="45" t="s">
        <v>873</v>
      </c>
      <c r="J212" s="45" t="s">
        <v>1387</v>
      </c>
      <c r="K212" s="46" t="s">
        <v>652</v>
      </c>
      <c r="L212" s="47" t="s">
        <v>1223</v>
      </c>
      <c r="M212" s="66">
        <f>IFERROR(VLOOKUP($L212,[3]Consolidated!$C$9:$AC$452,27,0),0)</f>
        <v>3315000</v>
      </c>
      <c r="N212" s="66">
        <f>IFERROR(VLOOKUP($L212,[3]Consolidated!$C$9:$AC$452,5,0),0)</f>
        <v>16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4">
        <f>(VLOOKUP($O$2,Prices!$E$3:$K$17,2,FALSE)*O212)+(VLOOKUP($P$2,Prices!$J$3:$K$17,2,FALSE)*P212)+(VLOOKUP($Q$2,Prices!$J$3:$K$17,2,FALSE)*Q212)+(VLOOKUP($R$2,Prices!$J$3:$K$17,2,FALSE)*R212)+(VLOOKUP($S$2,Prices!$J$3:$K$17,2,FALSE)*S212)+(VLOOKUP($T$2,Prices!$J$3:$K$17,2,FALSE)*T212)+(VLOOKUP($U$2,Prices!$J$3:$K$17,2,FALSE)*U212)+(VLOOKUP($V$2,Prices!$J$3:$K$17,2,FALSE)*V212)+(VLOOKUP($W$2,Prices!$J$3:$K$17,2,FALSE)*W212)+(VLOOKUP($X$2,Prices!$J$3:$K$17,2,FALSE)*X212)+(VLOOKUP($Y$2,Prices!$J$3:$K$17,2,FALSE)*Y212)+(VLOOKUP($Z$2,Prices!$J$3:$K$17,2,FALSE)*Z212)+(VLOOKUP($AA$2,Prices!$J$3:$K$17,2,FALSE)*AA212)+(VLOOKUP($AB$2,Prices!$J$3:$K$17,2,FALSE)*AB212)+M212</f>
        <v>3315000</v>
      </c>
      <c r="AD212" s="69">
        <v>723850</v>
      </c>
      <c r="AE212" s="18"/>
      <c r="AF212" s="4">
        <f t="shared" si="21"/>
        <v>723850</v>
      </c>
      <c r="AG212" s="4"/>
      <c r="AH212" s="16">
        <f t="shared" si="22"/>
        <v>723850</v>
      </c>
      <c r="AI212" s="21">
        <f t="shared" si="20"/>
        <v>0.21835595776772249</v>
      </c>
      <c r="AJ212" s="20">
        <f t="shared" si="23"/>
        <v>0.21835595776772249</v>
      </c>
      <c r="AK212" s="9"/>
    </row>
    <row r="213" spans="1:37" hidden="1">
      <c r="A213" s="3">
        <v>211</v>
      </c>
      <c r="B213" s="12"/>
      <c r="C213" s="13"/>
      <c r="D213" s="13"/>
      <c r="E213" s="13"/>
      <c r="F213" s="13"/>
      <c r="G213" s="13"/>
      <c r="H213" s="15"/>
      <c r="I213" s="45" t="s">
        <v>955</v>
      </c>
      <c r="J213" s="45" t="s">
        <v>1387</v>
      </c>
      <c r="K213" s="46" t="s">
        <v>652</v>
      </c>
      <c r="L213" s="47" t="s">
        <v>1307</v>
      </c>
      <c r="M213" s="66">
        <f>IFERROR(VLOOKUP($L213,[3]Consolidated!$C$9:$AC$452,27,0),0)</f>
        <v>0</v>
      </c>
      <c r="N213" s="66">
        <f>IFERROR(VLOOKUP($L213,[3]Consolidated!$C$9:$AC$452,5,0),0)</f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4">
        <f>(VLOOKUP($O$2,Prices!$E$3:$K$17,2,FALSE)*O213)+(VLOOKUP($P$2,Prices!$J$3:$K$17,2,FALSE)*P213)+(VLOOKUP($Q$2,Prices!$J$3:$K$17,2,FALSE)*Q213)+(VLOOKUP($R$2,Prices!$J$3:$K$17,2,FALSE)*R213)+(VLOOKUP($S$2,Prices!$J$3:$K$17,2,FALSE)*S213)+(VLOOKUP($T$2,Prices!$J$3:$K$17,2,FALSE)*T213)+(VLOOKUP($U$2,Prices!$J$3:$K$17,2,FALSE)*U213)+(VLOOKUP($V$2,Prices!$J$3:$K$17,2,FALSE)*V213)+(VLOOKUP($W$2,Prices!$J$3:$K$17,2,FALSE)*W213)+(VLOOKUP($X$2,Prices!$J$3:$K$17,2,FALSE)*X213)+(VLOOKUP($Y$2,Prices!$J$3:$K$17,2,FALSE)*Y213)+(VLOOKUP($Z$2,Prices!$J$3:$K$17,2,FALSE)*Z213)+(VLOOKUP($AA$2,Prices!$J$3:$K$17,2,FALSE)*AA213)+(VLOOKUP($AB$2,Prices!$J$3:$K$17,2,FALSE)*AB213)+M213</f>
        <v>0</v>
      </c>
      <c r="AD213" s="13">
        <v>0</v>
      </c>
      <c r="AE213" s="18"/>
      <c r="AF213" s="4">
        <f t="shared" si="21"/>
        <v>0</v>
      </c>
      <c r="AG213" s="4"/>
      <c r="AH213" s="16">
        <f t="shared" si="22"/>
        <v>0</v>
      </c>
      <c r="AI213" s="21" t="e">
        <f t="shared" si="20"/>
        <v>#DIV/0!</v>
      </c>
      <c r="AJ213" s="20" t="e">
        <f t="shared" si="23"/>
        <v>#DIV/0!</v>
      </c>
      <c r="AK213" s="9"/>
    </row>
    <row r="214" spans="1:37" hidden="1">
      <c r="A214" s="3">
        <v>212</v>
      </c>
      <c r="B214" s="12"/>
      <c r="C214" s="13"/>
      <c r="D214" s="13"/>
      <c r="E214" s="13"/>
      <c r="F214" s="13"/>
      <c r="G214" s="13"/>
      <c r="H214" s="15"/>
      <c r="I214" s="45" t="s">
        <v>960</v>
      </c>
      <c r="J214" s="45" t="s">
        <v>1387</v>
      </c>
      <c r="K214" s="46" t="s">
        <v>654</v>
      </c>
      <c r="L214" s="47" t="s">
        <v>1312</v>
      </c>
      <c r="M214" s="66">
        <f>IFERROR(VLOOKUP($L214,[3]Consolidated!$C$9:$AC$452,27,0),0)</f>
        <v>3809500</v>
      </c>
      <c r="N214" s="66">
        <f>IFERROR(VLOOKUP($L214,[3]Consolidated!$C$9:$AC$452,5,0),0)</f>
        <v>20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4">
        <f>(VLOOKUP($O$2,Prices!$E$3:$K$17,2,FALSE)*O214)+(VLOOKUP($P$2,Prices!$J$3:$K$17,2,FALSE)*P214)+(VLOOKUP($Q$2,Prices!$J$3:$K$17,2,FALSE)*Q214)+(VLOOKUP($R$2,Prices!$J$3:$K$17,2,FALSE)*R214)+(VLOOKUP($S$2,Prices!$J$3:$K$17,2,FALSE)*S214)+(VLOOKUP($T$2,Prices!$J$3:$K$17,2,FALSE)*T214)+(VLOOKUP($U$2,Prices!$J$3:$K$17,2,FALSE)*U214)+(VLOOKUP($V$2,Prices!$J$3:$K$17,2,FALSE)*V214)+(VLOOKUP($W$2,Prices!$J$3:$K$17,2,FALSE)*W214)+(VLOOKUP($X$2,Prices!$J$3:$K$17,2,FALSE)*X214)+(VLOOKUP($Y$2,Prices!$J$3:$K$17,2,FALSE)*Y214)+(VLOOKUP($Z$2,Prices!$J$3:$K$17,2,FALSE)*Z214)+(VLOOKUP($AA$2,Prices!$J$3:$K$17,2,FALSE)*AA214)+(VLOOKUP($AB$2,Prices!$J$3:$K$17,2,FALSE)*AB214)+M214</f>
        <v>3809500</v>
      </c>
      <c r="AD214" s="69">
        <v>1013500</v>
      </c>
      <c r="AE214" s="18"/>
      <c r="AF214" s="4">
        <f t="shared" si="21"/>
        <v>1013500</v>
      </c>
      <c r="AG214" s="4"/>
      <c r="AH214" s="16">
        <f t="shared" si="22"/>
        <v>1013500</v>
      </c>
      <c r="AI214" s="21">
        <f t="shared" si="20"/>
        <v>0.26604541278382993</v>
      </c>
      <c r="AJ214" s="20">
        <f t="shared" si="23"/>
        <v>0.26604541278382993</v>
      </c>
      <c r="AK214" s="9"/>
    </row>
    <row r="215" spans="1:37" hidden="1">
      <c r="A215" s="3">
        <v>213</v>
      </c>
      <c r="B215" s="12"/>
      <c r="C215" s="13"/>
      <c r="D215" s="13"/>
      <c r="E215" s="13"/>
      <c r="F215" s="13"/>
      <c r="G215" s="13"/>
      <c r="H215" s="15"/>
      <c r="I215" s="45" t="s">
        <v>898</v>
      </c>
      <c r="J215" s="45" t="s">
        <v>1387</v>
      </c>
      <c r="K215" s="46" t="s">
        <v>655</v>
      </c>
      <c r="L215" s="47" t="s">
        <v>1298</v>
      </c>
      <c r="M215" s="66">
        <f>IFERROR(VLOOKUP($L215,[3]Consolidated!$C$9:$AC$452,27,0),0)</f>
        <v>14766875</v>
      </c>
      <c r="N215" s="66">
        <f>IFERROR(VLOOKUP($L215,[3]Consolidated!$C$9:$AC$452,5,0),0)</f>
        <v>70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4">
        <f>(VLOOKUP($O$2,Prices!$E$3:$K$17,2,FALSE)*O215)+(VLOOKUP($P$2,Prices!$J$3:$K$17,2,FALSE)*P215)+(VLOOKUP($Q$2,Prices!$J$3:$K$17,2,FALSE)*Q215)+(VLOOKUP($R$2,Prices!$J$3:$K$17,2,FALSE)*R215)+(VLOOKUP($S$2,Prices!$J$3:$K$17,2,FALSE)*S215)+(VLOOKUP($T$2,Prices!$J$3:$K$17,2,FALSE)*T215)+(VLOOKUP($U$2,Prices!$J$3:$K$17,2,FALSE)*U215)+(VLOOKUP($V$2,Prices!$J$3:$K$17,2,FALSE)*V215)+(VLOOKUP($W$2,Prices!$J$3:$K$17,2,FALSE)*W215)+(VLOOKUP($X$2,Prices!$J$3:$K$17,2,FALSE)*X215)+(VLOOKUP($Y$2,Prices!$J$3:$K$17,2,FALSE)*Y215)+(VLOOKUP($Z$2,Prices!$J$3:$K$17,2,FALSE)*Z215)+(VLOOKUP($AA$2,Prices!$J$3:$K$17,2,FALSE)*AA215)+(VLOOKUP($AB$2,Prices!$J$3:$K$17,2,FALSE)*AB215)+M215</f>
        <v>14766875</v>
      </c>
      <c r="AD215" s="69">
        <v>4707000</v>
      </c>
      <c r="AE215" s="18"/>
      <c r="AF215" s="4">
        <f t="shared" si="21"/>
        <v>4707000</v>
      </c>
      <c r="AG215" s="4"/>
      <c r="AH215" s="16">
        <f t="shared" si="22"/>
        <v>4707000</v>
      </c>
      <c r="AI215" s="21">
        <f t="shared" si="20"/>
        <v>0.31875396791805982</v>
      </c>
      <c r="AJ215" s="20">
        <f t="shared" si="23"/>
        <v>0.31875396791805982</v>
      </c>
      <c r="AK215" s="9"/>
    </row>
    <row r="216" spans="1:37" hidden="1">
      <c r="A216" s="3">
        <v>214</v>
      </c>
      <c r="B216" s="12"/>
      <c r="C216" s="13"/>
      <c r="D216" s="13"/>
      <c r="E216" s="13"/>
      <c r="F216" s="13"/>
      <c r="G216" s="13"/>
      <c r="H216" s="15"/>
      <c r="I216" s="45" t="s">
        <v>947</v>
      </c>
      <c r="J216" s="45" t="s">
        <v>1387</v>
      </c>
      <c r="K216" s="46" t="s">
        <v>655</v>
      </c>
      <c r="L216" s="46" t="s">
        <v>1299</v>
      </c>
      <c r="M216" s="66">
        <f>IFERROR(VLOOKUP($L216,[3]Consolidated!$C$9:$AC$452,27,0),0)</f>
        <v>0</v>
      </c>
      <c r="N216" s="66">
        <f>IFERROR(VLOOKUP($L216,[3]Consolidated!$C$9:$AC$452,5,0),0)</f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4">
        <f>(VLOOKUP($O$2,Prices!$E$3:$K$17,2,FALSE)*O216)+(VLOOKUP($P$2,Prices!$J$3:$K$17,2,FALSE)*P216)+(VLOOKUP($Q$2,Prices!$J$3:$K$17,2,FALSE)*Q216)+(VLOOKUP($R$2,Prices!$J$3:$K$17,2,FALSE)*R216)+(VLOOKUP($S$2,Prices!$J$3:$K$17,2,FALSE)*S216)+(VLOOKUP($T$2,Prices!$J$3:$K$17,2,FALSE)*T216)+(VLOOKUP($U$2,Prices!$J$3:$K$17,2,FALSE)*U216)+(VLOOKUP($V$2,Prices!$J$3:$K$17,2,FALSE)*V216)+(VLOOKUP($W$2,Prices!$J$3:$K$17,2,FALSE)*W216)+(VLOOKUP($X$2,Prices!$J$3:$K$17,2,FALSE)*X216)+(VLOOKUP($Y$2,Prices!$J$3:$K$17,2,FALSE)*Y216)+(VLOOKUP($Z$2,Prices!$J$3:$K$17,2,FALSE)*Z216)+(VLOOKUP($AA$2,Prices!$J$3:$K$17,2,FALSE)*AA216)+(VLOOKUP($AB$2,Prices!$J$3:$K$17,2,FALSE)*AB216)+M216</f>
        <v>0</v>
      </c>
      <c r="AD216" s="13">
        <v>0</v>
      </c>
      <c r="AE216" s="18"/>
      <c r="AF216" s="4">
        <f t="shared" si="21"/>
        <v>0</v>
      </c>
      <c r="AG216" s="4"/>
      <c r="AH216" s="16">
        <f t="shared" si="22"/>
        <v>0</v>
      </c>
      <c r="AI216" s="21" t="e">
        <f t="shared" si="20"/>
        <v>#DIV/0!</v>
      </c>
      <c r="AJ216" s="20" t="e">
        <f t="shared" si="23"/>
        <v>#DIV/0!</v>
      </c>
      <c r="AK216" s="9"/>
    </row>
    <row r="217" spans="1:37" hidden="1">
      <c r="A217" s="3">
        <v>215</v>
      </c>
      <c r="B217" s="12"/>
      <c r="C217" s="13"/>
      <c r="D217" s="13"/>
      <c r="E217" s="13"/>
      <c r="F217" s="13"/>
      <c r="G217" s="13"/>
      <c r="H217" s="15"/>
      <c r="I217" s="45" t="s">
        <v>956</v>
      </c>
      <c r="J217" s="45" t="s">
        <v>1387</v>
      </c>
      <c r="K217" s="46" t="s">
        <v>652</v>
      </c>
      <c r="L217" s="47" t="s">
        <v>1308</v>
      </c>
      <c r="M217" s="66">
        <f>IFERROR(VLOOKUP($L217,[3]Consolidated!$C$9:$AC$452,27,0),0)</f>
        <v>4138000</v>
      </c>
      <c r="N217" s="66">
        <f>IFERROR(VLOOKUP($L217,[3]Consolidated!$C$9:$AC$452,5,0),0)</f>
        <v>20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4">
        <f>(VLOOKUP($O$2,Prices!$E$3:$K$17,2,FALSE)*O217)+(VLOOKUP($P$2,Prices!$J$3:$K$17,2,FALSE)*P217)+(VLOOKUP($Q$2,Prices!$J$3:$K$17,2,FALSE)*Q217)+(VLOOKUP($R$2,Prices!$J$3:$K$17,2,FALSE)*R217)+(VLOOKUP($S$2,Prices!$J$3:$K$17,2,FALSE)*S217)+(VLOOKUP($T$2,Prices!$J$3:$K$17,2,FALSE)*T217)+(VLOOKUP($U$2,Prices!$J$3:$K$17,2,FALSE)*U217)+(VLOOKUP($V$2,Prices!$J$3:$K$17,2,FALSE)*V217)+(VLOOKUP($W$2,Prices!$J$3:$K$17,2,FALSE)*W217)+(VLOOKUP($X$2,Prices!$J$3:$K$17,2,FALSE)*X217)+(VLOOKUP($Y$2,Prices!$J$3:$K$17,2,FALSE)*Y217)+(VLOOKUP($Z$2,Prices!$J$3:$K$17,2,FALSE)*Z217)+(VLOOKUP($AA$2,Prices!$J$3:$K$17,2,FALSE)*AA217)+(VLOOKUP($AB$2,Prices!$J$3:$K$17,2,FALSE)*AB217)+M217</f>
        <v>4138000</v>
      </c>
      <c r="AD217" s="69">
        <v>723500</v>
      </c>
      <c r="AE217" s="18"/>
      <c r="AF217" s="4">
        <f t="shared" si="21"/>
        <v>723500</v>
      </c>
      <c r="AG217" s="4"/>
      <c r="AH217" s="16">
        <f t="shared" si="22"/>
        <v>723500</v>
      </c>
      <c r="AI217" s="21">
        <f t="shared" si="20"/>
        <v>0.1748429192846786</v>
      </c>
      <c r="AJ217" s="20">
        <f t="shared" si="23"/>
        <v>0.1748429192846786</v>
      </c>
      <c r="AK217" s="9"/>
    </row>
    <row r="218" spans="1:37" hidden="1">
      <c r="A218" s="3">
        <v>216</v>
      </c>
      <c r="B218" s="12"/>
      <c r="C218" s="13"/>
      <c r="D218" s="13"/>
      <c r="E218" s="13"/>
      <c r="F218" s="13"/>
      <c r="G218" s="13"/>
      <c r="H218" s="15"/>
      <c r="I218" s="45" t="s">
        <v>890</v>
      </c>
      <c r="J218" s="45" t="s">
        <v>1387</v>
      </c>
      <c r="K218" s="46" t="s">
        <v>654</v>
      </c>
      <c r="L218" s="46" t="s">
        <v>1242</v>
      </c>
      <c r="M218" s="66">
        <f>IFERROR(VLOOKUP($L218,[3]Consolidated!$C$9:$AC$452,27,0),0)</f>
        <v>1985000</v>
      </c>
      <c r="N218" s="66">
        <f>IFERROR(VLOOKUP($L218,[3]Consolidated!$C$9:$AC$452,5,0),0)</f>
        <v>10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4">
        <f>(VLOOKUP($O$2,Prices!$E$3:$K$17,2,FALSE)*O218)+(VLOOKUP($P$2,Prices!$J$3:$K$17,2,FALSE)*P218)+(VLOOKUP($Q$2,Prices!$J$3:$K$17,2,FALSE)*Q218)+(VLOOKUP($R$2,Prices!$J$3:$K$17,2,FALSE)*R218)+(VLOOKUP($S$2,Prices!$J$3:$K$17,2,FALSE)*S218)+(VLOOKUP($T$2,Prices!$J$3:$K$17,2,FALSE)*T218)+(VLOOKUP($U$2,Prices!$J$3:$K$17,2,FALSE)*U218)+(VLOOKUP($V$2,Prices!$J$3:$K$17,2,FALSE)*V218)+(VLOOKUP($W$2,Prices!$J$3:$K$17,2,FALSE)*W218)+(VLOOKUP($X$2,Prices!$J$3:$K$17,2,FALSE)*X218)+(VLOOKUP($Y$2,Prices!$J$3:$K$17,2,FALSE)*Y218)+(VLOOKUP($Z$2,Prices!$J$3:$K$17,2,FALSE)*Z218)+(VLOOKUP($AA$2,Prices!$J$3:$K$17,2,FALSE)*AA218)+(VLOOKUP($AB$2,Prices!$J$3:$K$17,2,FALSE)*AB218)+M218</f>
        <v>1985000</v>
      </c>
      <c r="AD218" s="13">
        <v>0</v>
      </c>
      <c r="AE218" s="18"/>
      <c r="AF218" s="4">
        <f t="shared" si="21"/>
        <v>0</v>
      </c>
      <c r="AG218" s="4"/>
      <c r="AH218" s="16">
        <f t="shared" si="22"/>
        <v>0</v>
      </c>
      <c r="AI218" s="21">
        <f t="shared" si="20"/>
        <v>0</v>
      </c>
      <c r="AJ218" s="20">
        <f t="shared" si="23"/>
        <v>0</v>
      </c>
      <c r="AK218" s="9"/>
    </row>
    <row r="219" spans="1:37" hidden="1">
      <c r="A219" s="3">
        <v>217</v>
      </c>
      <c r="B219" s="12"/>
      <c r="C219" s="13"/>
      <c r="D219" s="13"/>
      <c r="E219" s="13"/>
      <c r="F219" s="13"/>
      <c r="G219" s="13"/>
      <c r="H219" s="15"/>
      <c r="I219" s="45" t="s">
        <v>914</v>
      </c>
      <c r="J219" s="45" t="s">
        <v>1387</v>
      </c>
      <c r="K219" s="46" t="s">
        <v>655</v>
      </c>
      <c r="L219" s="46" t="s">
        <v>1265</v>
      </c>
      <c r="M219" s="66">
        <f>IFERROR(VLOOKUP($L219,[3]Consolidated!$C$9:$AC$452,27,0),0)</f>
        <v>0</v>
      </c>
      <c r="N219" s="66">
        <f>IFERROR(VLOOKUP($L219,[3]Consolidated!$C$9:$AC$452,5,0),0)</f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4">
        <f>(VLOOKUP($O$2,Prices!$E$3:$K$17,2,FALSE)*O219)+(VLOOKUP($P$2,Prices!$J$3:$K$17,2,FALSE)*P219)+(VLOOKUP($Q$2,Prices!$J$3:$K$17,2,FALSE)*Q219)+(VLOOKUP($R$2,Prices!$J$3:$K$17,2,FALSE)*R219)+(VLOOKUP($S$2,Prices!$J$3:$K$17,2,FALSE)*S219)+(VLOOKUP($T$2,Prices!$J$3:$K$17,2,FALSE)*T219)+(VLOOKUP($U$2,Prices!$J$3:$K$17,2,FALSE)*U219)+(VLOOKUP($V$2,Prices!$J$3:$K$17,2,FALSE)*V219)+(VLOOKUP($W$2,Prices!$J$3:$K$17,2,FALSE)*W219)+(VLOOKUP($X$2,Prices!$J$3:$K$17,2,FALSE)*X219)+(VLOOKUP($Y$2,Prices!$J$3:$K$17,2,FALSE)*Y219)+(VLOOKUP($Z$2,Prices!$J$3:$K$17,2,FALSE)*Z219)+(VLOOKUP($AA$2,Prices!$J$3:$K$17,2,FALSE)*AA219)+(VLOOKUP($AB$2,Prices!$J$3:$K$17,2,FALSE)*AB219)+M219</f>
        <v>0</v>
      </c>
      <c r="AD219" s="13">
        <v>0</v>
      </c>
      <c r="AE219" s="18"/>
      <c r="AF219" s="4">
        <f t="shared" si="21"/>
        <v>0</v>
      </c>
      <c r="AG219" s="4"/>
      <c r="AH219" s="16">
        <f t="shared" si="22"/>
        <v>0</v>
      </c>
      <c r="AI219" s="21" t="e">
        <f t="shared" si="20"/>
        <v>#DIV/0!</v>
      </c>
      <c r="AJ219" s="20" t="e">
        <f t="shared" si="23"/>
        <v>#DIV/0!</v>
      </c>
      <c r="AK219" s="19"/>
    </row>
    <row r="220" spans="1:37" hidden="1">
      <c r="A220" s="3">
        <v>218</v>
      </c>
      <c r="B220" s="12"/>
      <c r="C220" s="13"/>
      <c r="D220" s="13"/>
      <c r="E220" s="13"/>
      <c r="F220" s="13"/>
      <c r="G220" s="13"/>
      <c r="H220" s="15"/>
      <c r="I220" s="45" t="s">
        <v>949</v>
      </c>
      <c r="J220" s="45" t="s">
        <v>1387</v>
      </c>
      <c r="K220" s="46" t="s">
        <v>653</v>
      </c>
      <c r="L220" s="47" t="s">
        <v>1300</v>
      </c>
      <c r="M220" s="66">
        <f>IFERROR(VLOOKUP($L220,[3]Consolidated!$C$9:$AC$452,27,0),0)</f>
        <v>0</v>
      </c>
      <c r="N220" s="66">
        <f>IFERROR(VLOOKUP($L220,[3]Consolidated!$C$9:$AC$452,5,0),0)</f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4">
        <f>(VLOOKUP($O$2,Prices!$E$3:$K$17,2,FALSE)*O220)+(VLOOKUP($P$2,Prices!$J$3:$K$17,2,FALSE)*P220)+(VLOOKUP($Q$2,Prices!$J$3:$K$17,2,FALSE)*Q220)+(VLOOKUP($R$2,Prices!$J$3:$K$17,2,FALSE)*R220)+(VLOOKUP($S$2,Prices!$J$3:$K$17,2,FALSE)*S220)+(VLOOKUP($T$2,Prices!$J$3:$K$17,2,FALSE)*T220)+(VLOOKUP($U$2,Prices!$J$3:$K$17,2,FALSE)*U220)+(VLOOKUP($V$2,Prices!$J$3:$K$17,2,FALSE)*V220)+(VLOOKUP($W$2,Prices!$J$3:$K$17,2,FALSE)*W220)+(VLOOKUP($X$2,Prices!$J$3:$K$17,2,FALSE)*X220)+(VLOOKUP($Y$2,Prices!$J$3:$K$17,2,FALSE)*Y220)+(VLOOKUP($Z$2,Prices!$J$3:$K$17,2,FALSE)*Z220)+(VLOOKUP($AA$2,Prices!$J$3:$K$17,2,FALSE)*AA220)+(VLOOKUP($AB$2,Prices!$J$3:$K$17,2,FALSE)*AB220)+M220</f>
        <v>0</v>
      </c>
      <c r="AD220" s="13">
        <v>0</v>
      </c>
      <c r="AE220" s="18"/>
      <c r="AF220" s="4">
        <f t="shared" si="21"/>
        <v>0</v>
      </c>
      <c r="AG220" s="4"/>
      <c r="AH220" s="16">
        <f t="shared" si="22"/>
        <v>0</v>
      </c>
      <c r="AI220" s="21" t="e">
        <f t="shared" si="20"/>
        <v>#DIV/0!</v>
      </c>
      <c r="AJ220" s="20" t="e">
        <f t="shared" si="23"/>
        <v>#DIV/0!</v>
      </c>
      <c r="AK220" s="9"/>
    </row>
    <row r="221" spans="1:37" hidden="1">
      <c r="A221" s="3">
        <v>219</v>
      </c>
      <c r="B221" s="12"/>
      <c r="C221" s="13"/>
      <c r="D221" s="13"/>
      <c r="E221" s="13"/>
      <c r="F221" s="13"/>
      <c r="G221" s="13"/>
      <c r="H221" s="15"/>
      <c r="I221" s="45" t="s">
        <v>1356</v>
      </c>
      <c r="J221" s="45" t="s">
        <v>1387</v>
      </c>
      <c r="K221" s="46" t="s">
        <v>657</v>
      </c>
      <c r="L221" s="47" t="s">
        <v>1354</v>
      </c>
      <c r="M221" s="66">
        <f>IFERROR(VLOOKUP($L221,[3]Consolidated!$C$9:$AC$452,27,0),0)</f>
        <v>9962000</v>
      </c>
      <c r="N221" s="66">
        <f>IFERROR(VLOOKUP($L221,[3]Consolidated!$C$9:$AC$452,5,0),0)</f>
        <v>40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4">
        <f>(VLOOKUP($O$2,Prices!$E$3:$K$17,2,FALSE)*O221)+(VLOOKUP($P$2,Prices!$J$3:$K$17,2,FALSE)*P221)+(VLOOKUP($Q$2,Prices!$J$3:$K$17,2,FALSE)*Q221)+(VLOOKUP($R$2,Prices!$J$3:$K$17,2,FALSE)*R221)+(VLOOKUP($S$2,Prices!$J$3:$K$17,2,FALSE)*S221)+(VLOOKUP($T$2,Prices!$J$3:$K$17,2,FALSE)*T221)+(VLOOKUP($U$2,Prices!$J$3:$K$17,2,FALSE)*U221)+(VLOOKUP($V$2,Prices!$J$3:$K$17,2,FALSE)*V221)+(VLOOKUP($W$2,Prices!$J$3:$K$17,2,FALSE)*W221)+(VLOOKUP($X$2,Prices!$J$3:$K$17,2,FALSE)*X221)+(VLOOKUP($Y$2,Prices!$J$3:$K$17,2,FALSE)*Y221)+(VLOOKUP($Z$2,Prices!$J$3:$K$17,2,FALSE)*Z221)+(VLOOKUP($AA$2,Prices!$J$3:$K$17,2,FALSE)*AA221)+(VLOOKUP($AB$2,Prices!$J$3:$K$17,2,FALSE)*AB221)+M221</f>
        <v>9962000</v>
      </c>
      <c r="AD221" s="69">
        <v>1044500</v>
      </c>
      <c r="AE221" s="18"/>
      <c r="AF221" s="4">
        <f t="shared" si="21"/>
        <v>1044500</v>
      </c>
      <c r="AG221" s="4"/>
      <c r="AH221" s="16">
        <f t="shared" si="22"/>
        <v>1044500</v>
      </c>
      <c r="AI221" s="21">
        <f t="shared" si="20"/>
        <v>0.10484842401124272</v>
      </c>
      <c r="AJ221" s="20">
        <f t="shared" si="23"/>
        <v>0.10484842401124272</v>
      </c>
      <c r="AK221" s="9"/>
    </row>
    <row r="222" spans="1:37" hidden="1">
      <c r="A222" s="3">
        <v>220</v>
      </c>
      <c r="B222" s="12"/>
      <c r="C222" s="13"/>
      <c r="D222" s="13"/>
      <c r="E222" s="13"/>
      <c r="F222" s="13"/>
      <c r="G222" s="13"/>
      <c r="H222" s="15"/>
      <c r="I222" s="45" t="s">
        <v>1399</v>
      </c>
      <c r="J222" s="45" t="s">
        <v>1387</v>
      </c>
      <c r="K222" s="46" t="s">
        <v>656</v>
      </c>
      <c r="L222" s="47" t="s">
        <v>1397</v>
      </c>
      <c r="M222" s="66">
        <f>IFERROR(VLOOKUP($L222,[3]Consolidated!$C$9:$AC$452,27,0),0)</f>
        <v>6842700</v>
      </c>
      <c r="N222" s="66">
        <f>IFERROR(VLOOKUP($L222,[3]Consolidated!$C$9:$AC$452,5,0),0)</f>
        <v>35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4">
        <f>(VLOOKUP($O$2,Prices!$E$3:$K$17,2,FALSE)*O222)+(VLOOKUP($P$2,Prices!$J$3:$K$17,2,FALSE)*P222)+(VLOOKUP($Q$2,Prices!$J$3:$K$17,2,FALSE)*Q222)+(VLOOKUP($R$2,Prices!$J$3:$K$17,2,FALSE)*R222)+(VLOOKUP($S$2,Prices!$J$3:$K$17,2,FALSE)*S222)+(VLOOKUP($T$2,Prices!$J$3:$K$17,2,FALSE)*T222)+(VLOOKUP($U$2,Prices!$J$3:$K$17,2,FALSE)*U222)+(VLOOKUP($V$2,Prices!$J$3:$K$17,2,FALSE)*V222)+(VLOOKUP($W$2,Prices!$J$3:$K$17,2,FALSE)*W222)+(VLOOKUP($X$2,Prices!$J$3:$K$17,2,FALSE)*X222)+(VLOOKUP($Y$2,Prices!$J$3:$K$17,2,FALSE)*Y222)+(VLOOKUP($Z$2,Prices!$J$3:$K$17,2,FALSE)*Z222)+(VLOOKUP($AA$2,Prices!$J$3:$K$17,2,FALSE)*AA222)+(VLOOKUP($AB$2,Prices!$J$3:$K$17,2,FALSE)*AB222)+M222</f>
        <v>6842700</v>
      </c>
      <c r="AD222" s="69">
        <v>1750250</v>
      </c>
      <c r="AE222" s="18"/>
      <c r="AF222" s="4">
        <f t="shared" si="21"/>
        <v>1750250</v>
      </c>
      <c r="AG222" s="4"/>
      <c r="AH222" s="16">
        <f t="shared" si="22"/>
        <v>1750250</v>
      </c>
      <c r="AI222" s="21">
        <f t="shared" si="20"/>
        <v>0.25578353573881657</v>
      </c>
      <c r="AJ222" s="20">
        <f t="shared" si="23"/>
        <v>0.25578353573881657</v>
      </c>
      <c r="AK222" s="9"/>
    </row>
    <row r="223" spans="1:37">
      <c r="A223" s="3">
        <v>221</v>
      </c>
      <c r="B223" s="12"/>
      <c r="C223" s="13"/>
      <c r="D223" s="13"/>
      <c r="E223" s="13"/>
      <c r="F223" s="13"/>
      <c r="G223" s="13"/>
      <c r="H223" s="15"/>
      <c r="I223" s="45" t="s">
        <v>954</v>
      </c>
      <c r="J223" s="45" t="s">
        <v>1387</v>
      </c>
      <c r="K223" s="46" t="s">
        <v>656</v>
      </c>
      <c r="L223" s="47" t="s">
        <v>1306</v>
      </c>
      <c r="M223" s="66">
        <f>IFERROR(VLOOKUP($L223,[3]Consolidated!$C$9:$AC$452,27,0),0)</f>
        <v>10347400</v>
      </c>
      <c r="N223" s="66">
        <f>IFERROR(VLOOKUP($L223,[3]Consolidated!$C$9:$AC$452,5,0),0)</f>
        <v>45.000000000000007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4">
        <f>(VLOOKUP($O$2,Prices!$E$3:$K$17,2,FALSE)*O223)+(VLOOKUP($P$2,Prices!$J$3:$K$17,2,FALSE)*P223)+(VLOOKUP($Q$2,Prices!$J$3:$K$17,2,FALSE)*Q223)+(VLOOKUP($R$2,Prices!$J$3:$K$17,2,FALSE)*R223)+(VLOOKUP($S$2,Prices!$J$3:$K$17,2,FALSE)*S223)+(VLOOKUP($T$2,Prices!$J$3:$K$17,2,FALSE)*T223)+(VLOOKUP($U$2,Prices!$J$3:$K$17,2,FALSE)*U223)+(VLOOKUP($V$2,Prices!$J$3:$K$17,2,FALSE)*V223)+(VLOOKUP($W$2,Prices!$J$3:$K$17,2,FALSE)*W223)+(VLOOKUP($X$2,Prices!$J$3:$K$17,2,FALSE)*X223)+(VLOOKUP($Y$2,Prices!$J$3:$K$17,2,FALSE)*Y223)+(VLOOKUP($Z$2,Prices!$J$3:$K$17,2,FALSE)*Z223)+(VLOOKUP($AA$2,Prices!$J$3:$K$17,2,FALSE)*AA223)+(VLOOKUP($AB$2,Prices!$J$3:$K$17,2,FALSE)*AB223)+M223</f>
        <v>10347400</v>
      </c>
      <c r="AD223" s="69">
        <v>1298390</v>
      </c>
      <c r="AE223" s="18"/>
      <c r="AF223" s="4">
        <f t="shared" si="21"/>
        <v>1298390</v>
      </c>
      <c r="AG223" s="4">
        <v>6000000</v>
      </c>
      <c r="AH223" s="16">
        <f t="shared" si="22"/>
        <v>7298390</v>
      </c>
      <c r="AI223" s="21">
        <f t="shared" si="20"/>
        <v>0.70533563987088543</v>
      </c>
      <c r="AJ223" s="20">
        <f t="shared" si="23"/>
        <v>0.70533563987088543</v>
      </c>
      <c r="AK223" s="9"/>
    </row>
    <row r="224" spans="1:37" hidden="1">
      <c r="A224" s="3">
        <v>222</v>
      </c>
      <c r="B224" s="12"/>
      <c r="C224" s="13"/>
      <c r="D224" s="13"/>
      <c r="E224" s="13"/>
      <c r="F224" s="13"/>
      <c r="G224" s="13"/>
      <c r="H224" s="15"/>
      <c r="I224" s="45" t="s">
        <v>1329</v>
      </c>
      <c r="J224" s="45" t="s">
        <v>1387</v>
      </c>
      <c r="K224" s="46" t="s">
        <v>656</v>
      </c>
      <c r="L224" s="47" t="s">
        <v>1339</v>
      </c>
      <c r="M224" s="66">
        <f>IFERROR(VLOOKUP($L224,[3]Consolidated!$C$9:$AC$452,27,0),0)</f>
        <v>0</v>
      </c>
      <c r="N224" s="66">
        <f>IFERROR(VLOOKUP($L224,[3]Consolidated!$C$9:$AC$452,5,0),0)</f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4">
        <f>(VLOOKUP($O$2,Prices!$E$3:$K$17,2,FALSE)*O224)+(VLOOKUP($P$2,Prices!$J$3:$K$17,2,FALSE)*P224)+(VLOOKUP($Q$2,Prices!$J$3:$K$17,2,FALSE)*Q224)+(VLOOKUP($R$2,Prices!$J$3:$K$17,2,FALSE)*R224)+(VLOOKUP($S$2,Prices!$J$3:$K$17,2,FALSE)*S224)+(VLOOKUP($T$2,Prices!$J$3:$K$17,2,FALSE)*T224)+(VLOOKUP($U$2,Prices!$J$3:$K$17,2,FALSE)*U224)+(VLOOKUP($V$2,Prices!$J$3:$K$17,2,FALSE)*V224)+(VLOOKUP($W$2,Prices!$J$3:$K$17,2,FALSE)*W224)+(VLOOKUP($X$2,Prices!$J$3:$K$17,2,FALSE)*X224)+(VLOOKUP($Y$2,Prices!$J$3:$K$17,2,FALSE)*Y224)+(VLOOKUP($Z$2,Prices!$J$3:$K$17,2,FALSE)*Z224)+(VLOOKUP($AA$2,Prices!$J$3:$K$17,2,FALSE)*AA224)+(VLOOKUP($AB$2,Prices!$J$3:$K$17,2,FALSE)*AB224)+M224</f>
        <v>0</v>
      </c>
      <c r="AD224" s="13">
        <v>0</v>
      </c>
      <c r="AE224" s="18"/>
      <c r="AF224" s="4">
        <f t="shared" si="21"/>
        <v>0</v>
      </c>
      <c r="AG224" s="4"/>
      <c r="AH224" s="16">
        <f t="shared" si="22"/>
        <v>0</v>
      </c>
      <c r="AI224" s="21" t="e">
        <f t="shared" si="20"/>
        <v>#DIV/0!</v>
      </c>
      <c r="AJ224" s="20" t="e">
        <f t="shared" si="23"/>
        <v>#DIV/0!</v>
      </c>
      <c r="AK224" s="9"/>
    </row>
    <row r="225" spans="1:37" hidden="1">
      <c r="A225" s="3">
        <v>223</v>
      </c>
      <c r="B225" s="12"/>
      <c r="C225" s="13"/>
      <c r="D225" s="13"/>
      <c r="E225" s="13"/>
      <c r="F225" s="13"/>
      <c r="G225" s="13"/>
      <c r="H225" s="15"/>
      <c r="I225" s="45" t="s">
        <v>959</v>
      </c>
      <c r="J225" s="45" t="s">
        <v>1387</v>
      </c>
      <c r="K225" s="46" t="s">
        <v>652</v>
      </c>
      <c r="L225" s="47" t="s">
        <v>1311</v>
      </c>
      <c r="M225" s="66">
        <f>IFERROR(VLOOKUP($L225,[3]Consolidated!$C$9:$AC$452,27,0),0)</f>
        <v>0</v>
      </c>
      <c r="N225" s="66">
        <f>IFERROR(VLOOKUP($L225,[3]Consolidated!$C$9:$AC$452,5,0),0)</f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4">
        <f>(VLOOKUP($O$2,Prices!$E$3:$K$17,2,FALSE)*O225)+(VLOOKUP($P$2,Prices!$J$3:$K$17,2,FALSE)*P225)+(VLOOKUP($Q$2,Prices!$J$3:$K$17,2,FALSE)*Q225)+(VLOOKUP($R$2,Prices!$J$3:$K$17,2,FALSE)*R225)+(VLOOKUP($S$2,Prices!$J$3:$K$17,2,FALSE)*S225)+(VLOOKUP($T$2,Prices!$J$3:$K$17,2,FALSE)*T225)+(VLOOKUP($U$2,Prices!$J$3:$K$17,2,FALSE)*U225)+(VLOOKUP($V$2,Prices!$J$3:$K$17,2,FALSE)*V225)+(VLOOKUP($W$2,Prices!$J$3:$K$17,2,FALSE)*W225)+(VLOOKUP($X$2,Prices!$J$3:$K$17,2,FALSE)*X225)+(VLOOKUP($Y$2,Prices!$J$3:$K$17,2,FALSE)*Y225)+(VLOOKUP($Z$2,Prices!$J$3:$K$17,2,FALSE)*Z225)+(VLOOKUP($AA$2,Prices!$J$3:$K$17,2,FALSE)*AA225)+(VLOOKUP($AB$2,Prices!$J$3:$K$17,2,FALSE)*AB225)+M225</f>
        <v>0</v>
      </c>
      <c r="AD225" s="13">
        <v>0</v>
      </c>
      <c r="AE225" s="18"/>
      <c r="AF225" s="4">
        <f t="shared" si="21"/>
        <v>0</v>
      </c>
      <c r="AG225" s="4"/>
      <c r="AH225" s="16">
        <f t="shared" si="22"/>
        <v>0</v>
      </c>
      <c r="AI225" s="21" t="e">
        <f t="shared" si="20"/>
        <v>#DIV/0!</v>
      </c>
      <c r="AJ225" s="20" t="e">
        <f t="shared" si="23"/>
        <v>#DIV/0!</v>
      </c>
      <c r="AK225" s="9"/>
    </row>
    <row r="226" spans="1:37" hidden="1">
      <c r="A226" s="3">
        <v>224</v>
      </c>
      <c r="B226" s="12"/>
      <c r="C226" s="13"/>
      <c r="D226" s="13"/>
      <c r="E226" s="13"/>
      <c r="F226" s="13"/>
      <c r="G226" s="13"/>
      <c r="H226" s="15"/>
      <c r="I226" s="45" t="s">
        <v>1400</v>
      </c>
      <c r="J226" s="45" t="s">
        <v>1387</v>
      </c>
      <c r="K226" s="46" t="s">
        <v>655</v>
      </c>
      <c r="L226" s="47" t="s">
        <v>1398</v>
      </c>
      <c r="M226" s="66">
        <f>IFERROR(VLOOKUP($L226,[3]Consolidated!$C$9:$AC$452,27,0),0)</f>
        <v>0</v>
      </c>
      <c r="N226" s="66">
        <f>IFERROR(VLOOKUP($L226,[3]Consolidated!$C$9:$AC$452,5,0),0)</f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4">
        <f>(VLOOKUP($O$2,Prices!$E$3:$K$17,2,FALSE)*O226)+(VLOOKUP($P$2,Prices!$J$3:$K$17,2,FALSE)*P226)+(VLOOKUP($Q$2,Prices!$J$3:$K$17,2,FALSE)*Q226)+(VLOOKUP($R$2,Prices!$J$3:$K$17,2,FALSE)*R226)+(VLOOKUP($S$2,Prices!$J$3:$K$17,2,FALSE)*S226)+(VLOOKUP($T$2,Prices!$J$3:$K$17,2,FALSE)*T226)+(VLOOKUP($U$2,Prices!$J$3:$K$17,2,FALSE)*U226)+(VLOOKUP($V$2,Prices!$J$3:$K$17,2,FALSE)*V226)+(VLOOKUP($W$2,Prices!$J$3:$K$17,2,FALSE)*W226)+(VLOOKUP($X$2,Prices!$J$3:$K$17,2,FALSE)*X226)+(VLOOKUP($Y$2,Prices!$J$3:$K$17,2,FALSE)*Y226)+(VLOOKUP($Z$2,Prices!$J$3:$K$17,2,FALSE)*Z226)+(VLOOKUP($AA$2,Prices!$J$3:$K$17,2,FALSE)*AA226)+(VLOOKUP($AB$2,Prices!$J$3:$K$17,2,FALSE)*AB226)+M226</f>
        <v>0</v>
      </c>
      <c r="AD226" s="13">
        <v>0</v>
      </c>
      <c r="AE226" s="18"/>
      <c r="AF226" s="4">
        <f t="shared" ref="AF226:AF259" si="24">AD226-AE226</f>
        <v>0</v>
      </c>
      <c r="AG226" s="4"/>
      <c r="AH226" s="16">
        <f t="shared" ref="AH226:AH260" si="25">AD226+AG226</f>
        <v>0</v>
      </c>
      <c r="AI226" s="21" t="e">
        <f t="shared" si="20"/>
        <v>#DIV/0!</v>
      </c>
      <c r="AJ226" s="20" t="e">
        <f t="shared" ref="AJ226:AJ261" si="26">AH226/AC226</f>
        <v>#DIV/0!</v>
      </c>
      <c r="AK226" s="9"/>
    </row>
    <row r="227" spans="1:37" hidden="1">
      <c r="A227" s="3">
        <v>225</v>
      </c>
      <c r="B227" s="12"/>
      <c r="C227" s="13"/>
      <c r="D227" s="13"/>
      <c r="E227" s="13"/>
      <c r="F227" s="13"/>
      <c r="G227" s="13"/>
      <c r="H227" s="15"/>
      <c r="I227" s="45" t="s">
        <v>1330</v>
      </c>
      <c r="J227" s="45" t="s">
        <v>1387</v>
      </c>
      <c r="K227" s="46" t="s">
        <v>655</v>
      </c>
      <c r="L227" s="47" t="s">
        <v>1340</v>
      </c>
      <c r="M227" s="66">
        <f>IFERROR(VLOOKUP($L227,[3]Consolidated!$C$9:$AC$452,27,0),0)</f>
        <v>0</v>
      </c>
      <c r="N227" s="66">
        <f>IFERROR(VLOOKUP($L227,[3]Consolidated!$C$9:$AC$452,5,0),0)</f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4">
        <f>(VLOOKUP($O$2,Prices!$E$3:$K$17,2,FALSE)*O227)+(VLOOKUP($P$2,Prices!$J$3:$K$17,2,FALSE)*P227)+(VLOOKUP($Q$2,Prices!$J$3:$K$17,2,FALSE)*Q227)+(VLOOKUP($R$2,Prices!$J$3:$K$17,2,FALSE)*R227)+(VLOOKUP($S$2,Prices!$J$3:$K$17,2,FALSE)*S227)+(VLOOKUP($T$2,Prices!$J$3:$K$17,2,FALSE)*T227)+(VLOOKUP($U$2,Prices!$J$3:$K$17,2,FALSE)*U227)+(VLOOKUP($V$2,Prices!$J$3:$K$17,2,FALSE)*V227)+(VLOOKUP($W$2,Prices!$J$3:$K$17,2,FALSE)*W227)+(VLOOKUP($X$2,Prices!$J$3:$K$17,2,FALSE)*X227)+(VLOOKUP($Y$2,Prices!$J$3:$K$17,2,FALSE)*Y227)+(VLOOKUP($Z$2,Prices!$J$3:$K$17,2,FALSE)*Z227)+(VLOOKUP($AA$2,Prices!$J$3:$K$17,2,FALSE)*AA227)+(VLOOKUP($AB$2,Prices!$J$3:$K$17,2,FALSE)*AB227)+M227</f>
        <v>0</v>
      </c>
      <c r="AD227" s="13">
        <v>0</v>
      </c>
      <c r="AE227" s="18"/>
      <c r="AF227" s="4">
        <f t="shared" si="24"/>
        <v>0</v>
      </c>
      <c r="AG227" s="4"/>
      <c r="AH227" s="16">
        <f t="shared" si="25"/>
        <v>0</v>
      </c>
      <c r="AI227" s="21" t="e">
        <f t="shared" si="20"/>
        <v>#DIV/0!</v>
      </c>
      <c r="AJ227" s="20" t="e">
        <f t="shared" si="26"/>
        <v>#DIV/0!</v>
      </c>
      <c r="AK227" s="9"/>
    </row>
    <row r="228" spans="1:37" hidden="1">
      <c r="A228" s="3">
        <v>226</v>
      </c>
      <c r="B228" s="12"/>
      <c r="C228" s="13"/>
      <c r="D228" s="13"/>
      <c r="E228" s="13"/>
      <c r="F228" s="13"/>
      <c r="G228" s="13"/>
      <c r="H228" s="15"/>
      <c r="I228" s="45" t="s">
        <v>782</v>
      </c>
      <c r="J228" s="45" t="s">
        <v>1389</v>
      </c>
      <c r="K228" s="46" t="s">
        <v>1401</v>
      </c>
      <c r="L228" s="47" t="s">
        <v>1097</v>
      </c>
      <c r="M228" s="66">
        <f>IFERROR(VLOOKUP($L228,[3]Consolidated!$C$9:$AC$452,27,0),0)</f>
        <v>5962500</v>
      </c>
      <c r="N228" s="66">
        <f>IFERROR(VLOOKUP($L228,[3]Consolidated!$C$9:$AC$452,5,0),0)</f>
        <v>35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4">
        <f>(VLOOKUP($O$2,Prices!$E$3:$K$17,2,FALSE)*O228)+(VLOOKUP($P$2,Prices!$J$3:$K$17,2,FALSE)*P228)+(VLOOKUP($Q$2,Prices!$J$3:$K$17,2,FALSE)*Q228)+(VLOOKUP($R$2,Prices!$J$3:$K$17,2,FALSE)*R228)+(VLOOKUP($S$2,Prices!$J$3:$K$17,2,FALSE)*S228)+(VLOOKUP($T$2,Prices!$J$3:$K$17,2,FALSE)*T228)+(VLOOKUP($U$2,Prices!$J$3:$K$17,2,FALSE)*U228)+(VLOOKUP($V$2,Prices!$J$3:$K$17,2,FALSE)*V228)+(VLOOKUP($W$2,Prices!$J$3:$K$17,2,FALSE)*W228)+(VLOOKUP($X$2,Prices!$J$3:$K$17,2,FALSE)*X228)+(VLOOKUP($Y$2,Prices!$J$3:$K$17,2,FALSE)*Y228)+(VLOOKUP($Z$2,Prices!$J$3:$K$17,2,FALSE)*Z228)+(VLOOKUP($AA$2,Prices!$J$3:$K$17,2,FALSE)*AA228)+(VLOOKUP($AB$2,Prices!$J$3:$K$17,2,FALSE)*AB228)+M228</f>
        <v>5962500</v>
      </c>
      <c r="AD228" s="18"/>
      <c r="AE228" s="18"/>
      <c r="AF228" s="4">
        <f t="shared" si="24"/>
        <v>0</v>
      </c>
      <c r="AG228" s="4"/>
      <c r="AH228" s="16">
        <f t="shared" si="25"/>
        <v>0</v>
      </c>
      <c r="AI228" s="21">
        <f t="shared" si="20"/>
        <v>0</v>
      </c>
      <c r="AJ228" s="20">
        <f t="shared" si="26"/>
        <v>0</v>
      </c>
      <c r="AK228" s="19"/>
    </row>
    <row r="229" spans="1:37" hidden="1">
      <c r="A229" s="3">
        <v>227</v>
      </c>
      <c r="B229" s="12"/>
      <c r="C229" s="13"/>
      <c r="D229" s="13"/>
      <c r="E229" s="13"/>
      <c r="F229" s="13"/>
      <c r="G229" s="13"/>
      <c r="H229" s="15"/>
      <c r="I229" s="45" t="s">
        <v>778</v>
      </c>
      <c r="J229" s="45" t="s">
        <v>1389</v>
      </c>
      <c r="K229" s="46" t="s">
        <v>1401</v>
      </c>
      <c r="L229" s="47" t="s">
        <v>1089</v>
      </c>
      <c r="M229" s="66">
        <f>IFERROR(VLOOKUP($L229,[3]Consolidated!$C$9:$AC$452,27,0),0)</f>
        <v>1464000</v>
      </c>
      <c r="N229" s="66">
        <f>IFERROR(VLOOKUP($L229,[3]Consolidated!$C$9:$AC$452,5,0),0)</f>
        <v>10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4">
        <f>(VLOOKUP($O$2,Prices!$E$3:$K$17,2,FALSE)*O229)+(VLOOKUP($P$2,Prices!$J$3:$K$17,2,FALSE)*P229)+(VLOOKUP($Q$2,Prices!$J$3:$K$17,2,FALSE)*Q229)+(VLOOKUP($R$2,Prices!$J$3:$K$17,2,FALSE)*R229)+(VLOOKUP($S$2,Prices!$J$3:$K$17,2,FALSE)*S229)+(VLOOKUP($T$2,Prices!$J$3:$K$17,2,FALSE)*T229)+(VLOOKUP($U$2,Prices!$J$3:$K$17,2,FALSE)*U229)+(VLOOKUP($V$2,Prices!$J$3:$K$17,2,FALSE)*V229)+(VLOOKUP($W$2,Prices!$J$3:$K$17,2,FALSE)*W229)+(VLOOKUP($X$2,Prices!$J$3:$K$17,2,FALSE)*X229)+(VLOOKUP($Y$2,Prices!$J$3:$K$17,2,FALSE)*Y229)+(VLOOKUP($Z$2,Prices!$J$3:$K$17,2,FALSE)*Z229)+(VLOOKUP($AA$2,Prices!$J$3:$K$17,2,FALSE)*AA229)+(VLOOKUP($AB$2,Prices!$J$3:$K$17,2,FALSE)*AB229)+M229</f>
        <v>1464000</v>
      </c>
      <c r="AD229" s="18"/>
      <c r="AE229" s="18"/>
      <c r="AF229" s="4">
        <f t="shared" si="24"/>
        <v>0</v>
      </c>
      <c r="AG229" s="4"/>
      <c r="AH229" s="16">
        <f t="shared" si="25"/>
        <v>0</v>
      </c>
      <c r="AI229" s="21">
        <f t="shared" si="20"/>
        <v>0</v>
      </c>
      <c r="AJ229" s="20">
        <f t="shared" si="26"/>
        <v>0</v>
      </c>
      <c r="AK229" s="9"/>
    </row>
    <row r="230" spans="1:37" hidden="1">
      <c r="A230" s="3">
        <v>228</v>
      </c>
      <c r="B230" s="12"/>
      <c r="C230" s="13"/>
      <c r="D230" s="13"/>
      <c r="E230" s="13"/>
      <c r="F230" s="13"/>
      <c r="G230" s="13"/>
      <c r="H230" s="15"/>
      <c r="I230" s="45" t="s">
        <v>781</v>
      </c>
      <c r="J230" s="45" t="s">
        <v>1389</v>
      </c>
      <c r="K230" s="46" t="s">
        <v>1401</v>
      </c>
      <c r="L230" s="47" t="s">
        <v>1096</v>
      </c>
      <c r="M230" s="66">
        <f>IFERROR(VLOOKUP($L230,[3]Consolidated!$C$9:$AC$452,27,0),0)</f>
        <v>2576500</v>
      </c>
      <c r="N230" s="66">
        <f>IFERROR(VLOOKUP($L230,[3]Consolidated!$C$9:$AC$452,5,0),0)</f>
        <v>15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4">
        <f>(VLOOKUP($O$2,Prices!$E$3:$K$17,2,FALSE)*O230)+(VLOOKUP($P$2,Prices!$J$3:$K$17,2,FALSE)*P230)+(VLOOKUP($Q$2,Prices!$J$3:$K$17,2,FALSE)*Q230)+(VLOOKUP($R$2,Prices!$J$3:$K$17,2,FALSE)*R230)+(VLOOKUP($S$2,Prices!$J$3:$K$17,2,FALSE)*S230)+(VLOOKUP($T$2,Prices!$J$3:$K$17,2,FALSE)*T230)+(VLOOKUP($U$2,Prices!$J$3:$K$17,2,FALSE)*U230)+(VLOOKUP($V$2,Prices!$J$3:$K$17,2,FALSE)*V230)+(VLOOKUP($W$2,Prices!$J$3:$K$17,2,FALSE)*W230)+(VLOOKUP($X$2,Prices!$J$3:$K$17,2,FALSE)*X230)+(VLOOKUP($Y$2,Prices!$J$3:$K$17,2,FALSE)*Y230)+(VLOOKUP($Z$2,Prices!$J$3:$K$17,2,FALSE)*Z230)+(VLOOKUP($AA$2,Prices!$J$3:$K$17,2,FALSE)*AA230)+(VLOOKUP($AB$2,Prices!$J$3:$K$17,2,FALSE)*AB230)+M230</f>
        <v>2576500</v>
      </c>
      <c r="AD230" s="18"/>
      <c r="AE230" s="18"/>
      <c r="AF230" s="4">
        <f t="shared" si="24"/>
        <v>0</v>
      </c>
      <c r="AG230" s="4"/>
      <c r="AH230" s="16">
        <f t="shared" si="25"/>
        <v>0</v>
      </c>
      <c r="AI230" s="21">
        <f t="shared" si="20"/>
        <v>0</v>
      </c>
      <c r="AJ230" s="20">
        <f t="shared" si="26"/>
        <v>0</v>
      </c>
      <c r="AK230" s="9"/>
    </row>
    <row r="231" spans="1:37" hidden="1">
      <c r="A231" s="3">
        <v>229</v>
      </c>
      <c r="B231" s="12"/>
      <c r="C231" s="13"/>
      <c r="D231" s="13"/>
      <c r="E231" s="13"/>
      <c r="F231" s="13"/>
      <c r="G231" s="13"/>
      <c r="H231" s="15"/>
      <c r="I231" s="45" t="s">
        <v>780</v>
      </c>
      <c r="J231" s="45" t="s">
        <v>1389</v>
      </c>
      <c r="K231" s="46" t="s">
        <v>1401</v>
      </c>
      <c r="L231" s="47" t="s">
        <v>1095</v>
      </c>
      <c r="M231" s="66">
        <f>IFERROR(VLOOKUP($L231,[3]Consolidated!$C$9:$AC$452,27,0),0)</f>
        <v>6145500</v>
      </c>
      <c r="N231" s="66">
        <f>IFERROR(VLOOKUP($L231,[3]Consolidated!$C$9:$AC$452,5,0),0)</f>
        <v>35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4">
        <f>(VLOOKUP($O$2,Prices!$E$3:$K$17,2,FALSE)*O231)+(VLOOKUP($P$2,Prices!$J$3:$K$17,2,FALSE)*P231)+(VLOOKUP($Q$2,Prices!$J$3:$K$17,2,FALSE)*Q231)+(VLOOKUP($R$2,Prices!$J$3:$K$17,2,FALSE)*R231)+(VLOOKUP($S$2,Prices!$J$3:$K$17,2,FALSE)*S231)+(VLOOKUP($T$2,Prices!$J$3:$K$17,2,FALSE)*T231)+(VLOOKUP($U$2,Prices!$J$3:$K$17,2,FALSE)*U231)+(VLOOKUP($V$2,Prices!$J$3:$K$17,2,FALSE)*V231)+(VLOOKUP($W$2,Prices!$J$3:$K$17,2,FALSE)*W231)+(VLOOKUP($X$2,Prices!$J$3:$K$17,2,FALSE)*X231)+(VLOOKUP($Y$2,Prices!$J$3:$K$17,2,FALSE)*Y231)+(VLOOKUP($Z$2,Prices!$J$3:$K$17,2,FALSE)*Z231)+(VLOOKUP($AA$2,Prices!$J$3:$K$17,2,FALSE)*AA231)+(VLOOKUP($AB$2,Prices!$J$3:$K$17,2,FALSE)*AB231)+M231</f>
        <v>6145500</v>
      </c>
      <c r="AD231" s="18"/>
      <c r="AE231" s="18"/>
      <c r="AF231" s="4">
        <f t="shared" si="24"/>
        <v>0</v>
      </c>
      <c r="AG231" s="4"/>
      <c r="AH231" s="16">
        <f t="shared" si="25"/>
        <v>0</v>
      </c>
      <c r="AI231" s="21">
        <f t="shared" si="20"/>
        <v>0</v>
      </c>
      <c r="AJ231" s="20">
        <f t="shared" si="26"/>
        <v>0</v>
      </c>
      <c r="AK231" s="9"/>
    </row>
    <row r="232" spans="1:37" hidden="1">
      <c r="A232" s="3">
        <v>230</v>
      </c>
      <c r="B232" s="12"/>
      <c r="C232" s="13"/>
      <c r="D232" s="13"/>
      <c r="E232" s="13"/>
      <c r="F232" s="13"/>
      <c r="G232" s="13"/>
      <c r="H232" s="15"/>
      <c r="I232" s="45" t="s">
        <v>1407</v>
      </c>
      <c r="J232" s="45" t="s">
        <v>1389</v>
      </c>
      <c r="K232" s="46" t="s">
        <v>1401</v>
      </c>
      <c r="L232" s="47" t="s">
        <v>1092</v>
      </c>
      <c r="M232" s="66">
        <f>IFERROR(VLOOKUP($L232,[3]Consolidated!$C$9:$AC$452,27,0),0)</f>
        <v>0</v>
      </c>
      <c r="N232" s="66">
        <f>IFERROR(VLOOKUP($L232,[3]Consolidated!$C$9:$AC$452,5,0),0)</f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4">
        <f>(VLOOKUP($O$2,Prices!$E$3:$K$17,2,FALSE)*O232)+(VLOOKUP($P$2,Prices!$J$3:$K$17,2,FALSE)*P232)+(VLOOKUP($Q$2,Prices!$J$3:$K$17,2,FALSE)*Q232)+(VLOOKUP($R$2,Prices!$J$3:$K$17,2,FALSE)*R232)+(VLOOKUP($S$2,Prices!$J$3:$K$17,2,FALSE)*S232)+(VLOOKUP($T$2,Prices!$J$3:$K$17,2,FALSE)*T232)+(VLOOKUP($U$2,Prices!$J$3:$K$17,2,FALSE)*U232)+(VLOOKUP($V$2,Prices!$J$3:$K$17,2,FALSE)*V232)+(VLOOKUP($W$2,Prices!$J$3:$K$17,2,FALSE)*W232)+(VLOOKUP($X$2,Prices!$J$3:$K$17,2,FALSE)*X232)+(VLOOKUP($Y$2,Prices!$J$3:$K$17,2,FALSE)*Y232)+(VLOOKUP($Z$2,Prices!$J$3:$K$17,2,FALSE)*Z232)+(VLOOKUP($AA$2,Prices!$J$3:$K$17,2,FALSE)*AA232)+(VLOOKUP($AB$2,Prices!$J$3:$K$17,2,FALSE)*AB232)+M232</f>
        <v>0</v>
      </c>
      <c r="AD232" s="18"/>
      <c r="AE232" s="18"/>
      <c r="AF232" s="4">
        <f t="shared" si="24"/>
        <v>0</v>
      </c>
      <c r="AG232" s="4"/>
      <c r="AH232" s="16">
        <f t="shared" si="25"/>
        <v>0</v>
      </c>
      <c r="AI232" s="21" t="e">
        <f t="shared" si="20"/>
        <v>#DIV/0!</v>
      </c>
      <c r="AJ232" s="20" t="e">
        <f t="shared" si="26"/>
        <v>#DIV/0!</v>
      </c>
      <c r="AK232" s="9"/>
    </row>
    <row r="233" spans="1:37" hidden="1">
      <c r="A233" s="3">
        <v>231</v>
      </c>
      <c r="B233" s="12"/>
      <c r="C233" s="13"/>
      <c r="D233" s="13"/>
      <c r="E233" s="13"/>
      <c r="F233" s="13"/>
      <c r="G233" s="13"/>
      <c r="H233" s="15"/>
      <c r="I233" s="45" t="s">
        <v>1408</v>
      </c>
      <c r="J233" s="45" t="s">
        <v>1389</v>
      </c>
      <c r="K233" s="46" t="s">
        <v>1401</v>
      </c>
      <c r="L233" s="47" t="s">
        <v>1093</v>
      </c>
      <c r="M233" s="66">
        <f>IFERROR(VLOOKUP($L233,[3]Consolidated!$C$9:$AC$452,27,0),0)</f>
        <v>5829000</v>
      </c>
      <c r="N233" s="66">
        <f>IFERROR(VLOOKUP($L233,[3]Consolidated!$C$9:$AC$452,5,0),0)</f>
        <v>36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4">
        <f>(VLOOKUP($O$2,Prices!$E$3:$K$17,2,FALSE)*O233)+(VLOOKUP($P$2,Prices!$J$3:$K$17,2,FALSE)*P233)+(VLOOKUP($Q$2,Prices!$J$3:$K$17,2,FALSE)*Q233)+(VLOOKUP($R$2,Prices!$J$3:$K$17,2,FALSE)*R233)+(VLOOKUP($S$2,Prices!$J$3:$K$17,2,FALSE)*S233)+(VLOOKUP($T$2,Prices!$J$3:$K$17,2,FALSE)*T233)+(VLOOKUP($U$2,Prices!$J$3:$K$17,2,FALSE)*U233)+(VLOOKUP($V$2,Prices!$J$3:$K$17,2,FALSE)*V233)+(VLOOKUP($W$2,Prices!$J$3:$K$17,2,FALSE)*W233)+(VLOOKUP($X$2,Prices!$J$3:$K$17,2,FALSE)*X233)+(VLOOKUP($Y$2,Prices!$J$3:$K$17,2,FALSE)*Y233)+(VLOOKUP($Z$2,Prices!$J$3:$K$17,2,FALSE)*Z233)+(VLOOKUP($AA$2,Prices!$J$3:$K$17,2,FALSE)*AA233)+(VLOOKUP($AB$2,Prices!$J$3:$K$17,2,FALSE)*AB233)+M233</f>
        <v>5829000</v>
      </c>
      <c r="AD233" s="18"/>
      <c r="AE233" s="18"/>
      <c r="AF233" s="4">
        <f t="shared" si="24"/>
        <v>0</v>
      </c>
      <c r="AG233" s="4"/>
      <c r="AH233" s="16">
        <f t="shared" si="25"/>
        <v>0</v>
      </c>
      <c r="AI233" s="21">
        <f t="shared" si="20"/>
        <v>0</v>
      </c>
      <c r="AJ233" s="20">
        <f t="shared" si="26"/>
        <v>0</v>
      </c>
      <c r="AK233" s="9"/>
    </row>
    <row r="234" spans="1:37" hidden="1">
      <c r="A234" s="3">
        <v>232</v>
      </c>
      <c r="B234" s="12"/>
      <c r="C234" s="13"/>
      <c r="D234" s="13"/>
      <c r="E234" s="13"/>
      <c r="F234" s="13"/>
      <c r="G234" s="13"/>
      <c r="H234" s="15"/>
      <c r="I234" s="45" t="s">
        <v>786</v>
      </c>
      <c r="J234" s="45" t="s">
        <v>1389</v>
      </c>
      <c r="K234" s="46" t="s">
        <v>1401</v>
      </c>
      <c r="L234" s="47" t="s">
        <v>1101</v>
      </c>
      <c r="M234" s="66">
        <f>IFERROR(VLOOKUP($L234,[3]Consolidated!$C$9:$AC$452,27,0),0)</f>
        <v>2324500</v>
      </c>
      <c r="N234" s="66">
        <f>IFERROR(VLOOKUP($L234,[3]Consolidated!$C$9:$AC$452,5,0),0)</f>
        <v>15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4">
        <f>(VLOOKUP($O$2,Prices!$E$3:$K$17,2,FALSE)*O234)+(VLOOKUP($P$2,Prices!$J$3:$K$17,2,FALSE)*P234)+(VLOOKUP($Q$2,Prices!$J$3:$K$17,2,FALSE)*Q234)+(VLOOKUP($R$2,Prices!$J$3:$K$17,2,FALSE)*R234)+(VLOOKUP($S$2,Prices!$J$3:$K$17,2,FALSE)*S234)+(VLOOKUP($T$2,Prices!$J$3:$K$17,2,FALSE)*T234)+(VLOOKUP($U$2,Prices!$J$3:$K$17,2,FALSE)*U234)+(VLOOKUP($V$2,Prices!$J$3:$K$17,2,FALSE)*V234)+(VLOOKUP($W$2,Prices!$J$3:$K$17,2,FALSE)*W234)+(VLOOKUP($X$2,Prices!$J$3:$K$17,2,FALSE)*X234)+(VLOOKUP($Y$2,Prices!$J$3:$K$17,2,FALSE)*Y234)+(VLOOKUP($Z$2,Prices!$J$3:$K$17,2,FALSE)*Z234)+(VLOOKUP($AA$2,Prices!$J$3:$K$17,2,FALSE)*AA234)+(VLOOKUP($AB$2,Prices!$J$3:$K$17,2,FALSE)*AB234)+M234</f>
        <v>2324500</v>
      </c>
      <c r="AD234" s="18"/>
      <c r="AE234" s="18"/>
      <c r="AF234" s="4">
        <f t="shared" si="24"/>
        <v>0</v>
      </c>
      <c r="AG234" s="4"/>
      <c r="AH234" s="16">
        <f t="shared" si="25"/>
        <v>0</v>
      </c>
      <c r="AI234" s="21">
        <f t="shared" si="20"/>
        <v>0</v>
      </c>
      <c r="AJ234" s="20">
        <f t="shared" si="26"/>
        <v>0</v>
      </c>
      <c r="AK234" s="9"/>
    </row>
    <row r="235" spans="1:37" hidden="1">
      <c r="A235" s="3">
        <v>233</v>
      </c>
      <c r="B235" s="12"/>
      <c r="C235" s="13"/>
      <c r="D235" s="13"/>
      <c r="E235" s="13"/>
      <c r="F235" s="13"/>
      <c r="G235" s="13"/>
      <c r="H235" s="15"/>
      <c r="I235" s="45" t="s">
        <v>785</v>
      </c>
      <c r="J235" s="45" t="s">
        <v>1389</v>
      </c>
      <c r="K235" s="46" t="s">
        <v>1401</v>
      </c>
      <c r="L235" s="47" t="s">
        <v>1100</v>
      </c>
      <c r="M235" s="66">
        <f>IFERROR(VLOOKUP($L235,[3]Consolidated!$C$9:$AC$452,27,0),0)</f>
        <v>1711000</v>
      </c>
      <c r="N235" s="66">
        <f>IFERROR(VLOOKUP($L235,[3]Consolidated!$C$9:$AC$452,5,0),0)</f>
        <v>10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4">
        <f>(VLOOKUP($O$2,Prices!$E$3:$K$17,2,FALSE)*O235)+(VLOOKUP($P$2,Prices!$J$3:$K$17,2,FALSE)*P235)+(VLOOKUP($Q$2,Prices!$J$3:$K$17,2,FALSE)*Q235)+(VLOOKUP($R$2,Prices!$J$3:$K$17,2,FALSE)*R235)+(VLOOKUP($S$2,Prices!$J$3:$K$17,2,FALSE)*S235)+(VLOOKUP($T$2,Prices!$J$3:$K$17,2,FALSE)*T235)+(VLOOKUP($U$2,Prices!$J$3:$K$17,2,FALSE)*U235)+(VLOOKUP($V$2,Prices!$J$3:$K$17,2,FALSE)*V235)+(VLOOKUP($W$2,Prices!$J$3:$K$17,2,FALSE)*W235)+(VLOOKUP($X$2,Prices!$J$3:$K$17,2,FALSE)*X235)+(VLOOKUP($Y$2,Prices!$J$3:$K$17,2,FALSE)*Y235)+(VLOOKUP($Z$2,Prices!$J$3:$K$17,2,FALSE)*Z235)+(VLOOKUP($AA$2,Prices!$J$3:$K$17,2,FALSE)*AA235)+(VLOOKUP($AB$2,Prices!$J$3:$K$17,2,FALSE)*AB235)+M235</f>
        <v>1711000</v>
      </c>
      <c r="AD235" s="18"/>
      <c r="AE235" s="18"/>
      <c r="AF235" s="4">
        <f t="shared" si="24"/>
        <v>0</v>
      </c>
      <c r="AG235" s="4"/>
      <c r="AH235" s="16">
        <f t="shared" si="25"/>
        <v>0</v>
      </c>
      <c r="AI235" s="21">
        <f t="shared" si="20"/>
        <v>0</v>
      </c>
      <c r="AJ235" s="20">
        <f t="shared" si="26"/>
        <v>0</v>
      </c>
      <c r="AK235" s="9"/>
    </row>
    <row r="236" spans="1:37" hidden="1">
      <c r="A236" s="3">
        <v>234</v>
      </c>
      <c r="B236" s="12"/>
      <c r="C236" s="13"/>
      <c r="D236" s="13"/>
      <c r="E236" s="13"/>
      <c r="F236" s="13"/>
      <c r="G236" s="13"/>
      <c r="H236" s="15"/>
      <c r="I236" s="45" t="s">
        <v>784</v>
      </c>
      <c r="J236" s="45" t="s">
        <v>1389</v>
      </c>
      <c r="K236" s="46" t="s">
        <v>1401</v>
      </c>
      <c r="L236" s="47" t="s">
        <v>1099</v>
      </c>
      <c r="M236" s="66">
        <f>IFERROR(VLOOKUP($L236,[3]Consolidated!$C$9:$AC$452,27,0),0)</f>
        <v>5285500</v>
      </c>
      <c r="N236" s="66">
        <f>IFERROR(VLOOKUP($L236,[3]Consolidated!$C$9:$AC$452,5,0),0)</f>
        <v>35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4">
        <f>(VLOOKUP($O$2,Prices!$E$3:$K$17,2,FALSE)*O236)+(VLOOKUP($P$2,Prices!$J$3:$K$17,2,FALSE)*P236)+(VLOOKUP($Q$2,Prices!$J$3:$K$17,2,FALSE)*Q236)+(VLOOKUP($R$2,Prices!$J$3:$K$17,2,FALSE)*R236)+(VLOOKUP($S$2,Prices!$J$3:$K$17,2,FALSE)*S236)+(VLOOKUP($T$2,Prices!$J$3:$K$17,2,FALSE)*T236)+(VLOOKUP($U$2,Prices!$J$3:$K$17,2,FALSE)*U236)+(VLOOKUP($V$2,Prices!$J$3:$K$17,2,FALSE)*V236)+(VLOOKUP($W$2,Prices!$J$3:$K$17,2,FALSE)*W236)+(VLOOKUP($X$2,Prices!$J$3:$K$17,2,FALSE)*X236)+(VLOOKUP($Y$2,Prices!$J$3:$K$17,2,FALSE)*Y236)+(VLOOKUP($Z$2,Prices!$J$3:$K$17,2,FALSE)*Z236)+(VLOOKUP($AA$2,Prices!$J$3:$K$17,2,FALSE)*AA236)+(VLOOKUP($AB$2,Prices!$J$3:$K$17,2,FALSE)*AB236)+M236</f>
        <v>5285500</v>
      </c>
      <c r="AD236" s="18"/>
      <c r="AE236" s="18"/>
      <c r="AF236" s="4">
        <f t="shared" si="24"/>
        <v>0</v>
      </c>
      <c r="AG236" s="4"/>
      <c r="AH236" s="16">
        <f t="shared" si="25"/>
        <v>0</v>
      </c>
      <c r="AI236" s="21">
        <f t="shared" si="20"/>
        <v>0</v>
      </c>
      <c r="AJ236" s="20">
        <f t="shared" si="26"/>
        <v>0</v>
      </c>
      <c r="AK236" s="9"/>
    </row>
    <row r="237" spans="1:37" hidden="1">
      <c r="A237" s="3">
        <v>235</v>
      </c>
      <c r="B237" s="12"/>
      <c r="C237" s="13"/>
      <c r="D237" s="13"/>
      <c r="E237" s="13"/>
      <c r="F237" s="13"/>
      <c r="G237" s="13"/>
      <c r="H237" s="15"/>
      <c r="I237" s="45" t="s">
        <v>1409</v>
      </c>
      <c r="J237" s="45" t="s">
        <v>1389</v>
      </c>
      <c r="K237" s="46" t="s">
        <v>1401</v>
      </c>
      <c r="L237" s="46" t="s">
        <v>1091</v>
      </c>
      <c r="M237" s="66">
        <f>IFERROR(VLOOKUP($L237,[3]Consolidated!$C$9:$AC$452,27,0),0)</f>
        <v>1415000</v>
      </c>
      <c r="N237" s="66">
        <f>IFERROR(VLOOKUP($L237,[3]Consolidated!$C$9:$AC$452,5,0),0)</f>
        <v>10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4">
        <f>(VLOOKUP($O$2,Prices!$E$3:$K$17,2,FALSE)*O237)+(VLOOKUP($P$2,Prices!$J$3:$K$17,2,FALSE)*P237)+(VLOOKUP($Q$2,Prices!$J$3:$K$17,2,FALSE)*Q237)+(VLOOKUP($R$2,Prices!$J$3:$K$17,2,FALSE)*R237)+(VLOOKUP($S$2,Prices!$J$3:$K$17,2,FALSE)*S237)+(VLOOKUP($T$2,Prices!$J$3:$K$17,2,FALSE)*T237)+(VLOOKUP($U$2,Prices!$J$3:$K$17,2,FALSE)*U237)+(VLOOKUP($V$2,Prices!$J$3:$K$17,2,FALSE)*V237)+(VLOOKUP($W$2,Prices!$J$3:$K$17,2,FALSE)*W237)+(VLOOKUP($X$2,Prices!$J$3:$K$17,2,FALSE)*X237)+(VLOOKUP($Y$2,Prices!$J$3:$K$17,2,FALSE)*Y237)+(VLOOKUP($Z$2,Prices!$J$3:$K$17,2,FALSE)*Z237)+(VLOOKUP($AA$2,Prices!$J$3:$K$17,2,FALSE)*AA237)+(VLOOKUP($AB$2,Prices!$J$3:$K$17,2,FALSE)*AB237)+M237</f>
        <v>1415000</v>
      </c>
      <c r="AD237" s="18"/>
      <c r="AE237" s="18"/>
      <c r="AF237" s="4">
        <f t="shared" si="24"/>
        <v>0</v>
      </c>
      <c r="AG237" s="4"/>
      <c r="AH237" s="16">
        <f t="shared" si="25"/>
        <v>0</v>
      </c>
      <c r="AI237" s="21">
        <f t="shared" si="20"/>
        <v>0</v>
      </c>
      <c r="AJ237" s="20">
        <f t="shared" si="26"/>
        <v>0</v>
      </c>
      <c r="AK237" s="9"/>
    </row>
    <row r="238" spans="1:37" hidden="1">
      <c r="A238" s="3">
        <v>236</v>
      </c>
      <c r="B238" s="12"/>
      <c r="C238" s="13"/>
      <c r="D238" s="13"/>
      <c r="E238" s="13"/>
      <c r="F238" s="13"/>
      <c r="G238" s="13"/>
      <c r="H238" s="15"/>
      <c r="I238" s="45" t="s">
        <v>777</v>
      </c>
      <c r="J238" s="45" t="s">
        <v>1389</v>
      </c>
      <c r="K238" s="46" t="s">
        <v>1401</v>
      </c>
      <c r="L238" s="46" t="s">
        <v>1088</v>
      </c>
      <c r="M238" s="66">
        <f>IFERROR(VLOOKUP($L238,[3]Consolidated!$C$9:$AC$452,27,0),0)</f>
        <v>5386500</v>
      </c>
      <c r="N238" s="66">
        <f>IFERROR(VLOOKUP($L238,[3]Consolidated!$C$9:$AC$452,5,0),0)</f>
        <v>35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4">
        <f>(VLOOKUP($O$2,Prices!$E$3:$K$17,2,FALSE)*O238)+(VLOOKUP($P$2,Prices!$J$3:$K$17,2,FALSE)*P238)+(VLOOKUP($Q$2,Prices!$J$3:$K$17,2,FALSE)*Q238)+(VLOOKUP($R$2,Prices!$J$3:$K$17,2,FALSE)*R238)+(VLOOKUP($S$2,Prices!$J$3:$K$17,2,FALSE)*S238)+(VLOOKUP($T$2,Prices!$J$3:$K$17,2,FALSE)*T238)+(VLOOKUP($U$2,Prices!$J$3:$K$17,2,FALSE)*U238)+(VLOOKUP($V$2,Prices!$J$3:$K$17,2,FALSE)*V238)+(VLOOKUP($W$2,Prices!$J$3:$K$17,2,FALSE)*W238)+(VLOOKUP($X$2,Prices!$J$3:$K$17,2,FALSE)*X238)+(VLOOKUP($Y$2,Prices!$J$3:$K$17,2,FALSE)*Y238)+(VLOOKUP($Z$2,Prices!$J$3:$K$17,2,FALSE)*Z238)+(VLOOKUP($AA$2,Prices!$J$3:$K$17,2,FALSE)*AA238)+(VLOOKUP($AB$2,Prices!$J$3:$K$17,2,FALSE)*AB238)+M238</f>
        <v>5386500</v>
      </c>
      <c r="AD238" s="18"/>
      <c r="AE238" s="18"/>
      <c r="AF238" s="4">
        <f t="shared" si="24"/>
        <v>0</v>
      </c>
      <c r="AG238" s="4"/>
      <c r="AH238" s="16">
        <f t="shared" si="25"/>
        <v>0</v>
      </c>
      <c r="AI238" s="21">
        <f t="shared" si="20"/>
        <v>0</v>
      </c>
      <c r="AJ238" s="20">
        <f t="shared" si="26"/>
        <v>0</v>
      </c>
      <c r="AK238" s="9"/>
    </row>
    <row r="239" spans="1:37" hidden="1">
      <c r="A239" s="3">
        <v>237</v>
      </c>
      <c r="B239" s="12"/>
      <c r="C239" s="13"/>
      <c r="D239" s="13"/>
      <c r="E239" s="13"/>
      <c r="F239" s="13"/>
      <c r="G239" s="13"/>
      <c r="H239" s="15"/>
      <c r="I239" s="45" t="s">
        <v>776</v>
      </c>
      <c r="J239" s="45" t="s">
        <v>1389</v>
      </c>
      <c r="K239" s="46" t="s">
        <v>1401</v>
      </c>
      <c r="L239" s="46" t="s">
        <v>1087</v>
      </c>
      <c r="M239" s="66">
        <f>IFERROR(VLOOKUP($L239,[3]Consolidated!$C$9:$AC$452,27,0),0)</f>
        <v>1848500</v>
      </c>
      <c r="N239" s="66">
        <f>IFERROR(VLOOKUP($L239,[3]Consolidated!$C$9:$AC$452,5,0),0)</f>
        <v>13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4">
        <f>(VLOOKUP($O$2,Prices!$E$3:$K$17,2,FALSE)*O239)+(VLOOKUP($P$2,Prices!$J$3:$K$17,2,FALSE)*P239)+(VLOOKUP($Q$2,Prices!$J$3:$K$17,2,FALSE)*Q239)+(VLOOKUP($R$2,Prices!$J$3:$K$17,2,FALSE)*R239)+(VLOOKUP($S$2,Prices!$J$3:$K$17,2,FALSE)*S239)+(VLOOKUP($T$2,Prices!$J$3:$K$17,2,FALSE)*T239)+(VLOOKUP($U$2,Prices!$J$3:$K$17,2,FALSE)*U239)+(VLOOKUP($V$2,Prices!$J$3:$K$17,2,FALSE)*V239)+(VLOOKUP($W$2,Prices!$J$3:$K$17,2,FALSE)*W239)+(VLOOKUP($X$2,Prices!$J$3:$K$17,2,FALSE)*X239)+(VLOOKUP($Y$2,Prices!$J$3:$K$17,2,FALSE)*Y239)+(VLOOKUP($Z$2,Prices!$J$3:$K$17,2,FALSE)*Z239)+(VLOOKUP($AA$2,Prices!$J$3:$K$17,2,FALSE)*AA239)+(VLOOKUP($AB$2,Prices!$J$3:$K$17,2,FALSE)*AB239)+M239</f>
        <v>1848500</v>
      </c>
      <c r="AD239" s="18"/>
      <c r="AE239" s="18"/>
      <c r="AF239" s="4">
        <f t="shared" si="24"/>
        <v>0</v>
      </c>
      <c r="AG239" s="4"/>
      <c r="AH239" s="16">
        <f t="shared" si="25"/>
        <v>0</v>
      </c>
      <c r="AI239" s="21">
        <f t="shared" si="20"/>
        <v>0</v>
      </c>
      <c r="AJ239" s="20">
        <f t="shared" si="26"/>
        <v>0</v>
      </c>
      <c r="AK239" s="9"/>
    </row>
    <row r="240" spans="1:37" hidden="1">
      <c r="A240" s="3">
        <v>238</v>
      </c>
      <c r="B240" s="12"/>
      <c r="C240" s="13"/>
      <c r="D240" s="13"/>
      <c r="E240" s="13"/>
      <c r="F240" s="13"/>
      <c r="G240" s="13"/>
      <c r="H240" s="15"/>
      <c r="I240" s="45" t="s">
        <v>787</v>
      </c>
      <c r="J240" s="45" t="s">
        <v>1389</v>
      </c>
      <c r="K240" s="46" t="s">
        <v>1401</v>
      </c>
      <c r="L240" s="46" t="s">
        <v>1102</v>
      </c>
      <c r="M240" s="66">
        <f>IFERROR(VLOOKUP($L240,[3]Consolidated!$C$9:$AC$452,27,0),0)</f>
        <v>2064500</v>
      </c>
      <c r="N240" s="66">
        <f>IFERROR(VLOOKUP($L240,[3]Consolidated!$C$9:$AC$452,5,0),0)</f>
        <v>13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4">
        <f>(VLOOKUP($O$2,Prices!$E$3:$K$17,2,FALSE)*O240)+(VLOOKUP($P$2,Prices!$J$3:$K$17,2,FALSE)*P240)+(VLOOKUP($Q$2,Prices!$J$3:$K$17,2,FALSE)*Q240)+(VLOOKUP($R$2,Prices!$J$3:$K$17,2,FALSE)*R240)+(VLOOKUP($S$2,Prices!$J$3:$K$17,2,FALSE)*S240)+(VLOOKUP($T$2,Prices!$J$3:$K$17,2,FALSE)*T240)+(VLOOKUP($U$2,Prices!$J$3:$K$17,2,FALSE)*U240)+(VLOOKUP($V$2,Prices!$J$3:$K$17,2,FALSE)*V240)+(VLOOKUP($W$2,Prices!$J$3:$K$17,2,FALSE)*W240)+(VLOOKUP($X$2,Prices!$J$3:$K$17,2,FALSE)*X240)+(VLOOKUP($Y$2,Prices!$J$3:$K$17,2,FALSE)*Y240)+(VLOOKUP($Z$2,Prices!$J$3:$K$17,2,FALSE)*Z240)+(VLOOKUP($AA$2,Prices!$J$3:$K$17,2,FALSE)*AA240)+(VLOOKUP($AB$2,Prices!$J$3:$K$17,2,FALSE)*AB240)+M240</f>
        <v>2064500</v>
      </c>
      <c r="AD240" s="18"/>
      <c r="AE240" s="18"/>
      <c r="AF240" s="4">
        <f t="shared" si="24"/>
        <v>0</v>
      </c>
      <c r="AG240" s="4"/>
      <c r="AH240" s="16">
        <f t="shared" si="25"/>
        <v>0</v>
      </c>
      <c r="AI240" s="21">
        <f t="shared" si="20"/>
        <v>0</v>
      </c>
      <c r="AJ240" s="20">
        <f t="shared" si="26"/>
        <v>0</v>
      </c>
      <c r="AK240" s="19"/>
    </row>
    <row r="241" spans="1:37" hidden="1">
      <c r="A241" s="3">
        <v>239</v>
      </c>
      <c r="B241" s="12"/>
      <c r="C241" s="13"/>
      <c r="D241" s="13"/>
      <c r="E241" s="13"/>
      <c r="F241" s="13"/>
      <c r="G241" s="13"/>
      <c r="H241" s="15"/>
      <c r="I241" s="45" t="s">
        <v>1410</v>
      </c>
      <c r="J241" s="45" t="s">
        <v>1389</v>
      </c>
      <c r="K241" s="46" t="s">
        <v>1401</v>
      </c>
      <c r="L241" s="47" t="s">
        <v>1352</v>
      </c>
      <c r="M241" s="66">
        <f>IFERROR(VLOOKUP($L241,[3]Consolidated!$C$9:$AC$452,27,0),0)</f>
        <v>1457000</v>
      </c>
      <c r="N241" s="66">
        <f>IFERROR(VLOOKUP($L241,[3]Consolidated!$C$9:$AC$452,5,0),0)</f>
        <v>10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4">
        <f>(VLOOKUP($O$2,Prices!$E$3:$K$17,2,FALSE)*O241)+(VLOOKUP($P$2,Prices!$J$3:$K$17,2,FALSE)*P241)+(VLOOKUP($Q$2,Prices!$J$3:$K$17,2,FALSE)*Q241)+(VLOOKUP($R$2,Prices!$J$3:$K$17,2,FALSE)*R241)+(VLOOKUP($S$2,Prices!$J$3:$K$17,2,FALSE)*S241)+(VLOOKUP($T$2,Prices!$J$3:$K$17,2,FALSE)*T241)+(VLOOKUP($U$2,Prices!$J$3:$K$17,2,FALSE)*U241)+(VLOOKUP($V$2,Prices!$J$3:$K$17,2,FALSE)*V241)+(VLOOKUP($W$2,Prices!$J$3:$K$17,2,FALSE)*W241)+(VLOOKUP($X$2,Prices!$J$3:$K$17,2,FALSE)*X241)+(VLOOKUP($Y$2,Prices!$J$3:$K$17,2,FALSE)*Y241)+(VLOOKUP($Z$2,Prices!$J$3:$K$17,2,FALSE)*Z241)+(VLOOKUP($AA$2,Prices!$J$3:$K$17,2,FALSE)*AA241)+(VLOOKUP($AB$2,Prices!$J$3:$K$17,2,FALSE)*AB241)+M241</f>
        <v>1457000</v>
      </c>
      <c r="AD241" s="18"/>
      <c r="AE241" s="18"/>
      <c r="AF241" s="4">
        <f t="shared" si="24"/>
        <v>0</v>
      </c>
      <c r="AG241" s="4"/>
      <c r="AH241" s="16">
        <f t="shared" si="25"/>
        <v>0</v>
      </c>
      <c r="AI241" s="21">
        <f t="shared" si="20"/>
        <v>0</v>
      </c>
      <c r="AJ241" s="20">
        <f t="shared" si="26"/>
        <v>0</v>
      </c>
      <c r="AK241" s="9"/>
    </row>
    <row r="242" spans="1:37" hidden="1">
      <c r="A242" s="3">
        <v>240</v>
      </c>
      <c r="B242" s="12"/>
      <c r="C242" s="13"/>
      <c r="D242" s="13"/>
      <c r="E242" s="13"/>
      <c r="F242" s="13"/>
      <c r="G242" s="13"/>
      <c r="H242" s="15"/>
      <c r="I242" s="45" t="s">
        <v>1411</v>
      </c>
      <c r="J242" s="45" t="s">
        <v>1389</v>
      </c>
      <c r="K242" s="46" t="s">
        <v>1401</v>
      </c>
      <c r="L242" s="47" t="s">
        <v>1351</v>
      </c>
      <c r="M242" s="66">
        <f>IFERROR(VLOOKUP($L242,[3]Consolidated!$C$9:$AC$452,27,0),0)</f>
        <v>1402000</v>
      </c>
      <c r="N242" s="66">
        <f>IFERROR(VLOOKUP($L242,[3]Consolidated!$C$9:$AC$452,5,0),0)</f>
        <v>10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4">
        <f>(VLOOKUP($O$2,Prices!$E$3:$K$17,2,FALSE)*O242)+(VLOOKUP($P$2,Prices!$J$3:$K$17,2,FALSE)*P242)+(VLOOKUP($Q$2,Prices!$J$3:$K$17,2,FALSE)*Q242)+(VLOOKUP($R$2,Prices!$J$3:$K$17,2,FALSE)*R242)+(VLOOKUP($S$2,Prices!$J$3:$K$17,2,FALSE)*S242)+(VLOOKUP($T$2,Prices!$J$3:$K$17,2,FALSE)*T242)+(VLOOKUP($U$2,Prices!$J$3:$K$17,2,FALSE)*U242)+(VLOOKUP($V$2,Prices!$J$3:$K$17,2,FALSE)*V242)+(VLOOKUP($W$2,Prices!$J$3:$K$17,2,FALSE)*W242)+(VLOOKUP($X$2,Prices!$J$3:$K$17,2,FALSE)*X242)+(VLOOKUP($Y$2,Prices!$J$3:$K$17,2,FALSE)*Y242)+(VLOOKUP($Z$2,Prices!$J$3:$K$17,2,FALSE)*Z242)+(VLOOKUP($AA$2,Prices!$J$3:$K$17,2,FALSE)*AA242)+(VLOOKUP($AB$2,Prices!$J$3:$K$17,2,FALSE)*AB242)+M242</f>
        <v>1402000</v>
      </c>
      <c r="AD242" s="18"/>
      <c r="AE242" s="18"/>
      <c r="AF242" s="4">
        <f t="shared" si="24"/>
        <v>0</v>
      </c>
      <c r="AG242" s="4"/>
      <c r="AH242" s="16">
        <f t="shared" si="25"/>
        <v>0</v>
      </c>
      <c r="AI242" s="21">
        <f t="shared" si="20"/>
        <v>0</v>
      </c>
      <c r="AJ242" s="20">
        <f t="shared" si="26"/>
        <v>0</v>
      </c>
      <c r="AK242" s="9"/>
    </row>
    <row r="243" spans="1:37" hidden="1">
      <c r="A243" s="3">
        <v>241</v>
      </c>
      <c r="B243" s="12"/>
      <c r="C243" s="13"/>
      <c r="D243" s="13"/>
      <c r="E243" s="13"/>
      <c r="F243" s="13"/>
      <c r="G243" s="13"/>
      <c r="H243" s="15"/>
      <c r="I243" s="45" t="s">
        <v>812</v>
      </c>
      <c r="J243" s="45" t="s">
        <v>1389</v>
      </c>
      <c r="K243" s="46" t="s">
        <v>668</v>
      </c>
      <c r="L243" s="47" t="s">
        <v>1127</v>
      </c>
      <c r="M243" s="66">
        <f>IFERROR(VLOOKUP($L243,[3]Consolidated!$C$9:$AC$452,27,0),0)</f>
        <v>6401500</v>
      </c>
      <c r="N243" s="66">
        <f>IFERROR(VLOOKUP($L243,[3]Consolidated!$C$9:$AC$452,5,0),0)</f>
        <v>35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4">
        <f>(VLOOKUP($O$2,Prices!$E$3:$K$17,2,FALSE)*O243)+(VLOOKUP($P$2,Prices!$J$3:$K$17,2,FALSE)*P243)+(VLOOKUP($Q$2,Prices!$J$3:$K$17,2,FALSE)*Q243)+(VLOOKUP($R$2,Prices!$J$3:$K$17,2,FALSE)*R243)+(VLOOKUP($S$2,Prices!$J$3:$K$17,2,FALSE)*S243)+(VLOOKUP($T$2,Prices!$J$3:$K$17,2,FALSE)*T243)+(VLOOKUP($U$2,Prices!$J$3:$K$17,2,FALSE)*U243)+(VLOOKUP($V$2,Prices!$J$3:$K$17,2,FALSE)*V243)+(VLOOKUP($W$2,Prices!$J$3:$K$17,2,FALSE)*W243)+(VLOOKUP($X$2,Prices!$J$3:$K$17,2,FALSE)*X243)+(VLOOKUP($Y$2,Prices!$J$3:$K$17,2,FALSE)*Y243)+(VLOOKUP($Z$2,Prices!$J$3:$K$17,2,FALSE)*Z243)+(VLOOKUP($AA$2,Prices!$J$3:$K$17,2,FALSE)*AA243)+(VLOOKUP($AB$2,Prices!$J$3:$K$17,2,FALSE)*AB243)+M243</f>
        <v>6401500</v>
      </c>
      <c r="AD243" s="18"/>
      <c r="AE243" s="18"/>
      <c r="AF243" s="4">
        <f t="shared" si="24"/>
        <v>0</v>
      </c>
      <c r="AG243" s="4"/>
      <c r="AH243" s="16">
        <f t="shared" si="25"/>
        <v>0</v>
      </c>
      <c r="AI243" s="21">
        <f t="shared" si="20"/>
        <v>0</v>
      </c>
      <c r="AJ243" s="20">
        <f t="shared" si="26"/>
        <v>0</v>
      </c>
      <c r="AK243" s="9"/>
    </row>
    <row r="244" spans="1:37" hidden="1">
      <c r="A244" s="3">
        <v>242</v>
      </c>
      <c r="B244" s="12"/>
      <c r="C244" s="13"/>
      <c r="D244" s="13"/>
      <c r="E244" s="13"/>
      <c r="F244" s="13"/>
      <c r="G244" s="13"/>
      <c r="H244" s="15"/>
      <c r="I244" s="45" t="s">
        <v>795</v>
      </c>
      <c r="J244" s="45" t="s">
        <v>1389</v>
      </c>
      <c r="K244" s="46" t="s">
        <v>667</v>
      </c>
      <c r="L244" s="47" t="s">
        <v>1110</v>
      </c>
      <c r="M244" s="66">
        <f>IFERROR(VLOOKUP($L244,[3]Consolidated!$C$9:$AC$452,27,0),0)</f>
        <v>1613500</v>
      </c>
      <c r="N244" s="66">
        <f>IFERROR(VLOOKUP($L244,[3]Consolidated!$C$9:$AC$452,5,0),0)</f>
        <v>13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4">
        <f>(VLOOKUP($O$2,Prices!$E$3:$K$17,2,FALSE)*O244)+(VLOOKUP($P$2,Prices!$J$3:$K$17,2,FALSE)*P244)+(VLOOKUP($Q$2,Prices!$J$3:$K$17,2,FALSE)*Q244)+(VLOOKUP($R$2,Prices!$J$3:$K$17,2,FALSE)*R244)+(VLOOKUP($S$2,Prices!$J$3:$K$17,2,FALSE)*S244)+(VLOOKUP($T$2,Prices!$J$3:$K$17,2,FALSE)*T244)+(VLOOKUP($U$2,Prices!$J$3:$K$17,2,FALSE)*U244)+(VLOOKUP($V$2,Prices!$J$3:$K$17,2,FALSE)*V244)+(VLOOKUP($W$2,Prices!$J$3:$K$17,2,FALSE)*W244)+(VLOOKUP($X$2,Prices!$J$3:$K$17,2,FALSE)*X244)+(VLOOKUP($Y$2,Prices!$J$3:$K$17,2,FALSE)*Y244)+(VLOOKUP($Z$2,Prices!$J$3:$K$17,2,FALSE)*Z244)+(VLOOKUP($AA$2,Prices!$J$3:$K$17,2,FALSE)*AA244)+(VLOOKUP($AB$2,Prices!$J$3:$K$17,2,FALSE)*AB244)+M244</f>
        <v>1613500</v>
      </c>
      <c r="AD244" s="18"/>
      <c r="AE244" s="18"/>
      <c r="AF244" s="4">
        <f t="shared" si="24"/>
        <v>0</v>
      </c>
      <c r="AG244" s="4"/>
      <c r="AH244" s="16">
        <f t="shared" si="25"/>
        <v>0</v>
      </c>
      <c r="AI244" s="21">
        <f t="shared" si="20"/>
        <v>0</v>
      </c>
      <c r="AJ244" s="20">
        <f t="shared" si="26"/>
        <v>0</v>
      </c>
      <c r="AK244" s="9"/>
    </row>
    <row r="245" spans="1:37" hidden="1">
      <c r="A245" s="3">
        <v>243</v>
      </c>
      <c r="B245" s="12"/>
      <c r="C245" s="13"/>
      <c r="D245" s="13"/>
      <c r="E245" s="13"/>
      <c r="F245" s="13"/>
      <c r="G245" s="13"/>
      <c r="H245" s="15"/>
      <c r="I245" s="45" t="s">
        <v>791</v>
      </c>
      <c r="J245" s="45" t="s">
        <v>1389</v>
      </c>
      <c r="K245" s="46" t="s">
        <v>667</v>
      </c>
      <c r="L245" s="47" t="s">
        <v>1106</v>
      </c>
      <c r="M245" s="66">
        <f>IFERROR(VLOOKUP($L245,[3]Consolidated!$C$9:$AC$452,27,0),0)</f>
        <v>4479500</v>
      </c>
      <c r="N245" s="66">
        <f>IFERROR(VLOOKUP($L245,[3]Consolidated!$C$9:$AC$452,5,0),0)</f>
        <v>35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4">
        <f>(VLOOKUP($O$2,Prices!$E$3:$K$17,2,FALSE)*O245)+(VLOOKUP($P$2,Prices!$J$3:$K$17,2,FALSE)*P245)+(VLOOKUP($Q$2,Prices!$J$3:$K$17,2,FALSE)*Q245)+(VLOOKUP($R$2,Prices!$J$3:$K$17,2,FALSE)*R245)+(VLOOKUP($S$2,Prices!$J$3:$K$17,2,FALSE)*S245)+(VLOOKUP($T$2,Prices!$J$3:$K$17,2,FALSE)*T245)+(VLOOKUP($U$2,Prices!$J$3:$K$17,2,FALSE)*U245)+(VLOOKUP($V$2,Prices!$J$3:$K$17,2,FALSE)*V245)+(VLOOKUP($W$2,Prices!$J$3:$K$17,2,FALSE)*W245)+(VLOOKUP($X$2,Prices!$J$3:$K$17,2,FALSE)*X245)+(VLOOKUP($Y$2,Prices!$J$3:$K$17,2,FALSE)*Y245)+(VLOOKUP($Z$2,Prices!$J$3:$K$17,2,FALSE)*Z245)+(VLOOKUP($AA$2,Prices!$J$3:$K$17,2,FALSE)*AA245)+(VLOOKUP($AB$2,Prices!$J$3:$K$17,2,FALSE)*AB245)+M245</f>
        <v>4479500</v>
      </c>
      <c r="AD245" s="18"/>
      <c r="AE245" s="18"/>
      <c r="AF245" s="4">
        <f t="shared" si="24"/>
        <v>0</v>
      </c>
      <c r="AG245" s="4"/>
      <c r="AH245" s="16">
        <f t="shared" si="25"/>
        <v>0</v>
      </c>
      <c r="AI245" s="21">
        <f t="shared" si="20"/>
        <v>0</v>
      </c>
      <c r="AJ245" s="20">
        <f t="shared" si="26"/>
        <v>0</v>
      </c>
      <c r="AK245" s="9"/>
    </row>
    <row r="246" spans="1:37" hidden="1">
      <c r="A246" s="3">
        <v>244</v>
      </c>
      <c r="B246" s="12"/>
      <c r="C246" s="13"/>
      <c r="D246" s="13"/>
      <c r="E246" s="13"/>
      <c r="F246" s="13"/>
      <c r="G246" s="13"/>
      <c r="H246" s="15"/>
      <c r="I246" s="45" t="s">
        <v>798</v>
      </c>
      <c r="J246" s="45" t="s">
        <v>1389</v>
      </c>
      <c r="K246" s="46" t="s">
        <v>667</v>
      </c>
      <c r="L246" s="47" t="s">
        <v>1113</v>
      </c>
      <c r="M246" s="66">
        <f>IFERROR(VLOOKUP($L246,[3]Consolidated!$C$9:$AC$452,27,0),0)</f>
        <v>6504000</v>
      </c>
      <c r="N246" s="66">
        <f>IFERROR(VLOOKUP($L246,[3]Consolidated!$C$9:$AC$452,5,0),0)</f>
        <v>50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4">
        <f>(VLOOKUP($O$2,Prices!$E$3:$K$17,2,FALSE)*O246)+(VLOOKUP($P$2,Prices!$J$3:$K$17,2,FALSE)*P246)+(VLOOKUP($Q$2,Prices!$J$3:$K$17,2,FALSE)*Q246)+(VLOOKUP($R$2,Prices!$J$3:$K$17,2,FALSE)*R246)+(VLOOKUP($S$2,Prices!$J$3:$K$17,2,FALSE)*S246)+(VLOOKUP($T$2,Prices!$J$3:$K$17,2,FALSE)*T246)+(VLOOKUP($U$2,Prices!$J$3:$K$17,2,FALSE)*U246)+(VLOOKUP($V$2,Prices!$J$3:$K$17,2,FALSE)*V246)+(VLOOKUP($W$2,Prices!$J$3:$K$17,2,FALSE)*W246)+(VLOOKUP($X$2,Prices!$J$3:$K$17,2,FALSE)*X246)+(VLOOKUP($Y$2,Prices!$J$3:$K$17,2,FALSE)*Y246)+(VLOOKUP($Z$2,Prices!$J$3:$K$17,2,FALSE)*Z246)+(VLOOKUP($AA$2,Prices!$J$3:$K$17,2,FALSE)*AA246)+(VLOOKUP($AB$2,Prices!$J$3:$K$17,2,FALSE)*AB246)+M246</f>
        <v>6504000</v>
      </c>
      <c r="AD246" s="18"/>
      <c r="AE246" s="18"/>
      <c r="AF246" s="4">
        <f t="shared" si="24"/>
        <v>0</v>
      </c>
      <c r="AG246" s="4"/>
      <c r="AH246" s="16">
        <f t="shared" si="25"/>
        <v>0</v>
      </c>
      <c r="AI246" s="21">
        <f t="shared" si="20"/>
        <v>0</v>
      </c>
      <c r="AJ246" s="20">
        <f t="shared" si="26"/>
        <v>0</v>
      </c>
      <c r="AK246" s="9"/>
    </row>
    <row r="247" spans="1:37" hidden="1">
      <c r="A247" s="3">
        <v>245</v>
      </c>
      <c r="B247" s="12"/>
      <c r="C247" s="13"/>
      <c r="D247" s="13"/>
      <c r="E247" s="13"/>
      <c r="F247" s="13"/>
      <c r="G247" s="13"/>
      <c r="H247" s="15"/>
      <c r="I247" s="45" t="s">
        <v>794</v>
      </c>
      <c r="J247" s="45" t="s">
        <v>1389</v>
      </c>
      <c r="K247" s="46" t="s">
        <v>667</v>
      </c>
      <c r="L247" s="47" t="s">
        <v>1109</v>
      </c>
      <c r="M247" s="66">
        <f>IFERROR(VLOOKUP($L247,[3]Consolidated!$C$9:$AC$452,27,0),0)</f>
        <v>4560500</v>
      </c>
      <c r="N247" s="66">
        <f>IFERROR(VLOOKUP($L247,[3]Consolidated!$C$9:$AC$452,5,0),0)</f>
        <v>35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4">
        <f>(VLOOKUP($O$2,Prices!$E$3:$K$17,2,FALSE)*O247)+(VLOOKUP($P$2,Prices!$J$3:$K$17,2,FALSE)*P247)+(VLOOKUP($Q$2,Prices!$J$3:$K$17,2,FALSE)*Q247)+(VLOOKUP($R$2,Prices!$J$3:$K$17,2,FALSE)*R247)+(VLOOKUP($S$2,Prices!$J$3:$K$17,2,FALSE)*S247)+(VLOOKUP($T$2,Prices!$J$3:$K$17,2,FALSE)*T247)+(VLOOKUP($U$2,Prices!$J$3:$K$17,2,FALSE)*U247)+(VLOOKUP($V$2,Prices!$J$3:$K$17,2,FALSE)*V247)+(VLOOKUP($W$2,Prices!$J$3:$K$17,2,FALSE)*W247)+(VLOOKUP($X$2,Prices!$J$3:$K$17,2,FALSE)*X247)+(VLOOKUP($Y$2,Prices!$J$3:$K$17,2,FALSE)*Y247)+(VLOOKUP($Z$2,Prices!$J$3:$K$17,2,FALSE)*Z247)+(VLOOKUP($AA$2,Prices!$J$3:$K$17,2,FALSE)*AA247)+(VLOOKUP($AB$2,Prices!$J$3:$K$17,2,FALSE)*AB247)+M247</f>
        <v>4560500</v>
      </c>
      <c r="AD247" s="18"/>
      <c r="AE247" s="18"/>
      <c r="AF247" s="4">
        <f t="shared" si="24"/>
        <v>0</v>
      </c>
      <c r="AG247" s="4"/>
      <c r="AH247" s="16">
        <f t="shared" si="25"/>
        <v>0</v>
      </c>
      <c r="AI247" s="21">
        <f t="shared" si="20"/>
        <v>0</v>
      </c>
      <c r="AJ247" s="20">
        <f t="shared" si="26"/>
        <v>0</v>
      </c>
      <c r="AK247" s="9"/>
    </row>
    <row r="248" spans="1:37" hidden="1">
      <c r="A248" s="3">
        <v>246</v>
      </c>
      <c r="B248" s="12"/>
      <c r="C248" s="13"/>
      <c r="D248" s="13"/>
      <c r="E248" s="13"/>
      <c r="F248" s="13"/>
      <c r="G248" s="13"/>
      <c r="H248" s="15"/>
      <c r="I248" s="45" t="s">
        <v>797</v>
      </c>
      <c r="J248" s="45" t="s">
        <v>1389</v>
      </c>
      <c r="K248" s="46" t="s">
        <v>667</v>
      </c>
      <c r="L248" s="47" t="s">
        <v>1112</v>
      </c>
      <c r="M248" s="66">
        <f>IFERROR(VLOOKUP($L248,[3]Consolidated!$C$9:$AC$452,27,0),0)</f>
        <v>1629000</v>
      </c>
      <c r="N248" s="66">
        <f>IFERROR(VLOOKUP($L248,[3]Consolidated!$C$9:$AC$452,5,0),0)</f>
        <v>12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4">
        <f>(VLOOKUP($O$2,Prices!$E$3:$K$17,2,FALSE)*O248)+(VLOOKUP($P$2,Prices!$J$3:$K$17,2,FALSE)*P248)+(VLOOKUP($Q$2,Prices!$J$3:$K$17,2,FALSE)*Q248)+(VLOOKUP($R$2,Prices!$J$3:$K$17,2,FALSE)*R248)+(VLOOKUP($S$2,Prices!$J$3:$K$17,2,FALSE)*S248)+(VLOOKUP($T$2,Prices!$J$3:$K$17,2,FALSE)*T248)+(VLOOKUP($U$2,Prices!$J$3:$K$17,2,FALSE)*U248)+(VLOOKUP($V$2,Prices!$J$3:$K$17,2,FALSE)*V248)+(VLOOKUP($W$2,Prices!$J$3:$K$17,2,FALSE)*W248)+(VLOOKUP($X$2,Prices!$J$3:$K$17,2,FALSE)*X248)+(VLOOKUP($Y$2,Prices!$J$3:$K$17,2,FALSE)*Y248)+(VLOOKUP($Z$2,Prices!$J$3:$K$17,2,FALSE)*Z248)+(VLOOKUP($AA$2,Prices!$J$3:$K$17,2,FALSE)*AA248)+(VLOOKUP($AB$2,Prices!$J$3:$K$17,2,FALSE)*AB248)+M248</f>
        <v>1629000</v>
      </c>
      <c r="AD248" s="18"/>
      <c r="AE248" s="18"/>
      <c r="AF248" s="4">
        <f t="shared" si="24"/>
        <v>0</v>
      </c>
      <c r="AG248" s="4"/>
      <c r="AH248" s="16">
        <f t="shared" si="25"/>
        <v>0</v>
      </c>
      <c r="AI248" s="21">
        <f t="shared" si="20"/>
        <v>0</v>
      </c>
      <c r="AJ248" s="20">
        <f t="shared" si="26"/>
        <v>0</v>
      </c>
      <c r="AK248" s="9"/>
    </row>
    <row r="249" spans="1:37" hidden="1">
      <c r="A249" s="3">
        <v>247</v>
      </c>
      <c r="B249" s="12"/>
      <c r="C249" s="13"/>
      <c r="D249" s="13"/>
      <c r="E249" s="13"/>
      <c r="F249" s="13"/>
      <c r="G249" s="13"/>
      <c r="H249" s="15"/>
      <c r="I249" s="45" t="s">
        <v>811</v>
      </c>
      <c r="J249" s="45" t="s">
        <v>1389</v>
      </c>
      <c r="K249" s="46" t="s">
        <v>668</v>
      </c>
      <c r="L249" s="47" t="s">
        <v>1126</v>
      </c>
      <c r="M249" s="66">
        <f>IFERROR(VLOOKUP($L249,[3]Consolidated!$C$9:$AC$452,27,0),0)</f>
        <v>4610000</v>
      </c>
      <c r="N249" s="66">
        <f>IFERROR(VLOOKUP($L249,[3]Consolidated!$C$9:$AC$452,5,0),0)</f>
        <v>20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4">
        <f>(VLOOKUP($O$2,Prices!$E$3:$K$17,2,FALSE)*O249)+(VLOOKUP($P$2,Prices!$J$3:$K$17,2,FALSE)*P249)+(VLOOKUP($Q$2,Prices!$J$3:$K$17,2,FALSE)*Q249)+(VLOOKUP($R$2,Prices!$J$3:$K$17,2,FALSE)*R249)+(VLOOKUP($S$2,Prices!$J$3:$K$17,2,FALSE)*S249)+(VLOOKUP($T$2,Prices!$J$3:$K$17,2,FALSE)*T249)+(VLOOKUP($U$2,Prices!$J$3:$K$17,2,FALSE)*U249)+(VLOOKUP($V$2,Prices!$J$3:$K$17,2,FALSE)*V249)+(VLOOKUP($W$2,Prices!$J$3:$K$17,2,FALSE)*W249)+(VLOOKUP($X$2,Prices!$J$3:$K$17,2,FALSE)*X249)+(VLOOKUP($Y$2,Prices!$J$3:$K$17,2,FALSE)*Y249)+(VLOOKUP($Z$2,Prices!$J$3:$K$17,2,FALSE)*Z249)+(VLOOKUP($AA$2,Prices!$J$3:$K$17,2,FALSE)*AA249)+(VLOOKUP($AB$2,Prices!$J$3:$K$17,2,FALSE)*AB249)+M249</f>
        <v>4610000</v>
      </c>
      <c r="AD249" s="18"/>
      <c r="AE249" s="18"/>
      <c r="AF249" s="4">
        <f t="shared" si="24"/>
        <v>0</v>
      </c>
      <c r="AG249" s="4"/>
      <c r="AH249" s="16">
        <f t="shared" si="25"/>
        <v>0</v>
      </c>
      <c r="AI249" s="21">
        <f t="shared" si="20"/>
        <v>0</v>
      </c>
      <c r="AJ249" s="20">
        <f t="shared" si="26"/>
        <v>0</v>
      </c>
      <c r="AK249" s="19"/>
    </row>
    <row r="250" spans="1:37" hidden="1">
      <c r="A250" s="3">
        <v>248</v>
      </c>
      <c r="B250" s="12"/>
      <c r="C250" s="13"/>
      <c r="D250" s="13"/>
      <c r="E250" s="13"/>
      <c r="F250" s="13"/>
      <c r="G250" s="13"/>
      <c r="H250" s="15"/>
      <c r="I250" s="45" t="s">
        <v>805</v>
      </c>
      <c r="J250" s="45" t="s">
        <v>1389</v>
      </c>
      <c r="K250" s="46" t="s">
        <v>668</v>
      </c>
      <c r="L250" s="47" t="s">
        <v>1120</v>
      </c>
      <c r="M250" s="66">
        <f>IFERROR(VLOOKUP($L250,[3]Consolidated!$C$9:$AC$452,27,0),0)</f>
        <v>10840000</v>
      </c>
      <c r="N250" s="66">
        <f>IFERROR(VLOOKUP($L250,[3]Consolidated!$C$9:$AC$452,5,0),0)</f>
        <v>70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4">
        <f>(VLOOKUP($O$2,Prices!$E$3:$K$17,2,FALSE)*O250)+(VLOOKUP($P$2,Prices!$J$3:$K$17,2,FALSE)*P250)+(VLOOKUP($Q$2,Prices!$J$3:$K$17,2,FALSE)*Q250)+(VLOOKUP($R$2,Prices!$J$3:$K$17,2,FALSE)*R250)+(VLOOKUP($S$2,Prices!$J$3:$K$17,2,FALSE)*S250)+(VLOOKUP($T$2,Prices!$J$3:$K$17,2,FALSE)*T250)+(VLOOKUP($U$2,Prices!$J$3:$K$17,2,FALSE)*U250)+(VLOOKUP($V$2,Prices!$J$3:$K$17,2,FALSE)*V250)+(VLOOKUP($W$2,Prices!$J$3:$K$17,2,FALSE)*W250)+(VLOOKUP($X$2,Prices!$J$3:$K$17,2,FALSE)*X250)+(VLOOKUP($Y$2,Prices!$J$3:$K$17,2,FALSE)*Y250)+(VLOOKUP($Z$2,Prices!$J$3:$K$17,2,FALSE)*Z250)+(VLOOKUP($AA$2,Prices!$J$3:$K$17,2,FALSE)*AA250)+(VLOOKUP($AB$2,Prices!$J$3:$K$17,2,FALSE)*AB250)+M250</f>
        <v>10840000</v>
      </c>
      <c r="AD250" s="18"/>
      <c r="AE250" s="18"/>
      <c r="AF250" s="4">
        <f t="shared" si="24"/>
        <v>0</v>
      </c>
      <c r="AG250" s="4"/>
      <c r="AH250" s="16">
        <f t="shared" si="25"/>
        <v>0</v>
      </c>
      <c r="AI250" s="21">
        <f t="shared" si="20"/>
        <v>0</v>
      </c>
      <c r="AJ250" s="20">
        <f t="shared" si="26"/>
        <v>0</v>
      </c>
      <c r="AK250" s="9"/>
    </row>
    <row r="251" spans="1:37" hidden="1">
      <c r="A251" s="3">
        <v>249</v>
      </c>
      <c r="B251" s="12"/>
      <c r="C251" s="13"/>
      <c r="D251" s="13"/>
      <c r="E251" s="13"/>
      <c r="F251" s="13"/>
      <c r="G251" s="13"/>
      <c r="H251" s="15"/>
      <c r="I251" s="45" t="s">
        <v>800</v>
      </c>
      <c r="J251" s="45" t="s">
        <v>1389</v>
      </c>
      <c r="K251" s="46" t="s">
        <v>667</v>
      </c>
      <c r="L251" s="47" t="s">
        <v>1115</v>
      </c>
      <c r="M251" s="66">
        <f>IFERROR(VLOOKUP($L251,[3]Consolidated!$C$9:$AC$452,27,0),0)</f>
        <v>4536500</v>
      </c>
      <c r="N251" s="66">
        <f>IFERROR(VLOOKUP($L251,[3]Consolidated!$C$9:$AC$452,5,0),0)</f>
        <v>35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4">
        <f>(VLOOKUP($O$2,Prices!$E$3:$K$17,2,FALSE)*O251)+(VLOOKUP($P$2,Prices!$J$3:$K$17,2,FALSE)*P251)+(VLOOKUP($Q$2,Prices!$J$3:$K$17,2,FALSE)*Q251)+(VLOOKUP($R$2,Prices!$J$3:$K$17,2,FALSE)*R251)+(VLOOKUP($S$2,Prices!$J$3:$K$17,2,FALSE)*S251)+(VLOOKUP($T$2,Prices!$J$3:$K$17,2,FALSE)*T251)+(VLOOKUP($U$2,Prices!$J$3:$K$17,2,FALSE)*U251)+(VLOOKUP($V$2,Prices!$J$3:$K$17,2,FALSE)*V251)+(VLOOKUP($W$2,Prices!$J$3:$K$17,2,FALSE)*W251)+(VLOOKUP($X$2,Prices!$J$3:$K$17,2,FALSE)*X251)+(VLOOKUP($Y$2,Prices!$J$3:$K$17,2,FALSE)*Y251)+(VLOOKUP($Z$2,Prices!$J$3:$K$17,2,FALSE)*Z251)+(VLOOKUP($AA$2,Prices!$J$3:$K$17,2,FALSE)*AA251)+(VLOOKUP($AB$2,Prices!$J$3:$K$17,2,FALSE)*AB251)+M251</f>
        <v>4536500</v>
      </c>
      <c r="AD251" s="18"/>
      <c r="AE251" s="18"/>
      <c r="AF251" s="4">
        <f t="shared" si="24"/>
        <v>0</v>
      </c>
      <c r="AG251" s="4"/>
      <c r="AH251" s="16">
        <f t="shared" si="25"/>
        <v>0</v>
      </c>
      <c r="AI251" s="21">
        <f t="shared" si="20"/>
        <v>0</v>
      </c>
      <c r="AJ251" s="20">
        <f t="shared" si="26"/>
        <v>0</v>
      </c>
      <c r="AK251" s="9"/>
    </row>
    <row r="252" spans="1:37" hidden="1">
      <c r="A252" s="3">
        <v>250</v>
      </c>
      <c r="B252" s="12"/>
      <c r="C252" s="13"/>
      <c r="D252" s="13"/>
      <c r="E252" s="13"/>
      <c r="F252" s="13"/>
      <c r="G252" s="13"/>
      <c r="H252" s="15"/>
      <c r="I252" s="45" t="s">
        <v>796</v>
      </c>
      <c r="J252" s="45" t="s">
        <v>1389</v>
      </c>
      <c r="K252" s="46" t="s">
        <v>667</v>
      </c>
      <c r="L252" s="47" t="s">
        <v>1111</v>
      </c>
      <c r="M252" s="66">
        <f>IFERROR(VLOOKUP($L252,[3]Consolidated!$C$9:$AC$452,27,0),0)</f>
        <v>0</v>
      </c>
      <c r="N252" s="66">
        <f>IFERROR(VLOOKUP($L252,[3]Consolidated!$C$9:$AC$452,5,0),0)</f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4">
        <f>(VLOOKUP($O$2,Prices!$E$3:$K$17,2,FALSE)*O252)+(VLOOKUP($P$2,Prices!$J$3:$K$17,2,FALSE)*P252)+(VLOOKUP($Q$2,Prices!$J$3:$K$17,2,FALSE)*Q252)+(VLOOKUP($R$2,Prices!$J$3:$K$17,2,FALSE)*R252)+(VLOOKUP($S$2,Prices!$J$3:$K$17,2,FALSE)*S252)+(VLOOKUP($T$2,Prices!$J$3:$K$17,2,FALSE)*T252)+(VLOOKUP($U$2,Prices!$J$3:$K$17,2,FALSE)*U252)+(VLOOKUP($V$2,Prices!$J$3:$K$17,2,FALSE)*V252)+(VLOOKUP($W$2,Prices!$J$3:$K$17,2,FALSE)*W252)+(VLOOKUP($X$2,Prices!$J$3:$K$17,2,FALSE)*X252)+(VLOOKUP($Y$2,Prices!$J$3:$K$17,2,FALSE)*Y252)+(VLOOKUP($Z$2,Prices!$J$3:$K$17,2,FALSE)*Z252)+(VLOOKUP($AA$2,Prices!$J$3:$K$17,2,FALSE)*AA252)+(VLOOKUP($AB$2,Prices!$J$3:$K$17,2,FALSE)*AB252)+M252</f>
        <v>0</v>
      </c>
      <c r="AD252" s="18"/>
      <c r="AE252" s="18"/>
      <c r="AF252" s="4">
        <f t="shared" si="24"/>
        <v>0</v>
      </c>
      <c r="AG252" s="4"/>
      <c r="AH252" s="16">
        <f t="shared" si="25"/>
        <v>0</v>
      </c>
      <c r="AI252" s="21" t="e">
        <f t="shared" si="20"/>
        <v>#DIV/0!</v>
      </c>
      <c r="AJ252" s="20" t="e">
        <f t="shared" si="26"/>
        <v>#DIV/0!</v>
      </c>
      <c r="AK252" s="9"/>
    </row>
    <row r="253" spans="1:37" hidden="1">
      <c r="A253" s="3">
        <v>251</v>
      </c>
      <c r="B253" s="12"/>
      <c r="C253" s="13"/>
      <c r="D253" s="13"/>
      <c r="E253" s="13"/>
      <c r="F253" s="13"/>
      <c r="G253" s="13"/>
      <c r="H253" s="15"/>
      <c r="I253" s="45" t="s">
        <v>809</v>
      </c>
      <c r="J253" s="45" t="s">
        <v>1389</v>
      </c>
      <c r="K253" s="46" t="s">
        <v>668</v>
      </c>
      <c r="L253" s="47" t="s">
        <v>1124</v>
      </c>
      <c r="M253" s="66">
        <f>IFERROR(VLOOKUP($L253,[3]Consolidated!$C$9:$AC$452,27,0),0)</f>
        <v>6757500</v>
      </c>
      <c r="N253" s="66">
        <f>IFERROR(VLOOKUP($L253,[3]Consolidated!$C$9:$AC$452,5,0),0)</f>
        <v>35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4">
        <f>(VLOOKUP($O$2,Prices!$E$3:$K$17,2,FALSE)*O253)+(VLOOKUP($P$2,Prices!$J$3:$K$17,2,FALSE)*P253)+(VLOOKUP($Q$2,Prices!$J$3:$K$17,2,FALSE)*Q253)+(VLOOKUP($R$2,Prices!$J$3:$K$17,2,FALSE)*R253)+(VLOOKUP($S$2,Prices!$J$3:$K$17,2,FALSE)*S253)+(VLOOKUP($T$2,Prices!$J$3:$K$17,2,FALSE)*T253)+(VLOOKUP($U$2,Prices!$J$3:$K$17,2,FALSE)*U253)+(VLOOKUP($V$2,Prices!$J$3:$K$17,2,FALSE)*V253)+(VLOOKUP($W$2,Prices!$J$3:$K$17,2,FALSE)*W253)+(VLOOKUP($X$2,Prices!$J$3:$K$17,2,FALSE)*X253)+(VLOOKUP($Y$2,Prices!$J$3:$K$17,2,FALSE)*Y253)+(VLOOKUP($Z$2,Prices!$J$3:$K$17,2,FALSE)*Z253)+(VLOOKUP($AA$2,Prices!$J$3:$K$17,2,FALSE)*AA253)+(VLOOKUP($AB$2,Prices!$J$3:$K$17,2,FALSE)*AB253)+M253</f>
        <v>6757500</v>
      </c>
      <c r="AD253" s="18"/>
      <c r="AE253" s="18"/>
      <c r="AF253" s="4">
        <f t="shared" si="24"/>
        <v>0</v>
      </c>
      <c r="AG253" s="4"/>
      <c r="AH253" s="16">
        <f t="shared" si="25"/>
        <v>0</v>
      </c>
      <c r="AI253" s="21">
        <f t="shared" si="20"/>
        <v>0</v>
      </c>
      <c r="AJ253" s="20">
        <f t="shared" si="26"/>
        <v>0</v>
      </c>
      <c r="AK253" s="9"/>
    </row>
    <row r="254" spans="1:37" hidden="1">
      <c r="A254" s="3">
        <v>252</v>
      </c>
      <c r="B254" s="12"/>
      <c r="C254" s="13"/>
      <c r="D254" s="13"/>
      <c r="E254" s="13"/>
      <c r="F254" s="13"/>
      <c r="G254" s="13"/>
      <c r="H254" s="15"/>
      <c r="I254" s="45" t="s">
        <v>808</v>
      </c>
      <c r="J254" s="45" t="s">
        <v>1389</v>
      </c>
      <c r="K254" s="46" t="s">
        <v>668</v>
      </c>
      <c r="L254" s="47" t="s">
        <v>1123</v>
      </c>
      <c r="M254" s="66">
        <f>IFERROR(VLOOKUP($L254,[3]Consolidated!$C$9:$AC$452,27,0),0)</f>
        <v>1843000</v>
      </c>
      <c r="N254" s="66">
        <f>IFERROR(VLOOKUP($L254,[3]Consolidated!$C$9:$AC$452,5,0),0)</f>
        <v>10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4">
        <f>(VLOOKUP($O$2,Prices!$E$3:$K$17,2,FALSE)*O254)+(VLOOKUP($P$2,Prices!$J$3:$K$17,2,FALSE)*P254)+(VLOOKUP($Q$2,Prices!$J$3:$K$17,2,FALSE)*Q254)+(VLOOKUP($R$2,Prices!$J$3:$K$17,2,FALSE)*R254)+(VLOOKUP($S$2,Prices!$J$3:$K$17,2,FALSE)*S254)+(VLOOKUP($T$2,Prices!$J$3:$K$17,2,FALSE)*T254)+(VLOOKUP($U$2,Prices!$J$3:$K$17,2,FALSE)*U254)+(VLOOKUP($V$2,Prices!$J$3:$K$17,2,FALSE)*V254)+(VLOOKUP($W$2,Prices!$J$3:$K$17,2,FALSE)*W254)+(VLOOKUP($X$2,Prices!$J$3:$K$17,2,FALSE)*X254)+(VLOOKUP($Y$2,Prices!$J$3:$K$17,2,FALSE)*Y254)+(VLOOKUP($Z$2,Prices!$J$3:$K$17,2,FALSE)*Z254)+(VLOOKUP($AA$2,Prices!$J$3:$K$17,2,FALSE)*AA254)+(VLOOKUP($AB$2,Prices!$J$3:$K$17,2,FALSE)*AB254)+M254</f>
        <v>1843000</v>
      </c>
      <c r="AD254" s="18"/>
      <c r="AE254" s="18"/>
      <c r="AF254" s="4">
        <f t="shared" si="24"/>
        <v>0</v>
      </c>
      <c r="AG254" s="4"/>
      <c r="AH254" s="16">
        <f t="shared" si="25"/>
        <v>0</v>
      </c>
      <c r="AI254" s="21">
        <f t="shared" si="20"/>
        <v>0</v>
      </c>
      <c r="AJ254" s="20">
        <f t="shared" si="26"/>
        <v>0</v>
      </c>
      <c r="AK254" s="9"/>
    </row>
    <row r="255" spans="1:37" hidden="1">
      <c r="A255" s="3">
        <v>253</v>
      </c>
      <c r="B255" s="12"/>
      <c r="C255" s="13"/>
      <c r="D255" s="13"/>
      <c r="E255" s="13"/>
      <c r="F255" s="13"/>
      <c r="G255" s="13"/>
      <c r="H255" s="15"/>
      <c r="I255" s="45" t="s">
        <v>792</v>
      </c>
      <c r="J255" s="45" t="s">
        <v>1389</v>
      </c>
      <c r="K255" s="46" t="s">
        <v>667</v>
      </c>
      <c r="L255" s="47" t="s">
        <v>1107</v>
      </c>
      <c r="M255" s="66">
        <f>IFERROR(VLOOKUP($L255,[3]Consolidated!$C$9:$AC$452,27,0),0)</f>
        <v>4906500</v>
      </c>
      <c r="N255" s="66">
        <f>IFERROR(VLOOKUP($L255,[3]Consolidated!$C$9:$AC$452,5,0),0)</f>
        <v>35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4">
        <f>(VLOOKUP($O$2,Prices!$E$3:$K$17,2,FALSE)*O255)+(VLOOKUP($P$2,Prices!$J$3:$K$17,2,FALSE)*P255)+(VLOOKUP($Q$2,Prices!$J$3:$K$17,2,FALSE)*Q255)+(VLOOKUP($R$2,Prices!$J$3:$K$17,2,FALSE)*R255)+(VLOOKUP($S$2,Prices!$J$3:$K$17,2,FALSE)*S255)+(VLOOKUP($T$2,Prices!$J$3:$K$17,2,FALSE)*T255)+(VLOOKUP($U$2,Prices!$J$3:$K$17,2,FALSE)*U255)+(VLOOKUP($V$2,Prices!$J$3:$K$17,2,FALSE)*V255)+(VLOOKUP($W$2,Prices!$J$3:$K$17,2,FALSE)*W255)+(VLOOKUP($X$2,Prices!$J$3:$K$17,2,FALSE)*X255)+(VLOOKUP($Y$2,Prices!$J$3:$K$17,2,FALSE)*Y255)+(VLOOKUP($Z$2,Prices!$J$3:$K$17,2,FALSE)*Z255)+(VLOOKUP($AA$2,Prices!$J$3:$K$17,2,FALSE)*AA255)+(VLOOKUP($AB$2,Prices!$J$3:$K$17,2,FALSE)*AB255)+M255</f>
        <v>4906500</v>
      </c>
      <c r="AD255" s="18"/>
      <c r="AE255" s="18"/>
      <c r="AF255" s="4">
        <f t="shared" si="24"/>
        <v>0</v>
      </c>
      <c r="AG255" s="4"/>
      <c r="AH255" s="16">
        <f t="shared" si="25"/>
        <v>0</v>
      </c>
      <c r="AI255" s="21">
        <f t="shared" si="20"/>
        <v>0</v>
      </c>
      <c r="AJ255" s="20">
        <f t="shared" si="26"/>
        <v>0</v>
      </c>
      <c r="AK255" s="9"/>
    </row>
    <row r="256" spans="1:37" hidden="1">
      <c r="A256" s="3">
        <v>254</v>
      </c>
      <c r="B256" s="12"/>
      <c r="C256" s="13"/>
      <c r="D256" s="13"/>
      <c r="E256" s="13"/>
      <c r="F256" s="13"/>
      <c r="G256" s="13"/>
      <c r="H256" s="15"/>
      <c r="I256" s="45" t="s">
        <v>815</v>
      </c>
      <c r="J256" s="45" t="s">
        <v>1389</v>
      </c>
      <c r="K256" s="46" t="s">
        <v>668</v>
      </c>
      <c r="L256" s="47" t="s">
        <v>1130</v>
      </c>
      <c r="M256" s="66">
        <f>IFERROR(VLOOKUP($L256,[3]Consolidated!$C$9:$AC$452,27,0),0)</f>
        <v>6939500</v>
      </c>
      <c r="N256" s="66">
        <f>IFERROR(VLOOKUP($L256,[3]Consolidated!$C$9:$AC$452,5,0),0)</f>
        <v>37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4">
        <f>(VLOOKUP($O$2,Prices!$E$3:$K$17,2,FALSE)*O256)+(VLOOKUP($P$2,Prices!$J$3:$K$17,2,FALSE)*P256)+(VLOOKUP($Q$2,Prices!$J$3:$K$17,2,FALSE)*Q256)+(VLOOKUP($R$2,Prices!$J$3:$K$17,2,FALSE)*R256)+(VLOOKUP($S$2,Prices!$J$3:$K$17,2,FALSE)*S256)+(VLOOKUP($T$2,Prices!$J$3:$K$17,2,FALSE)*T256)+(VLOOKUP($U$2,Prices!$J$3:$K$17,2,FALSE)*U256)+(VLOOKUP($V$2,Prices!$J$3:$K$17,2,FALSE)*V256)+(VLOOKUP($W$2,Prices!$J$3:$K$17,2,FALSE)*W256)+(VLOOKUP($X$2,Prices!$J$3:$K$17,2,FALSE)*X256)+(VLOOKUP($Y$2,Prices!$J$3:$K$17,2,FALSE)*Y256)+(VLOOKUP($Z$2,Prices!$J$3:$K$17,2,FALSE)*Z256)+(VLOOKUP($AA$2,Prices!$J$3:$K$17,2,FALSE)*AA256)+(VLOOKUP($AB$2,Prices!$J$3:$K$17,2,FALSE)*AB256)+M256</f>
        <v>6939500</v>
      </c>
      <c r="AD256" s="18"/>
      <c r="AE256" s="18"/>
      <c r="AF256" s="4">
        <f t="shared" si="24"/>
        <v>0</v>
      </c>
      <c r="AG256" s="4"/>
      <c r="AH256" s="16">
        <f t="shared" si="25"/>
        <v>0</v>
      </c>
      <c r="AI256" s="21">
        <f t="shared" si="20"/>
        <v>0</v>
      </c>
      <c r="AJ256" s="20">
        <f t="shared" si="26"/>
        <v>0</v>
      </c>
      <c r="AK256" s="9"/>
    </row>
    <row r="257" spans="1:37" hidden="1">
      <c r="A257" s="3">
        <v>255</v>
      </c>
      <c r="B257" s="12"/>
      <c r="C257" s="13"/>
      <c r="D257" s="13"/>
      <c r="E257" s="13"/>
      <c r="F257" s="13"/>
      <c r="G257" s="13"/>
      <c r="H257" s="15"/>
      <c r="I257" s="45" t="s">
        <v>790</v>
      </c>
      <c r="J257" s="45" t="s">
        <v>1389</v>
      </c>
      <c r="K257" s="46" t="s">
        <v>667</v>
      </c>
      <c r="L257" s="47" t="s">
        <v>1105</v>
      </c>
      <c r="M257" s="66">
        <f>IFERROR(VLOOKUP($L257,[3]Consolidated!$C$9:$AC$452,27,0),0)</f>
        <v>5228000</v>
      </c>
      <c r="N257" s="66">
        <f>IFERROR(VLOOKUP($L257,[3]Consolidated!$C$9:$AC$452,5,0),0)</f>
        <v>50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4">
        <f>(VLOOKUP($O$2,Prices!$E$3:$K$17,2,FALSE)*O257)+(VLOOKUP($P$2,Prices!$J$3:$K$17,2,FALSE)*P257)+(VLOOKUP($Q$2,Prices!$J$3:$K$17,2,FALSE)*Q257)+(VLOOKUP($R$2,Prices!$J$3:$K$17,2,FALSE)*R257)+(VLOOKUP($S$2,Prices!$J$3:$K$17,2,FALSE)*S257)+(VLOOKUP($T$2,Prices!$J$3:$K$17,2,FALSE)*T257)+(VLOOKUP($U$2,Prices!$J$3:$K$17,2,FALSE)*U257)+(VLOOKUP($V$2,Prices!$J$3:$K$17,2,FALSE)*V257)+(VLOOKUP($W$2,Prices!$J$3:$K$17,2,FALSE)*W257)+(VLOOKUP($X$2,Prices!$J$3:$K$17,2,FALSE)*X257)+(VLOOKUP($Y$2,Prices!$J$3:$K$17,2,FALSE)*Y257)+(VLOOKUP($Z$2,Prices!$J$3:$K$17,2,FALSE)*Z257)+(VLOOKUP($AA$2,Prices!$J$3:$K$17,2,FALSE)*AA257)+(VLOOKUP($AB$2,Prices!$J$3:$K$17,2,FALSE)*AB257)+M257</f>
        <v>5228000</v>
      </c>
      <c r="AD257" s="18"/>
      <c r="AE257" s="18"/>
      <c r="AF257" s="4">
        <f t="shared" si="24"/>
        <v>0</v>
      </c>
      <c r="AG257" s="4"/>
      <c r="AH257" s="16">
        <f t="shared" si="25"/>
        <v>0</v>
      </c>
      <c r="AI257" s="21">
        <f t="shared" si="20"/>
        <v>0</v>
      </c>
      <c r="AJ257" s="20">
        <f t="shared" si="26"/>
        <v>0</v>
      </c>
      <c r="AK257" s="9"/>
    </row>
    <row r="258" spans="1:37" hidden="1">
      <c r="A258" s="3">
        <v>256</v>
      </c>
      <c r="B258" s="12"/>
      <c r="C258" s="13"/>
      <c r="D258" s="13"/>
      <c r="E258" s="13"/>
      <c r="F258" s="13"/>
      <c r="G258" s="13"/>
      <c r="H258" s="15"/>
      <c r="I258" s="45" t="s">
        <v>803</v>
      </c>
      <c r="J258" s="45" t="s">
        <v>1389</v>
      </c>
      <c r="K258" s="46" t="s">
        <v>668</v>
      </c>
      <c r="L258" s="46" t="s">
        <v>1118</v>
      </c>
      <c r="M258" s="66">
        <f>IFERROR(VLOOKUP($L258,[3]Consolidated!$C$9:$AC$452,27,0),0)</f>
        <v>6761500</v>
      </c>
      <c r="N258" s="66">
        <f>IFERROR(VLOOKUP($L258,[3]Consolidated!$C$9:$AC$452,5,0),0)</f>
        <v>35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4">
        <f>(VLOOKUP($O$2,Prices!$E$3:$K$17,2,FALSE)*O258)+(VLOOKUP($P$2,Prices!$J$3:$K$17,2,FALSE)*P258)+(VLOOKUP($Q$2,Prices!$J$3:$K$17,2,FALSE)*Q258)+(VLOOKUP($R$2,Prices!$J$3:$K$17,2,FALSE)*R258)+(VLOOKUP($S$2,Prices!$J$3:$K$17,2,FALSE)*S258)+(VLOOKUP($T$2,Prices!$J$3:$K$17,2,FALSE)*T258)+(VLOOKUP($U$2,Prices!$J$3:$K$17,2,FALSE)*U258)+(VLOOKUP($V$2,Prices!$J$3:$K$17,2,FALSE)*V258)+(VLOOKUP($W$2,Prices!$J$3:$K$17,2,FALSE)*W258)+(VLOOKUP($X$2,Prices!$J$3:$K$17,2,FALSE)*X258)+(VLOOKUP($Y$2,Prices!$J$3:$K$17,2,FALSE)*Y258)+(VLOOKUP($Z$2,Prices!$J$3:$K$17,2,FALSE)*Z258)+(VLOOKUP($AA$2,Prices!$J$3:$K$17,2,FALSE)*AA258)+(VLOOKUP($AB$2,Prices!$J$3:$K$17,2,FALSE)*AB258)+M258</f>
        <v>6761500</v>
      </c>
      <c r="AD258" s="18"/>
      <c r="AE258" s="18"/>
      <c r="AF258" s="4">
        <f t="shared" si="24"/>
        <v>0</v>
      </c>
      <c r="AG258" s="4"/>
      <c r="AH258" s="16">
        <f t="shared" si="25"/>
        <v>0</v>
      </c>
      <c r="AI258" s="21">
        <f t="shared" si="20"/>
        <v>0</v>
      </c>
      <c r="AJ258" s="20">
        <f t="shared" si="26"/>
        <v>0</v>
      </c>
      <c r="AK258" s="9"/>
    </row>
    <row r="259" spans="1:37" hidden="1">
      <c r="A259" s="3">
        <v>257</v>
      </c>
      <c r="B259" s="12"/>
      <c r="C259" s="13"/>
      <c r="D259" s="13"/>
      <c r="E259" s="13"/>
      <c r="F259" s="13"/>
      <c r="G259" s="13"/>
      <c r="H259" s="15"/>
      <c r="I259" s="45" t="s">
        <v>771</v>
      </c>
      <c r="J259" s="45" t="s">
        <v>1389</v>
      </c>
      <c r="K259" s="46" t="s">
        <v>667</v>
      </c>
      <c r="L259" s="46" t="s">
        <v>1074</v>
      </c>
      <c r="M259" s="66">
        <f>IFERROR(VLOOKUP($L259,[3]Consolidated!$C$9:$AC$452,27,0),0)</f>
        <v>6970000</v>
      </c>
      <c r="N259" s="66">
        <f>IFERROR(VLOOKUP($L259,[3]Consolidated!$C$9:$AC$452,5,0),0)</f>
        <v>50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4">
        <f>(VLOOKUP($O$2,Prices!$E$3:$K$17,2,FALSE)*O259)+(VLOOKUP($P$2,Prices!$J$3:$K$17,2,FALSE)*P259)+(VLOOKUP($Q$2,Prices!$J$3:$K$17,2,FALSE)*Q259)+(VLOOKUP($R$2,Prices!$J$3:$K$17,2,FALSE)*R259)+(VLOOKUP($S$2,Prices!$J$3:$K$17,2,FALSE)*S259)+(VLOOKUP($T$2,Prices!$J$3:$K$17,2,FALSE)*T259)+(VLOOKUP($U$2,Prices!$J$3:$K$17,2,FALSE)*U259)+(VLOOKUP($V$2,Prices!$J$3:$K$17,2,FALSE)*V259)+(VLOOKUP($W$2,Prices!$J$3:$K$17,2,FALSE)*W259)+(VLOOKUP($X$2,Prices!$J$3:$K$17,2,FALSE)*X259)+(VLOOKUP($Y$2,Prices!$J$3:$K$17,2,FALSE)*Y259)+(VLOOKUP($Z$2,Prices!$J$3:$K$17,2,FALSE)*Z259)+(VLOOKUP($AA$2,Prices!$J$3:$K$17,2,FALSE)*AA259)+(VLOOKUP($AB$2,Prices!$J$3:$K$17,2,FALSE)*AB259)+M259</f>
        <v>6970000</v>
      </c>
      <c r="AD259" s="18"/>
      <c r="AE259" s="18"/>
      <c r="AF259" s="4">
        <f t="shared" si="24"/>
        <v>0</v>
      </c>
      <c r="AG259" s="4"/>
      <c r="AH259" s="16">
        <f t="shared" si="25"/>
        <v>0</v>
      </c>
      <c r="AI259" s="21">
        <f t="shared" si="20"/>
        <v>0</v>
      </c>
      <c r="AJ259" s="20">
        <f t="shared" si="26"/>
        <v>0</v>
      </c>
      <c r="AK259" s="9"/>
    </row>
    <row r="260" spans="1:37" hidden="1">
      <c r="A260" s="3">
        <v>258</v>
      </c>
      <c r="B260" s="12"/>
      <c r="C260" s="13"/>
      <c r="D260" s="13"/>
      <c r="E260" s="13"/>
      <c r="F260" s="13"/>
      <c r="G260" s="13"/>
      <c r="H260" s="15"/>
      <c r="I260" s="45" t="s">
        <v>769</v>
      </c>
      <c r="J260" s="45" t="s">
        <v>1389</v>
      </c>
      <c r="K260" s="46" t="s">
        <v>1402</v>
      </c>
      <c r="L260" s="46" t="s">
        <v>1072</v>
      </c>
      <c r="M260" s="66">
        <f>IFERROR(VLOOKUP($L260,[3]Consolidated!$C$9:$AC$452,27,0),0)</f>
        <v>1500000</v>
      </c>
      <c r="N260" s="66">
        <f>IFERROR(VLOOKUP($L260,[3]Consolidated!$C$9:$AC$452,5,0),0)</f>
        <v>10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4">
        <f>(VLOOKUP($O$2,Prices!$E$3:$K$17,2,FALSE)*O260)+(VLOOKUP($P$2,Prices!$J$3:$K$17,2,FALSE)*P260)+(VLOOKUP($Q$2,Prices!$J$3:$K$17,2,FALSE)*Q260)+(VLOOKUP($R$2,Prices!$J$3:$K$17,2,FALSE)*R260)+(VLOOKUP($S$2,Prices!$J$3:$K$17,2,FALSE)*S260)+(VLOOKUP($T$2,Prices!$J$3:$K$17,2,FALSE)*T260)+(VLOOKUP($U$2,Prices!$J$3:$K$17,2,FALSE)*U260)+(VLOOKUP($V$2,Prices!$J$3:$K$17,2,FALSE)*V260)+(VLOOKUP($W$2,Prices!$J$3:$K$17,2,FALSE)*W260)+(VLOOKUP($X$2,Prices!$J$3:$K$17,2,FALSE)*X260)+(VLOOKUP($Y$2,Prices!$J$3:$K$17,2,FALSE)*Y260)+(VLOOKUP($Z$2,Prices!$J$3:$K$17,2,FALSE)*Z260)+(VLOOKUP($AA$2,Prices!$J$3:$K$17,2,FALSE)*AA260)+(VLOOKUP($AB$2,Prices!$J$3:$K$17,2,FALSE)*AB260)+M260</f>
        <v>1500000</v>
      </c>
      <c r="AD260" s="18"/>
      <c r="AE260" s="18"/>
      <c r="AF260" s="4">
        <f t="shared" ref="AF260:AF323" si="27">AD260-AE260</f>
        <v>0</v>
      </c>
      <c r="AG260" s="4"/>
      <c r="AH260" s="16">
        <f t="shared" si="25"/>
        <v>0</v>
      </c>
      <c r="AI260" s="21">
        <f t="shared" ref="AI260:AI323" si="28">AH260/M260</f>
        <v>0</v>
      </c>
      <c r="AJ260" s="20">
        <f t="shared" si="26"/>
        <v>0</v>
      </c>
      <c r="AK260" s="9"/>
    </row>
    <row r="261" spans="1:37" hidden="1">
      <c r="A261" s="3">
        <v>259</v>
      </c>
      <c r="B261" s="12"/>
      <c r="C261" s="13"/>
      <c r="D261" s="13"/>
      <c r="E261" s="13"/>
      <c r="F261" s="13"/>
      <c r="G261" s="13"/>
      <c r="H261" s="15"/>
      <c r="I261" s="45" t="s">
        <v>768</v>
      </c>
      <c r="J261" s="45" t="s">
        <v>1389</v>
      </c>
      <c r="K261" s="46" t="s">
        <v>1402</v>
      </c>
      <c r="L261" s="46" t="s">
        <v>1071</v>
      </c>
      <c r="M261" s="66">
        <f>IFERROR(VLOOKUP($L261,[3]Consolidated!$C$9:$AC$452,27,0),0)</f>
        <v>9156400</v>
      </c>
      <c r="N261" s="66">
        <f>IFERROR(VLOOKUP($L261,[3]Consolidated!$C$9:$AC$452,5,0),0)</f>
        <v>50.000000000000007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4">
        <f>(VLOOKUP($O$2,Prices!$E$3:$K$17,2,FALSE)*O261)+(VLOOKUP($P$2,Prices!$J$3:$K$17,2,FALSE)*P261)+(VLOOKUP($Q$2,Prices!$J$3:$K$17,2,FALSE)*Q261)+(VLOOKUP($R$2,Prices!$J$3:$K$17,2,FALSE)*R261)+(VLOOKUP($S$2,Prices!$J$3:$K$17,2,FALSE)*S261)+(VLOOKUP($T$2,Prices!$J$3:$K$17,2,FALSE)*T261)+(VLOOKUP($U$2,Prices!$J$3:$K$17,2,FALSE)*U261)+(VLOOKUP($V$2,Prices!$J$3:$K$17,2,FALSE)*V261)+(VLOOKUP($W$2,Prices!$J$3:$K$17,2,FALSE)*W261)+(VLOOKUP($X$2,Prices!$J$3:$K$17,2,FALSE)*X261)+(VLOOKUP($Y$2,Prices!$J$3:$K$17,2,FALSE)*Y261)+(VLOOKUP($Z$2,Prices!$J$3:$K$17,2,FALSE)*Z261)+(VLOOKUP($AA$2,Prices!$J$3:$K$17,2,FALSE)*AA261)+(VLOOKUP($AB$2,Prices!$J$3:$K$17,2,FALSE)*AB261)+M261</f>
        <v>9156400</v>
      </c>
      <c r="AD261" s="18"/>
      <c r="AE261" s="18"/>
      <c r="AF261" s="4">
        <f t="shared" si="27"/>
        <v>0</v>
      </c>
      <c r="AG261" s="4"/>
      <c r="AH261" s="16">
        <f t="shared" ref="AH261:AH324" si="29">AD261+AG261</f>
        <v>0</v>
      </c>
      <c r="AI261" s="21">
        <f t="shared" si="28"/>
        <v>0</v>
      </c>
      <c r="AJ261" s="20">
        <f t="shared" si="26"/>
        <v>0</v>
      </c>
      <c r="AK261" s="19"/>
    </row>
    <row r="262" spans="1:37" hidden="1">
      <c r="A262" s="3">
        <v>260</v>
      </c>
      <c r="B262" s="12"/>
      <c r="C262" s="13"/>
      <c r="D262" s="13"/>
      <c r="E262" s="13"/>
      <c r="F262" s="13"/>
      <c r="G262" s="13"/>
      <c r="H262" s="15"/>
      <c r="I262" s="45" t="s">
        <v>802</v>
      </c>
      <c r="J262" s="45" t="s">
        <v>1389</v>
      </c>
      <c r="K262" s="46" t="s">
        <v>668</v>
      </c>
      <c r="L262" s="47" t="s">
        <v>1117</v>
      </c>
      <c r="M262" s="66">
        <f>IFERROR(VLOOKUP($L262,[3]Consolidated!$C$9:$AC$452,27,0),0)</f>
        <v>1843000</v>
      </c>
      <c r="N262" s="66">
        <f>IFERROR(VLOOKUP($L262,[3]Consolidated!$C$9:$AC$452,5,0),0)</f>
        <v>10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4">
        <f>(VLOOKUP($O$2,Prices!$E$3:$K$17,2,FALSE)*O262)+(VLOOKUP($P$2,Prices!$J$3:$K$17,2,FALSE)*P262)+(VLOOKUP($Q$2,Prices!$J$3:$K$17,2,FALSE)*Q262)+(VLOOKUP($R$2,Prices!$J$3:$K$17,2,FALSE)*R262)+(VLOOKUP($S$2,Prices!$J$3:$K$17,2,FALSE)*S262)+(VLOOKUP($T$2,Prices!$J$3:$K$17,2,FALSE)*T262)+(VLOOKUP($U$2,Prices!$J$3:$K$17,2,FALSE)*U262)+(VLOOKUP($V$2,Prices!$J$3:$K$17,2,FALSE)*V262)+(VLOOKUP($W$2,Prices!$J$3:$K$17,2,FALSE)*W262)+(VLOOKUP($X$2,Prices!$J$3:$K$17,2,FALSE)*X262)+(VLOOKUP($Y$2,Prices!$J$3:$K$17,2,FALSE)*Y262)+(VLOOKUP($Z$2,Prices!$J$3:$K$17,2,FALSE)*Z262)+(VLOOKUP($AA$2,Prices!$J$3:$K$17,2,FALSE)*AA262)+(VLOOKUP($AB$2,Prices!$J$3:$K$17,2,FALSE)*AB262)+M262</f>
        <v>1843000</v>
      </c>
      <c r="AD262" s="18"/>
      <c r="AE262" s="18"/>
      <c r="AF262" s="4">
        <f t="shared" si="27"/>
        <v>0</v>
      </c>
      <c r="AG262" s="4"/>
      <c r="AH262" s="16">
        <f t="shared" si="29"/>
        <v>0</v>
      </c>
      <c r="AI262" s="21">
        <f t="shared" si="28"/>
        <v>0</v>
      </c>
      <c r="AJ262" s="20">
        <f t="shared" ref="AJ262:AJ325" si="30">AH262/AC262</f>
        <v>0</v>
      </c>
      <c r="AK262" s="9"/>
    </row>
    <row r="263" spans="1:37" hidden="1">
      <c r="A263" s="3">
        <v>261</v>
      </c>
      <c r="B263" s="12"/>
      <c r="C263" s="13"/>
      <c r="D263" s="13"/>
      <c r="E263" s="13"/>
      <c r="F263" s="13"/>
      <c r="G263" s="13"/>
      <c r="H263" s="15"/>
      <c r="I263" s="45" t="s">
        <v>1412</v>
      </c>
      <c r="J263" s="45" t="s">
        <v>1389</v>
      </c>
      <c r="K263" s="46" t="s">
        <v>1402</v>
      </c>
      <c r="L263" s="47" t="s">
        <v>1067</v>
      </c>
      <c r="M263" s="66">
        <f>IFERROR(VLOOKUP($L263,[3]Consolidated!$C$9:$AC$452,27,0),0)</f>
        <v>0</v>
      </c>
      <c r="N263" s="66">
        <f>IFERROR(VLOOKUP($L263,[3]Consolidated!$C$9:$AC$452,5,0),0)</f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4">
        <f>(VLOOKUP($O$2,Prices!$E$3:$K$17,2,FALSE)*O263)+(VLOOKUP($P$2,Prices!$J$3:$K$17,2,FALSE)*P263)+(VLOOKUP($Q$2,Prices!$J$3:$K$17,2,FALSE)*Q263)+(VLOOKUP($R$2,Prices!$J$3:$K$17,2,FALSE)*R263)+(VLOOKUP($S$2,Prices!$J$3:$K$17,2,FALSE)*S263)+(VLOOKUP($T$2,Prices!$J$3:$K$17,2,FALSE)*T263)+(VLOOKUP($U$2,Prices!$J$3:$K$17,2,FALSE)*U263)+(VLOOKUP($V$2,Prices!$J$3:$K$17,2,FALSE)*V263)+(VLOOKUP($W$2,Prices!$J$3:$K$17,2,FALSE)*W263)+(VLOOKUP($X$2,Prices!$J$3:$K$17,2,FALSE)*X263)+(VLOOKUP($Y$2,Prices!$J$3:$K$17,2,FALSE)*Y263)+(VLOOKUP($Z$2,Prices!$J$3:$K$17,2,FALSE)*Z263)+(VLOOKUP($AA$2,Prices!$J$3:$K$17,2,FALSE)*AA263)+(VLOOKUP($AB$2,Prices!$J$3:$K$17,2,FALSE)*AB263)+M263</f>
        <v>0</v>
      </c>
      <c r="AD263" s="18"/>
      <c r="AE263" s="18"/>
      <c r="AF263" s="4">
        <f t="shared" si="27"/>
        <v>0</v>
      </c>
      <c r="AG263" s="4"/>
      <c r="AH263" s="16">
        <f t="shared" si="29"/>
        <v>0</v>
      </c>
      <c r="AI263" s="21" t="e">
        <f t="shared" si="28"/>
        <v>#DIV/0!</v>
      </c>
      <c r="AJ263" s="20" t="e">
        <f t="shared" si="30"/>
        <v>#DIV/0!</v>
      </c>
      <c r="AK263" s="9"/>
    </row>
    <row r="264" spans="1:37" hidden="1">
      <c r="A264" s="3">
        <v>262</v>
      </c>
      <c r="B264" s="12"/>
      <c r="C264" s="13"/>
      <c r="D264" s="13"/>
      <c r="E264" s="13"/>
      <c r="F264" s="13"/>
      <c r="G264" s="13"/>
      <c r="H264" s="15"/>
      <c r="I264" s="45" t="s">
        <v>1413</v>
      </c>
      <c r="J264" s="45" t="s">
        <v>1389</v>
      </c>
      <c r="K264" s="46" t="s">
        <v>1402</v>
      </c>
      <c r="L264" s="47" t="s">
        <v>1066</v>
      </c>
      <c r="M264" s="66">
        <f>IFERROR(VLOOKUP($L264,[3]Consolidated!$C$9:$AC$452,27,0),0)</f>
        <v>0</v>
      </c>
      <c r="N264" s="66">
        <f>IFERROR(VLOOKUP($L264,[3]Consolidated!$C$9:$AC$452,5,0),0)</f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4">
        <f>(VLOOKUP($O$2,Prices!$E$3:$K$17,2,FALSE)*O264)+(VLOOKUP($P$2,Prices!$J$3:$K$17,2,FALSE)*P264)+(VLOOKUP($Q$2,Prices!$J$3:$K$17,2,FALSE)*Q264)+(VLOOKUP($R$2,Prices!$J$3:$K$17,2,FALSE)*R264)+(VLOOKUP($S$2,Prices!$J$3:$K$17,2,FALSE)*S264)+(VLOOKUP($T$2,Prices!$J$3:$K$17,2,FALSE)*T264)+(VLOOKUP($U$2,Prices!$J$3:$K$17,2,FALSE)*U264)+(VLOOKUP($V$2,Prices!$J$3:$K$17,2,FALSE)*V264)+(VLOOKUP($W$2,Prices!$J$3:$K$17,2,FALSE)*W264)+(VLOOKUP($X$2,Prices!$J$3:$K$17,2,FALSE)*X264)+(VLOOKUP($Y$2,Prices!$J$3:$K$17,2,FALSE)*Y264)+(VLOOKUP($Z$2,Prices!$J$3:$K$17,2,FALSE)*Z264)+(VLOOKUP($AA$2,Prices!$J$3:$K$17,2,FALSE)*AA264)+(VLOOKUP($AB$2,Prices!$J$3:$K$17,2,FALSE)*AB264)+M264</f>
        <v>0</v>
      </c>
      <c r="AD264" s="18"/>
      <c r="AE264" s="18"/>
      <c r="AF264" s="4">
        <f t="shared" si="27"/>
        <v>0</v>
      </c>
      <c r="AG264" s="4"/>
      <c r="AH264" s="16">
        <f t="shared" si="29"/>
        <v>0</v>
      </c>
      <c r="AI264" s="21" t="e">
        <f t="shared" si="28"/>
        <v>#DIV/0!</v>
      </c>
      <c r="AJ264" s="20" t="e">
        <f t="shared" si="30"/>
        <v>#DIV/0!</v>
      </c>
      <c r="AK264" s="9"/>
    </row>
    <row r="265" spans="1:37" hidden="1">
      <c r="A265" s="3">
        <v>263</v>
      </c>
      <c r="B265" s="12"/>
      <c r="C265" s="13"/>
      <c r="D265" s="13"/>
      <c r="E265" s="13"/>
      <c r="F265" s="13"/>
      <c r="G265" s="13"/>
      <c r="H265" s="15"/>
      <c r="I265" s="45" t="s">
        <v>789</v>
      </c>
      <c r="J265" s="45" t="s">
        <v>1389</v>
      </c>
      <c r="K265" s="46" t="s">
        <v>667</v>
      </c>
      <c r="L265" s="47" t="s">
        <v>1104</v>
      </c>
      <c r="M265" s="66">
        <f>IFERROR(VLOOKUP($L265,[3]Consolidated!$C$9:$AC$452,27,0),0)</f>
        <v>4704000</v>
      </c>
      <c r="N265" s="66">
        <f>IFERROR(VLOOKUP($L265,[3]Consolidated!$C$9:$AC$452,5,0),0)</f>
        <v>35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4">
        <f>(VLOOKUP($O$2,Prices!$E$3:$K$17,2,FALSE)*O265)+(VLOOKUP($P$2,Prices!$J$3:$K$17,2,FALSE)*P265)+(VLOOKUP($Q$2,Prices!$J$3:$K$17,2,FALSE)*Q265)+(VLOOKUP($R$2,Prices!$J$3:$K$17,2,FALSE)*R265)+(VLOOKUP($S$2,Prices!$J$3:$K$17,2,FALSE)*S265)+(VLOOKUP($T$2,Prices!$J$3:$K$17,2,FALSE)*T265)+(VLOOKUP($U$2,Prices!$J$3:$K$17,2,FALSE)*U265)+(VLOOKUP($V$2,Prices!$J$3:$K$17,2,FALSE)*V265)+(VLOOKUP($W$2,Prices!$J$3:$K$17,2,FALSE)*W265)+(VLOOKUP($X$2,Prices!$J$3:$K$17,2,FALSE)*X265)+(VLOOKUP($Y$2,Prices!$J$3:$K$17,2,FALSE)*Y265)+(VLOOKUP($Z$2,Prices!$J$3:$K$17,2,FALSE)*Z265)+(VLOOKUP($AA$2,Prices!$J$3:$K$17,2,FALSE)*AA265)+(VLOOKUP($AB$2,Prices!$J$3:$K$17,2,FALSE)*AB265)+M265</f>
        <v>4704000</v>
      </c>
      <c r="AD265" s="18"/>
      <c r="AE265" s="18"/>
      <c r="AF265" s="4">
        <f t="shared" si="27"/>
        <v>0</v>
      </c>
      <c r="AG265" s="4"/>
      <c r="AH265" s="16">
        <f t="shared" si="29"/>
        <v>0</v>
      </c>
      <c r="AI265" s="21">
        <f t="shared" si="28"/>
        <v>0</v>
      </c>
      <c r="AJ265" s="20">
        <f t="shared" si="30"/>
        <v>0</v>
      </c>
      <c r="AK265" s="9"/>
    </row>
    <row r="266" spans="1:37" hidden="1">
      <c r="A266" s="3">
        <v>264</v>
      </c>
      <c r="B266" s="12"/>
      <c r="C266" s="13"/>
      <c r="D266" s="13"/>
      <c r="E266" s="13"/>
      <c r="F266" s="13"/>
      <c r="G266" s="13"/>
      <c r="H266" s="15"/>
      <c r="I266" s="45" t="s">
        <v>788</v>
      </c>
      <c r="J266" s="45" t="s">
        <v>1389</v>
      </c>
      <c r="K266" s="46" t="s">
        <v>667</v>
      </c>
      <c r="L266" s="47" t="s">
        <v>1103</v>
      </c>
      <c r="M266" s="66">
        <f>IFERROR(VLOOKUP($L266,[3]Consolidated!$C$9:$AC$452,27,0),0)</f>
        <v>0</v>
      </c>
      <c r="N266" s="66">
        <f>IFERROR(VLOOKUP($L266,[3]Consolidated!$C$9:$AC$452,5,0),0)</f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4">
        <f>(VLOOKUP($O$2,Prices!$E$3:$K$17,2,FALSE)*O266)+(VLOOKUP($P$2,Prices!$J$3:$K$17,2,FALSE)*P266)+(VLOOKUP($Q$2,Prices!$J$3:$K$17,2,FALSE)*Q266)+(VLOOKUP($R$2,Prices!$J$3:$K$17,2,FALSE)*R266)+(VLOOKUP($S$2,Prices!$J$3:$K$17,2,FALSE)*S266)+(VLOOKUP($T$2,Prices!$J$3:$K$17,2,FALSE)*T266)+(VLOOKUP($U$2,Prices!$J$3:$K$17,2,FALSE)*U266)+(VLOOKUP($V$2,Prices!$J$3:$K$17,2,FALSE)*V266)+(VLOOKUP($W$2,Prices!$J$3:$K$17,2,FALSE)*W266)+(VLOOKUP($X$2,Prices!$J$3:$K$17,2,FALSE)*X266)+(VLOOKUP($Y$2,Prices!$J$3:$K$17,2,FALSE)*Y266)+(VLOOKUP($Z$2,Prices!$J$3:$K$17,2,FALSE)*Z266)+(VLOOKUP($AA$2,Prices!$J$3:$K$17,2,FALSE)*AA266)+(VLOOKUP($AB$2,Prices!$J$3:$K$17,2,FALSE)*AB266)+M266</f>
        <v>0</v>
      </c>
      <c r="AD266" s="18"/>
      <c r="AE266" s="18"/>
      <c r="AF266" s="4">
        <f t="shared" si="27"/>
        <v>0</v>
      </c>
      <c r="AG266" s="4"/>
      <c r="AH266" s="16">
        <f t="shared" si="29"/>
        <v>0</v>
      </c>
      <c r="AI266" s="21" t="e">
        <f t="shared" si="28"/>
        <v>#DIV/0!</v>
      </c>
      <c r="AJ266" s="20" t="e">
        <f t="shared" si="30"/>
        <v>#DIV/0!</v>
      </c>
      <c r="AK266" s="9"/>
    </row>
    <row r="267" spans="1:37" hidden="1">
      <c r="A267" s="3">
        <v>265</v>
      </c>
      <c r="B267" s="12"/>
      <c r="C267" s="13"/>
      <c r="D267" s="13"/>
      <c r="E267" s="13"/>
      <c r="F267" s="13"/>
      <c r="G267" s="13"/>
      <c r="H267" s="15"/>
      <c r="I267" s="45" t="s">
        <v>840</v>
      </c>
      <c r="J267" s="45" t="s">
        <v>1389</v>
      </c>
      <c r="K267" s="46" t="s">
        <v>671</v>
      </c>
      <c r="L267" s="47" t="s">
        <v>1178</v>
      </c>
      <c r="M267" s="66">
        <f>IFERROR(VLOOKUP($L267,[3]Consolidated!$C$9:$AC$452,27,0),0)</f>
        <v>0</v>
      </c>
      <c r="N267" s="66">
        <f>IFERROR(VLOOKUP($L267,[3]Consolidated!$C$9:$AC$452,5,0),0)</f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4">
        <f>(VLOOKUP($O$2,Prices!$E$3:$K$17,2,FALSE)*O267)+(VLOOKUP($P$2,Prices!$J$3:$K$17,2,FALSE)*P267)+(VLOOKUP($Q$2,Prices!$J$3:$K$17,2,FALSE)*Q267)+(VLOOKUP($R$2,Prices!$J$3:$K$17,2,FALSE)*R267)+(VLOOKUP($S$2,Prices!$J$3:$K$17,2,FALSE)*S267)+(VLOOKUP($T$2,Prices!$J$3:$K$17,2,FALSE)*T267)+(VLOOKUP($U$2,Prices!$J$3:$K$17,2,FALSE)*U267)+(VLOOKUP($V$2,Prices!$J$3:$K$17,2,FALSE)*V267)+(VLOOKUP($W$2,Prices!$J$3:$K$17,2,FALSE)*W267)+(VLOOKUP($X$2,Prices!$J$3:$K$17,2,FALSE)*X267)+(VLOOKUP($Y$2,Prices!$J$3:$K$17,2,FALSE)*Y267)+(VLOOKUP($Z$2,Prices!$J$3:$K$17,2,FALSE)*Z267)+(VLOOKUP($AA$2,Prices!$J$3:$K$17,2,FALSE)*AA267)+(VLOOKUP($AB$2,Prices!$J$3:$K$17,2,FALSE)*AB267)+M267</f>
        <v>0</v>
      </c>
      <c r="AD267" s="18"/>
      <c r="AE267" s="18"/>
      <c r="AF267" s="4">
        <f t="shared" si="27"/>
        <v>0</v>
      </c>
      <c r="AG267" s="4"/>
      <c r="AH267" s="16">
        <f t="shared" si="29"/>
        <v>0</v>
      </c>
      <c r="AI267" s="21" t="e">
        <f t="shared" si="28"/>
        <v>#DIV/0!</v>
      </c>
      <c r="AJ267" s="20" t="e">
        <f t="shared" si="30"/>
        <v>#DIV/0!</v>
      </c>
      <c r="AK267" s="9"/>
    </row>
    <row r="268" spans="1:37" hidden="1">
      <c r="A268" s="3">
        <v>266</v>
      </c>
      <c r="B268" s="12"/>
      <c r="C268" s="13"/>
      <c r="D268" s="13"/>
      <c r="E268" s="13"/>
      <c r="F268" s="13"/>
      <c r="G268" s="13"/>
      <c r="H268" s="15"/>
      <c r="I268" s="45" t="s">
        <v>1414</v>
      </c>
      <c r="J268" s="45" t="s">
        <v>1389</v>
      </c>
      <c r="K268" s="46" t="s">
        <v>1402</v>
      </c>
      <c r="L268" s="47" t="s">
        <v>1063</v>
      </c>
      <c r="M268" s="66">
        <f>IFERROR(VLOOKUP($L268,[3]Consolidated!$C$9:$AC$452,27,0),0)</f>
        <v>0</v>
      </c>
      <c r="N268" s="66">
        <f>IFERROR(VLOOKUP($L268,[3]Consolidated!$C$9:$AC$452,5,0),0)</f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4">
        <f>(VLOOKUP($O$2,Prices!$E$3:$K$17,2,FALSE)*O268)+(VLOOKUP($P$2,Prices!$J$3:$K$17,2,FALSE)*P268)+(VLOOKUP($Q$2,Prices!$J$3:$K$17,2,FALSE)*Q268)+(VLOOKUP($R$2,Prices!$J$3:$K$17,2,FALSE)*R268)+(VLOOKUP($S$2,Prices!$J$3:$K$17,2,FALSE)*S268)+(VLOOKUP($T$2,Prices!$J$3:$K$17,2,FALSE)*T268)+(VLOOKUP($U$2,Prices!$J$3:$K$17,2,FALSE)*U268)+(VLOOKUP($V$2,Prices!$J$3:$K$17,2,FALSE)*V268)+(VLOOKUP($W$2,Prices!$J$3:$K$17,2,FALSE)*W268)+(VLOOKUP($X$2,Prices!$J$3:$K$17,2,FALSE)*X268)+(VLOOKUP($Y$2,Prices!$J$3:$K$17,2,FALSE)*Y268)+(VLOOKUP($Z$2,Prices!$J$3:$K$17,2,FALSE)*Z268)+(VLOOKUP($AA$2,Prices!$J$3:$K$17,2,FALSE)*AA268)+(VLOOKUP($AB$2,Prices!$J$3:$K$17,2,FALSE)*AB268)+M268</f>
        <v>0</v>
      </c>
      <c r="AD268" s="18"/>
      <c r="AE268" s="18"/>
      <c r="AF268" s="4">
        <f t="shared" si="27"/>
        <v>0</v>
      </c>
      <c r="AG268" s="4"/>
      <c r="AH268" s="16">
        <f t="shared" si="29"/>
        <v>0</v>
      </c>
      <c r="AI268" s="21" t="e">
        <f t="shared" si="28"/>
        <v>#DIV/0!</v>
      </c>
      <c r="AJ268" s="20" t="e">
        <f t="shared" si="30"/>
        <v>#DIV/0!</v>
      </c>
      <c r="AK268" s="9"/>
    </row>
    <row r="269" spans="1:37" hidden="1">
      <c r="A269" s="3">
        <v>267</v>
      </c>
      <c r="B269" s="12"/>
      <c r="C269" s="13"/>
      <c r="D269" s="13"/>
      <c r="E269" s="13"/>
      <c r="F269" s="13"/>
      <c r="G269" s="13"/>
      <c r="H269" s="15"/>
      <c r="I269" s="45" t="s">
        <v>1415</v>
      </c>
      <c r="J269" s="45" t="s">
        <v>1389</v>
      </c>
      <c r="K269" s="46" t="s">
        <v>1402</v>
      </c>
      <c r="L269" s="47" t="s">
        <v>1062</v>
      </c>
      <c r="M269" s="66">
        <f>IFERROR(VLOOKUP($L269,[3]Consolidated!$C$9:$AC$452,27,0),0)</f>
        <v>7388000</v>
      </c>
      <c r="N269" s="66">
        <f>IFERROR(VLOOKUP($L269,[3]Consolidated!$C$9:$AC$452,5,0),0)</f>
        <v>45.000000000000007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4">
        <f>(VLOOKUP($O$2,Prices!$E$3:$K$17,2,FALSE)*O269)+(VLOOKUP($P$2,Prices!$J$3:$K$17,2,FALSE)*P269)+(VLOOKUP($Q$2,Prices!$J$3:$K$17,2,FALSE)*Q269)+(VLOOKUP($R$2,Prices!$J$3:$K$17,2,FALSE)*R269)+(VLOOKUP($S$2,Prices!$J$3:$K$17,2,FALSE)*S269)+(VLOOKUP($T$2,Prices!$J$3:$K$17,2,FALSE)*T269)+(VLOOKUP($U$2,Prices!$J$3:$K$17,2,FALSE)*U269)+(VLOOKUP($V$2,Prices!$J$3:$K$17,2,FALSE)*V269)+(VLOOKUP($W$2,Prices!$J$3:$K$17,2,FALSE)*W269)+(VLOOKUP($X$2,Prices!$J$3:$K$17,2,FALSE)*X269)+(VLOOKUP($Y$2,Prices!$J$3:$K$17,2,FALSE)*Y269)+(VLOOKUP($Z$2,Prices!$J$3:$K$17,2,FALSE)*Z269)+(VLOOKUP($AA$2,Prices!$J$3:$K$17,2,FALSE)*AA269)+(VLOOKUP($AB$2,Prices!$J$3:$K$17,2,FALSE)*AB269)+M269</f>
        <v>7388000</v>
      </c>
      <c r="AD269" s="18"/>
      <c r="AE269" s="18"/>
      <c r="AF269" s="4">
        <f t="shared" si="27"/>
        <v>0</v>
      </c>
      <c r="AG269" s="4"/>
      <c r="AH269" s="16">
        <f t="shared" si="29"/>
        <v>0</v>
      </c>
      <c r="AI269" s="21">
        <f t="shared" si="28"/>
        <v>0</v>
      </c>
      <c r="AJ269" s="20">
        <f t="shared" si="30"/>
        <v>0</v>
      </c>
      <c r="AK269" s="9"/>
    </row>
    <row r="270" spans="1:37" hidden="1">
      <c r="A270" s="3">
        <v>268</v>
      </c>
      <c r="B270" s="12"/>
      <c r="C270" s="13"/>
      <c r="D270" s="13"/>
      <c r="E270" s="13"/>
      <c r="F270" s="13"/>
      <c r="G270" s="13"/>
      <c r="H270" s="15"/>
      <c r="I270" s="45" t="s">
        <v>1416</v>
      </c>
      <c r="J270" s="45" t="s">
        <v>1389</v>
      </c>
      <c r="K270" s="46" t="s">
        <v>668</v>
      </c>
      <c r="L270" s="47" t="s">
        <v>1131</v>
      </c>
      <c r="M270" s="66">
        <f>IFERROR(VLOOKUP($L270,[3]Consolidated!$C$9:$AC$452,27,0),0)</f>
        <v>2779500</v>
      </c>
      <c r="N270" s="66">
        <f>IFERROR(VLOOKUP($L270,[3]Consolidated!$C$9:$AC$452,5,0),0)</f>
        <v>15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4">
        <f>(VLOOKUP($O$2,Prices!$E$3:$K$17,2,FALSE)*O270)+(VLOOKUP($P$2,Prices!$J$3:$K$17,2,FALSE)*P270)+(VLOOKUP($Q$2,Prices!$J$3:$K$17,2,FALSE)*Q270)+(VLOOKUP($R$2,Prices!$J$3:$K$17,2,FALSE)*R270)+(VLOOKUP($S$2,Prices!$J$3:$K$17,2,FALSE)*S270)+(VLOOKUP($T$2,Prices!$J$3:$K$17,2,FALSE)*T270)+(VLOOKUP($U$2,Prices!$J$3:$K$17,2,FALSE)*U270)+(VLOOKUP($V$2,Prices!$J$3:$K$17,2,FALSE)*V270)+(VLOOKUP($W$2,Prices!$J$3:$K$17,2,FALSE)*W270)+(VLOOKUP($X$2,Prices!$J$3:$K$17,2,FALSE)*X270)+(VLOOKUP($Y$2,Prices!$J$3:$K$17,2,FALSE)*Y270)+(VLOOKUP($Z$2,Prices!$J$3:$K$17,2,FALSE)*Z270)+(VLOOKUP($AA$2,Prices!$J$3:$K$17,2,FALSE)*AA270)+(VLOOKUP($AB$2,Prices!$J$3:$K$17,2,FALSE)*AB270)+M270</f>
        <v>2779500</v>
      </c>
      <c r="AD270" s="18"/>
      <c r="AE270" s="18"/>
      <c r="AF270" s="4">
        <f t="shared" si="27"/>
        <v>0</v>
      </c>
      <c r="AG270" s="4"/>
      <c r="AH270" s="16">
        <f t="shared" si="29"/>
        <v>0</v>
      </c>
      <c r="AI270" s="21">
        <f t="shared" si="28"/>
        <v>0</v>
      </c>
      <c r="AJ270" s="20">
        <f t="shared" si="30"/>
        <v>0</v>
      </c>
      <c r="AK270" s="19"/>
    </row>
    <row r="271" spans="1:37" hidden="1">
      <c r="A271" s="3">
        <v>269</v>
      </c>
      <c r="B271" s="12"/>
      <c r="C271" s="13"/>
      <c r="D271" s="13"/>
      <c r="E271" s="13"/>
      <c r="F271" s="13"/>
      <c r="G271" s="13"/>
      <c r="H271" s="15"/>
      <c r="I271" s="45" t="s">
        <v>1417</v>
      </c>
      <c r="J271" s="45" t="s">
        <v>1389</v>
      </c>
      <c r="K271" s="46" t="s">
        <v>668</v>
      </c>
      <c r="L271" s="47" t="s">
        <v>1132</v>
      </c>
      <c r="M271" s="66">
        <f>IFERROR(VLOOKUP($L271,[3]Consolidated!$C$9:$AC$452,27,0),0)</f>
        <v>1843000</v>
      </c>
      <c r="N271" s="66">
        <f>IFERROR(VLOOKUP($L271,[3]Consolidated!$C$9:$AC$452,5,0),0)</f>
        <v>10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4">
        <f>(VLOOKUP($O$2,Prices!$E$3:$K$17,2,FALSE)*O271)+(VLOOKUP($P$2,Prices!$J$3:$K$17,2,FALSE)*P271)+(VLOOKUP($Q$2,Prices!$J$3:$K$17,2,FALSE)*Q271)+(VLOOKUP($R$2,Prices!$J$3:$K$17,2,FALSE)*R271)+(VLOOKUP($S$2,Prices!$J$3:$K$17,2,FALSE)*S271)+(VLOOKUP($T$2,Prices!$J$3:$K$17,2,FALSE)*T271)+(VLOOKUP($U$2,Prices!$J$3:$K$17,2,FALSE)*U271)+(VLOOKUP($V$2,Prices!$J$3:$K$17,2,FALSE)*V271)+(VLOOKUP($W$2,Prices!$J$3:$K$17,2,FALSE)*W271)+(VLOOKUP($X$2,Prices!$J$3:$K$17,2,FALSE)*X271)+(VLOOKUP($Y$2,Prices!$J$3:$K$17,2,FALSE)*Y271)+(VLOOKUP($Z$2,Prices!$J$3:$K$17,2,FALSE)*Z271)+(VLOOKUP($AA$2,Prices!$J$3:$K$17,2,FALSE)*AA271)+(VLOOKUP($AB$2,Prices!$J$3:$K$17,2,FALSE)*AB271)+M271</f>
        <v>1843000</v>
      </c>
      <c r="AD271" s="18"/>
      <c r="AE271" s="18"/>
      <c r="AF271" s="4">
        <f t="shared" si="27"/>
        <v>0</v>
      </c>
      <c r="AG271" s="4"/>
      <c r="AH271" s="16">
        <f t="shared" si="29"/>
        <v>0</v>
      </c>
      <c r="AI271" s="21">
        <f t="shared" si="28"/>
        <v>0</v>
      </c>
      <c r="AJ271" s="20">
        <f t="shared" si="30"/>
        <v>0</v>
      </c>
      <c r="AK271" s="9"/>
    </row>
    <row r="272" spans="1:37" hidden="1">
      <c r="A272" s="3">
        <v>270</v>
      </c>
      <c r="B272" s="12"/>
      <c r="C272" s="13"/>
      <c r="D272" s="13"/>
      <c r="E272" s="13"/>
      <c r="F272" s="13"/>
      <c r="G272" s="13"/>
      <c r="H272" s="15"/>
      <c r="I272" s="45" t="s">
        <v>1418</v>
      </c>
      <c r="J272" s="45" t="s">
        <v>1389</v>
      </c>
      <c r="K272" s="46" t="s">
        <v>668</v>
      </c>
      <c r="L272" s="47" t="s">
        <v>1134</v>
      </c>
      <c r="M272" s="66">
        <f>IFERROR(VLOOKUP($L272,[3]Consolidated!$C$9:$AC$452,27,0),0)</f>
        <v>1843000</v>
      </c>
      <c r="N272" s="66">
        <f>IFERROR(VLOOKUP($L272,[3]Consolidated!$C$9:$AC$452,5,0),0)</f>
        <v>10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4">
        <f>(VLOOKUP($O$2,Prices!$E$3:$K$17,2,FALSE)*O272)+(VLOOKUP($P$2,Prices!$J$3:$K$17,2,FALSE)*P272)+(VLOOKUP($Q$2,Prices!$J$3:$K$17,2,FALSE)*Q272)+(VLOOKUP($R$2,Prices!$J$3:$K$17,2,FALSE)*R272)+(VLOOKUP($S$2,Prices!$J$3:$K$17,2,FALSE)*S272)+(VLOOKUP($T$2,Prices!$J$3:$K$17,2,FALSE)*T272)+(VLOOKUP($U$2,Prices!$J$3:$K$17,2,FALSE)*U272)+(VLOOKUP($V$2,Prices!$J$3:$K$17,2,FALSE)*V272)+(VLOOKUP($W$2,Prices!$J$3:$K$17,2,FALSE)*W272)+(VLOOKUP($X$2,Prices!$J$3:$K$17,2,FALSE)*X272)+(VLOOKUP($Y$2,Prices!$J$3:$K$17,2,FALSE)*Y272)+(VLOOKUP($Z$2,Prices!$J$3:$K$17,2,FALSE)*Z272)+(VLOOKUP($AA$2,Prices!$J$3:$K$17,2,FALSE)*AA272)+(VLOOKUP($AB$2,Prices!$J$3:$K$17,2,FALSE)*AB272)+M272</f>
        <v>1843000</v>
      </c>
      <c r="AD272" s="18"/>
      <c r="AE272" s="18"/>
      <c r="AF272" s="4">
        <f t="shared" si="27"/>
        <v>0</v>
      </c>
      <c r="AG272" s="4"/>
      <c r="AH272" s="16">
        <f t="shared" si="29"/>
        <v>0</v>
      </c>
      <c r="AI272" s="21">
        <f t="shared" si="28"/>
        <v>0</v>
      </c>
      <c r="AJ272" s="20">
        <f t="shared" si="30"/>
        <v>0</v>
      </c>
      <c r="AK272" s="9"/>
    </row>
    <row r="273" spans="1:37" hidden="1">
      <c r="A273" s="3">
        <v>271</v>
      </c>
      <c r="B273" s="12"/>
      <c r="C273" s="13"/>
      <c r="D273" s="13"/>
      <c r="E273" s="13"/>
      <c r="F273" s="13"/>
      <c r="G273" s="13"/>
      <c r="H273" s="15"/>
      <c r="I273" s="45" t="s">
        <v>1419</v>
      </c>
      <c r="J273" s="45" t="s">
        <v>1389</v>
      </c>
      <c r="K273" s="46" t="s">
        <v>668</v>
      </c>
      <c r="L273" s="47" t="s">
        <v>1133</v>
      </c>
      <c r="M273" s="66">
        <f>IFERROR(VLOOKUP($L273,[3]Consolidated!$C$9:$AC$452,27,0),0)</f>
        <v>1843000</v>
      </c>
      <c r="N273" s="66">
        <f>IFERROR(VLOOKUP($L273,[3]Consolidated!$C$9:$AC$452,5,0),0)</f>
        <v>10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4">
        <f>(VLOOKUP($O$2,Prices!$E$3:$K$17,2,FALSE)*O273)+(VLOOKUP($P$2,Prices!$J$3:$K$17,2,FALSE)*P273)+(VLOOKUP($Q$2,Prices!$J$3:$K$17,2,FALSE)*Q273)+(VLOOKUP($R$2,Prices!$J$3:$K$17,2,FALSE)*R273)+(VLOOKUP($S$2,Prices!$J$3:$K$17,2,FALSE)*S273)+(VLOOKUP($T$2,Prices!$J$3:$K$17,2,FALSE)*T273)+(VLOOKUP($U$2,Prices!$J$3:$K$17,2,FALSE)*U273)+(VLOOKUP($V$2,Prices!$J$3:$K$17,2,FALSE)*V273)+(VLOOKUP($W$2,Prices!$J$3:$K$17,2,FALSE)*W273)+(VLOOKUP($X$2,Prices!$J$3:$K$17,2,FALSE)*X273)+(VLOOKUP($Y$2,Prices!$J$3:$K$17,2,FALSE)*Y273)+(VLOOKUP($Z$2,Prices!$J$3:$K$17,2,FALSE)*Z273)+(VLOOKUP($AA$2,Prices!$J$3:$K$17,2,FALSE)*AA273)+(VLOOKUP($AB$2,Prices!$J$3:$K$17,2,FALSE)*AB273)+M273</f>
        <v>1843000</v>
      </c>
      <c r="AD273" s="18"/>
      <c r="AE273" s="18"/>
      <c r="AF273" s="4">
        <f t="shared" si="27"/>
        <v>0</v>
      </c>
      <c r="AG273" s="4"/>
      <c r="AH273" s="16">
        <f t="shared" si="29"/>
        <v>0</v>
      </c>
      <c r="AI273" s="21">
        <f t="shared" si="28"/>
        <v>0</v>
      </c>
      <c r="AJ273" s="20">
        <f t="shared" si="30"/>
        <v>0</v>
      </c>
      <c r="AK273" s="9"/>
    </row>
    <row r="274" spans="1:37" hidden="1">
      <c r="A274" s="3">
        <v>272</v>
      </c>
      <c r="B274" s="12"/>
      <c r="C274" s="13"/>
      <c r="D274" s="13"/>
      <c r="E274" s="13"/>
      <c r="F274" s="13"/>
      <c r="G274" s="13"/>
      <c r="H274" s="15"/>
      <c r="I274" s="45" t="s">
        <v>1420</v>
      </c>
      <c r="J274" s="45" t="s">
        <v>1389</v>
      </c>
      <c r="K274" s="46" t="s">
        <v>1402</v>
      </c>
      <c r="L274" s="47" t="s">
        <v>1084</v>
      </c>
      <c r="M274" s="66">
        <f>IFERROR(VLOOKUP($L274,[3]Consolidated!$C$9:$AC$452,27,0),0)</f>
        <v>6054000</v>
      </c>
      <c r="N274" s="66">
        <f>IFERROR(VLOOKUP($L274,[3]Consolidated!$C$9:$AC$452,5,0),0)</f>
        <v>40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4">
        <f>(VLOOKUP($O$2,Prices!$E$3:$K$17,2,FALSE)*O274)+(VLOOKUP($P$2,Prices!$J$3:$K$17,2,FALSE)*P274)+(VLOOKUP($Q$2,Prices!$J$3:$K$17,2,FALSE)*Q274)+(VLOOKUP($R$2,Prices!$J$3:$K$17,2,FALSE)*R274)+(VLOOKUP($S$2,Prices!$J$3:$K$17,2,FALSE)*S274)+(VLOOKUP($T$2,Prices!$J$3:$K$17,2,FALSE)*T274)+(VLOOKUP($U$2,Prices!$J$3:$K$17,2,FALSE)*U274)+(VLOOKUP($V$2,Prices!$J$3:$K$17,2,FALSE)*V274)+(VLOOKUP($W$2,Prices!$J$3:$K$17,2,FALSE)*W274)+(VLOOKUP($X$2,Prices!$J$3:$K$17,2,FALSE)*X274)+(VLOOKUP($Y$2,Prices!$J$3:$K$17,2,FALSE)*Y274)+(VLOOKUP($Z$2,Prices!$J$3:$K$17,2,FALSE)*Z274)+(VLOOKUP($AA$2,Prices!$J$3:$K$17,2,FALSE)*AA274)+(VLOOKUP($AB$2,Prices!$J$3:$K$17,2,FALSE)*AB274)+M274</f>
        <v>6054000</v>
      </c>
      <c r="AD274" s="18"/>
      <c r="AE274" s="18"/>
      <c r="AF274" s="4">
        <f t="shared" si="27"/>
        <v>0</v>
      </c>
      <c r="AG274" s="4"/>
      <c r="AH274" s="16">
        <f t="shared" si="29"/>
        <v>0</v>
      </c>
      <c r="AI274" s="21">
        <f t="shared" si="28"/>
        <v>0</v>
      </c>
      <c r="AJ274" s="20">
        <f t="shared" si="30"/>
        <v>0</v>
      </c>
      <c r="AK274" s="9"/>
    </row>
    <row r="275" spans="1:37" hidden="1">
      <c r="A275" s="3">
        <v>273</v>
      </c>
      <c r="B275" s="12"/>
      <c r="C275" s="13"/>
      <c r="D275" s="13"/>
      <c r="E275" s="13"/>
      <c r="F275" s="13"/>
      <c r="G275" s="13"/>
      <c r="H275" s="15"/>
      <c r="I275" s="45" t="s">
        <v>1421</v>
      </c>
      <c r="J275" s="45" t="s">
        <v>1389</v>
      </c>
      <c r="K275" s="46" t="s">
        <v>668</v>
      </c>
      <c r="L275" s="47" t="s">
        <v>1135</v>
      </c>
      <c r="M275" s="66">
        <f>IFERROR(VLOOKUP($L275,[3]Consolidated!$C$9:$AC$452,27,0),0)</f>
        <v>1843000</v>
      </c>
      <c r="N275" s="66">
        <f>IFERROR(VLOOKUP($L275,[3]Consolidated!$C$9:$AC$452,5,0),0)</f>
        <v>10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4">
        <f>(VLOOKUP($O$2,Prices!$E$3:$K$17,2,FALSE)*O275)+(VLOOKUP($P$2,Prices!$J$3:$K$17,2,FALSE)*P275)+(VLOOKUP($Q$2,Prices!$J$3:$K$17,2,FALSE)*Q275)+(VLOOKUP($R$2,Prices!$J$3:$K$17,2,FALSE)*R275)+(VLOOKUP($S$2,Prices!$J$3:$K$17,2,FALSE)*S275)+(VLOOKUP($T$2,Prices!$J$3:$K$17,2,FALSE)*T275)+(VLOOKUP($U$2,Prices!$J$3:$K$17,2,FALSE)*U275)+(VLOOKUP($V$2,Prices!$J$3:$K$17,2,FALSE)*V275)+(VLOOKUP($W$2,Prices!$J$3:$K$17,2,FALSE)*W275)+(VLOOKUP($X$2,Prices!$J$3:$K$17,2,FALSE)*X275)+(VLOOKUP($Y$2,Prices!$J$3:$K$17,2,FALSE)*Y275)+(VLOOKUP($Z$2,Prices!$J$3:$K$17,2,FALSE)*Z275)+(VLOOKUP($AA$2,Prices!$J$3:$K$17,2,FALSE)*AA275)+(VLOOKUP($AB$2,Prices!$J$3:$K$17,2,FALSE)*AB275)+M275</f>
        <v>1843000</v>
      </c>
      <c r="AD275" s="18"/>
      <c r="AE275" s="18"/>
      <c r="AF275" s="4">
        <f t="shared" si="27"/>
        <v>0</v>
      </c>
      <c r="AG275" s="4"/>
      <c r="AH275" s="16">
        <f t="shared" si="29"/>
        <v>0</v>
      </c>
      <c r="AI275" s="21">
        <f t="shared" si="28"/>
        <v>0</v>
      </c>
      <c r="AJ275" s="20">
        <f t="shared" si="30"/>
        <v>0</v>
      </c>
      <c r="AK275" s="9"/>
    </row>
    <row r="276" spans="1:37" hidden="1">
      <c r="A276" s="3">
        <v>274</v>
      </c>
      <c r="B276" s="12"/>
      <c r="C276" s="13"/>
      <c r="D276" s="13"/>
      <c r="E276" s="13"/>
      <c r="F276" s="13"/>
      <c r="G276" s="13"/>
      <c r="H276" s="15"/>
      <c r="I276" s="45" t="s">
        <v>1422</v>
      </c>
      <c r="J276" s="45" t="s">
        <v>1389</v>
      </c>
      <c r="K276" s="46" t="s">
        <v>1402</v>
      </c>
      <c r="L276" s="47" t="s">
        <v>1083</v>
      </c>
      <c r="M276" s="66">
        <f>IFERROR(VLOOKUP($L276,[3]Consolidated!$C$9:$AC$452,27,0),0)</f>
        <v>5175500</v>
      </c>
      <c r="N276" s="66">
        <f>IFERROR(VLOOKUP($L276,[3]Consolidated!$C$9:$AC$452,5,0),0)</f>
        <v>35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4">
        <f>(VLOOKUP($O$2,Prices!$E$3:$K$17,2,FALSE)*O276)+(VLOOKUP($P$2,Prices!$J$3:$K$17,2,FALSE)*P276)+(VLOOKUP($Q$2,Prices!$J$3:$K$17,2,FALSE)*Q276)+(VLOOKUP($R$2,Prices!$J$3:$K$17,2,FALSE)*R276)+(VLOOKUP($S$2,Prices!$J$3:$K$17,2,FALSE)*S276)+(VLOOKUP($T$2,Prices!$J$3:$K$17,2,FALSE)*T276)+(VLOOKUP($U$2,Prices!$J$3:$K$17,2,FALSE)*U276)+(VLOOKUP($V$2,Prices!$J$3:$K$17,2,FALSE)*V276)+(VLOOKUP($W$2,Prices!$J$3:$K$17,2,FALSE)*W276)+(VLOOKUP($X$2,Prices!$J$3:$K$17,2,FALSE)*X276)+(VLOOKUP($Y$2,Prices!$J$3:$K$17,2,FALSE)*Y276)+(VLOOKUP($Z$2,Prices!$J$3:$K$17,2,FALSE)*Z276)+(VLOOKUP($AA$2,Prices!$J$3:$K$17,2,FALSE)*AA276)+(VLOOKUP($AB$2,Prices!$J$3:$K$17,2,FALSE)*AB276)+M276</f>
        <v>5175500</v>
      </c>
      <c r="AD276" s="18"/>
      <c r="AE276" s="18"/>
      <c r="AF276" s="4">
        <f t="shared" si="27"/>
        <v>0</v>
      </c>
      <c r="AG276" s="4"/>
      <c r="AH276" s="16">
        <f t="shared" si="29"/>
        <v>0</v>
      </c>
      <c r="AI276" s="21">
        <f t="shared" si="28"/>
        <v>0</v>
      </c>
      <c r="AJ276" s="20">
        <f t="shared" si="30"/>
        <v>0</v>
      </c>
      <c r="AK276" s="9"/>
    </row>
    <row r="277" spans="1:37" hidden="1">
      <c r="A277" s="3">
        <v>275</v>
      </c>
      <c r="B277" s="12"/>
      <c r="C277" s="13"/>
      <c r="D277" s="13"/>
      <c r="E277" s="13"/>
      <c r="F277" s="13"/>
      <c r="G277" s="13"/>
      <c r="H277" s="15"/>
      <c r="I277" s="45" t="s">
        <v>1423</v>
      </c>
      <c r="J277" s="45" t="s">
        <v>1389</v>
      </c>
      <c r="K277" s="46" t="s">
        <v>1402</v>
      </c>
      <c r="L277" s="47" t="s">
        <v>1086</v>
      </c>
      <c r="M277" s="66">
        <f>IFERROR(VLOOKUP($L277,[3]Consolidated!$C$9:$AC$452,27,0),0)</f>
        <v>5888000</v>
      </c>
      <c r="N277" s="66">
        <f>IFERROR(VLOOKUP($L277,[3]Consolidated!$C$9:$AC$452,5,0),0)</f>
        <v>40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4">
        <f>(VLOOKUP($O$2,Prices!$E$3:$K$17,2,FALSE)*O277)+(VLOOKUP($P$2,Prices!$J$3:$K$17,2,FALSE)*P277)+(VLOOKUP($Q$2,Prices!$J$3:$K$17,2,FALSE)*Q277)+(VLOOKUP($R$2,Prices!$J$3:$K$17,2,FALSE)*R277)+(VLOOKUP($S$2,Prices!$J$3:$K$17,2,FALSE)*S277)+(VLOOKUP($T$2,Prices!$J$3:$K$17,2,FALSE)*T277)+(VLOOKUP($U$2,Prices!$J$3:$K$17,2,FALSE)*U277)+(VLOOKUP($V$2,Prices!$J$3:$K$17,2,FALSE)*V277)+(VLOOKUP($W$2,Prices!$J$3:$K$17,2,FALSE)*W277)+(VLOOKUP($X$2,Prices!$J$3:$K$17,2,FALSE)*X277)+(VLOOKUP($Y$2,Prices!$J$3:$K$17,2,FALSE)*Y277)+(VLOOKUP($Z$2,Prices!$J$3:$K$17,2,FALSE)*Z277)+(VLOOKUP($AA$2,Prices!$J$3:$K$17,2,FALSE)*AA277)+(VLOOKUP($AB$2,Prices!$J$3:$K$17,2,FALSE)*AB277)+M277</f>
        <v>5888000</v>
      </c>
      <c r="AD277" s="18"/>
      <c r="AE277" s="18"/>
      <c r="AF277" s="4">
        <f t="shared" si="27"/>
        <v>0</v>
      </c>
      <c r="AG277" s="4"/>
      <c r="AH277" s="16">
        <f t="shared" si="29"/>
        <v>0</v>
      </c>
      <c r="AI277" s="21">
        <f t="shared" si="28"/>
        <v>0</v>
      </c>
      <c r="AJ277" s="20">
        <f t="shared" si="30"/>
        <v>0</v>
      </c>
      <c r="AK277" s="9"/>
    </row>
    <row r="278" spans="1:37" hidden="1">
      <c r="A278" s="3">
        <v>276</v>
      </c>
      <c r="B278" s="12"/>
      <c r="C278" s="13"/>
      <c r="D278" s="13"/>
      <c r="E278" s="13"/>
      <c r="F278" s="13"/>
      <c r="G278" s="13"/>
      <c r="H278" s="15"/>
      <c r="I278" s="45" t="s">
        <v>1424</v>
      </c>
      <c r="J278" s="45" t="s">
        <v>1389</v>
      </c>
      <c r="K278" s="46" t="s">
        <v>1402</v>
      </c>
      <c r="L278" s="47" t="s">
        <v>1136</v>
      </c>
      <c r="M278" s="66">
        <f>IFERROR(VLOOKUP($L278,[3]Consolidated!$C$9:$AC$452,27,0),0)</f>
        <v>0</v>
      </c>
      <c r="N278" s="66">
        <f>IFERROR(VLOOKUP($L278,[3]Consolidated!$C$9:$AC$452,5,0),0)</f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4">
        <f>(VLOOKUP($O$2,Prices!$E$3:$K$17,2,FALSE)*O278)+(VLOOKUP($P$2,Prices!$J$3:$K$17,2,FALSE)*P278)+(VLOOKUP($Q$2,Prices!$J$3:$K$17,2,FALSE)*Q278)+(VLOOKUP($R$2,Prices!$J$3:$K$17,2,FALSE)*R278)+(VLOOKUP($S$2,Prices!$J$3:$K$17,2,FALSE)*S278)+(VLOOKUP($T$2,Prices!$J$3:$K$17,2,FALSE)*T278)+(VLOOKUP($U$2,Prices!$J$3:$K$17,2,FALSE)*U278)+(VLOOKUP($V$2,Prices!$J$3:$K$17,2,FALSE)*V278)+(VLOOKUP($W$2,Prices!$J$3:$K$17,2,FALSE)*W278)+(VLOOKUP($X$2,Prices!$J$3:$K$17,2,FALSE)*X278)+(VLOOKUP($Y$2,Prices!$J$3:$K$17,2,FALSE)*Y278)+(VLOOKUP($Z$2,Prices!$J$3:$K$17,2,FALSE)*Z278)+(VLOOKUP($AA$2,Prices!$J$3:$K$17,2,FALSE)*AA278)+(VLOOKUP($AB$2,Prices!$J$3:$K$17,2,FALSE)*AB278)+M278</f>
        <v>0</v>
      </c>
      <c r="AD278" s="18"/>
      <c r="AE278" s="18"/>
      <c r="AF278" s="4">
        <f t="shared" si="27"/>
        <v>0</v>
      </c>
      <c r="AG278" s="4"/>
      <c r="AH278" s="16">
        <f t="shared" si="29"/>
        <v>0</v>
      </c>
      <c r="AI278" s="21" t="e">
        <f t="shared" si="28"/>
        <v>#DIV/0!</v>
      </c>
      <c r="AJ278" s="20" t="e">
        <f t="shared" si="30"/>
        <v>#DIV/0!</v>
      </c>
      <c r="AK278" s="9"/>
    </row>
    <row r="279" spans="1:37" hidden="1">
      <c r="A279" s="3">
        <v>277</v>
      </c>
      <c r="B279" s="12"/>
      <c r="C279" s="13"/>
      <c r="D279" s="13"/>
      <c r="E279" s="13"/>
      <c r="F279" s="13"/>
      <c r="G279" s="13"/>
      <c r="H279" s="15"/>
      <c r="I279" s="45" t="s">
        <v>1425</v>
      </c>
      <c r="J279" s="45" t="s">
        <v>1389</v>
      </c>
      <c r="K279" s="46" t="s">
        <v>1402</v>
      </c>
      <c r="L279" s="46" t="s">
        <v>1137</v>
      </c>
      <c r="M279" s="66">
        <f>IFERROR(VLOOKUP($L279,[3]Consolidated!$C$9:$AC$452,27,0),0)</f>
        <v>5496500</v>
      </c>
      <c r="N279" s="66">
        <f>IFERROR(VLOOKUP($L279,[3]Consolidated!$C$9:$AC$452,5,0),0)</f>
        <v>35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4">
        <f>(VLOOKUP($O$2,Prices!$E$3:$K$17,2,FALSE)*O279)+(VLOOKUP($P$2,Prices!$J$3:$K$17,2,FALSE)*P279)+(VLOOKUP($Q$2,Prices!$J$3:$K$17,2,FALSE)*Q279)+(VLOOKUP($R$2,Prices!$J$3:$K$17,2,FALSE)*R279)+(VLOOKUP($S$2,Prices!$J$3:$K$17,2,FALSE)*S279)+(VLOOKUP($T$2,Prices!$J$3:$K$17,2,FALSE)*T279)+(VLOOKUP($U$2,Prices!$J$3:$K$17,2,FALSE)*U279)+(VLOOKUP($V$2,Prices!$J$3:$K$17,2,FALSE)*V279)+(VLOOKUP($W$2,Prices!$J$3:$K$17,2,FALSE)*W279)+(VLOOKUP($X$2,Prices!$J$3:$K$17,2,FALSE)*X279)+(VLOOKUP($Y$2,Prices!$J$3:$K$17,2,FALSE)*Y279)+(VLOOKUP($Z$2,Prices!$J$3:$K$17,2,FALSE)*Z279)+(VLOOKUP($AA$2,Prices!$J$3:$K$17,2,FALSE)*AA279)+(VLOOKUP($AB$2,Prices!$J$3:$K$17,2,FALSE)*AB279)+M279</f>
        <v>5496500</v>
      </c>
      <c r="AD279" s="18"/>
      <c r="AE279" s="18"/>
      <c r="AF279" s="4">
        <f t="shared" si="27"/>
        <v>0</v>
      </c>
      <c r="AG279" s="4"/>
      <c r="AH279" s="16">
        <f t="shared" si="29"/>
        <v>0</v>
      </c>
      <c r="AI279" s="21">
        <f t="shared" si="28"/>
        <v>0</v>
      </c>
      <c r="AJ279" s="20">
        <f t="shared" si="30"/>
        <v>0</v>
      </c>
      <c r="AK279" s="9"/>
    </row>
    <row r="280" spans="1:37" hidden="1">
      <c r="A280" s="3">
        <v>278</v>
      </c>
      <c r="B280" s="12"/>
      <c r="C280" s="13"/>
      <c r="D280" s="13"/>
      <c r="E280" s="13"/>
      <c r="F280" s="13"/>
      <c r="G280" s="13"/>
      <c r="H280" s="15"/>
      <c r="I280" s="45" t="s">
        <v>1426</v>
      </c>
      <c r="J280" s="45" t="s">
        <v>1389</v>
      </c>
      <c r="K280" s="46" t="s">
        <v>668</v>
      </c>
      <c r="L280" s="46" t="s">
        <v>1140</v>
      </c>
      <c r="M280" s="66">
        <f>IFERROR(VLOOKUP($L280,[3]Consolidated!$C$9:$AC$452,27,0),0)</f>
        <v>1843000</v>
      </c>
      <c r="N280" s="66">
        <f>IFERROR(VLOOKUP($L280,[3]Consolidated!$C$9:$AC$452,5,0),0)</f>
        <v>10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4">
        <f>(VLOOKUP($O$2,Prices!$E$3:$K$17,2,FALSE)*O280)+(VLOOKUP($P$2,Prices!$J$3:$K$17,2,FALSE)*P280)+(VLOOKUP($Q$2,Prices!$J$3:$K$17,2,FALSE)*Q280)+(VLOOKUP($R$2,Prices!$J$3:$K$17,2,FALSE)*R280)+(VLOOKUP($S$2,Prices!$J$3:$K$17,2,FALSE)*S280)+(VLOOKUP($T$2,Prices!$J$3:$K$17,2,FALSE)*T280)+(VLOOKUP($U$2,Prices!$J$3:$K$17,2,FALSE)*U280)+(VLOOKUP($V$2,Prices!$J$3:$K$17,2,FALSE)*V280)+(VLOOKUP($W$2,Prices!$J$3:$K$17,2,FALSE)*W280)+(VLOOKUP($X$2,Prices!$J$3:$K$17,2,FALSE)*X280)+(VLOOKUP($Y$2,Prices!$J$3:$K$17,2,FALSE)*Y280)+(VLOOKUP($Z$2,Prices!$J$3:$K$17,2,FALSE)*Z280)+(VLOOKUP($AA$2,Prices!$J$3:$K$17,2,FALSE)*AA280)+(VLOOKUP($AB$2,Prices!$J$3:$K$17,2,FALSE)*AB280)+M280</f>
        <v>1843000</v>
      </c>
      <c r="AD280" s="18"/>
      <c r="AE280" s="18"/>
      <c r="AF280" s="4">
        <f t="shared" si="27"/>
        <v>0</v>
      </c>
      <c r="AG280" s="4"/>
      <c r="AH280" s="16">
        <f t="shared" si="29"/>
        <v>0</v>
      </c>
      <c r="AI280" s="21">
        <f t="shared" si="28"/>
        <v>0</v>
      </c>
      <c r="AJ280" s="20">
        <f t="shared" si="30"/>
        <v>0</v>
      </c>
      <c r="AK280" s="9"/>
    </row>
    <row r="281" spans="1:37" hidden="1">
      <c r="A281" s="3">
        <v>279</v>
      </c>
      <c r="B281" s="12"/>
      <c r="C281" s="13"/>
      <c r="D281" s="13"/>
      <c r="E281" s="13"/>
      <c r="F281" s="13"/>
      <c r="G281" s="13"/>
      <c r="H281" s="15"/>
      <c r="I281" s="45" t="s">
        <v>1427</v>
      </c>
      <c r="J281" s="45" t="s">
        <v>1389</v>
      </c>
      <c r="K281" s="46" t="s">
        <v>668</v>
      </c>
      <c r="L281" s="46" t="s">
        <v>1141</v>
      </c>
      <c r="M281" s="66">
        <f>IFERROR(VLOOKUP($L281,[3]Consolidated!$C$9:$AC$452,27,0),0)</f>
        <v>1843000</v>
      </c>
      <c r="N281" s="66">
        <f>IFERROR(VLOOKUP($L281,[3]Consolidated!$C$9:$AC$452,5,0),0)</f>
        <v>10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4">
        <f>(VLOOKUP($O$2,Prices!$E$3:$K$17,2,FALSE)*O281)+(VLOOKUP($P$2,Prices!$J$3:$K$17,2,FALSE)*P281)+(VLOOKUP($Q$2,Prices!$J$3:$K$17,2,FALSE)*Q281)+(VLOOKUP($R$2,Prices!$J$3:$K$17,2,FALSE)*R281)+(VLOOKUP($S$2,Prices!$J$3:$K$17,2,FALSE)*S281)+(VLOOKUP($T$2,Prices!$J$3:$K$17,2,FALSE)*T281)+(VLOOKUP($U$2,Prices!$J$3:$K$17,2,FALSE)*U281)+(VLOOKUP($V$2,Prices!$J$3:$K$17,2,FALSE)*V281)+(VLOOKUP($W$2,Prices!$J$3:$K$17,2,FALSE)*W281)+(VLOOKUP($X$2,Prices!$J$3:$K$17,2,FALSE)*X281)+(VLOOKUP($Y$2,Prices!$J$3:$K$17,2,FALSE)*Y281)+(VLOOKUP($Z$2,Prices!$J$3:$K$17,2,FALSE)*Z281)+(VLOOKUP($AA$2,Prices!$J$3:$K$17,2,FALSE)*AA281)+(VLOOKUP($AB$2,Prices!$J$3:$K$17,2,FALSE)*AB281)+M281</f>
        <v>1843000</v>
      </c>
      <c r="AD281" s="18"/>
      <c r="AE281" s="18"/>
      <c r="AF281" s="4">
        <f t="shared" si="27"/>
        <v>0</v>
      </c>
      <c r="AG281" s="4"/>
      <c r="AH281" s="16">
        <f t="shared" si="29"/>
        <v>0</v>
      </c>
      <c r="AI281" s="21">
        <f t="shared" si="28"/>
        <v>0</v>
      </c>
      <c r="AJ281" s="20">
        <f t="shared" si="30"/>
        <v>0</v>
      </c>
      <c r="AK281" s="9"/>
    </row>
    <row r="282" spans="1:37" hidden="1">
      <c r="A282" s="3">
        <v>280</v>
      </c>
      <c r="B282" s="12"/>
      <c r="C282" s="13"/>
      <c r="D282" s="13"/>
      <c r="E282" s="13"/>
      <c r="F282" s="13"/>
      <c r="G282" s="13"/>
      <c r="H282" s="15"/>
      <c r="I282" s="45" t="s">
        <v>1428</v>
      </c>
      <c r="J282" s="45" t="s">
        <v>1389</v>
      </c>
      <c r="K282" s="46" t="s">
        <v>1402</v>
      </c>
      <c r="L282" s="46" t="s">
        <v>1138</v>
      </c>
      <c r="M282" s="66">
        <f>IFERROR(VLOOKUP($L282,[3]Consolidated!$C$9:$AC$452,27,0),0)</f>
        <v>3633000</v>
      </c>
      <c r="N282" s="66">
        <f>IFERROR(VLOOKUP($L282,[3]Consolidated!$C$9:$AC$452,5,0),0)</f>
        <v>20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4">
        <f>(VLOOKUP($O$2,Prices!$E$3:$K$17,2,FALSE)*O282)+(VLOOKUP($P$2,Prices!$J$3:$K$17,2,FALSE)*P282)+(VLOOKUP($Q$2,Prices!$J$3:$K$17,2,FALSE)*Q282)+(VLOOKUP($R$2,Prices!$J$3:$K$17,2,FALSE)*R282)+(VLOOKUP($S$2,Prices!$J$3:$K$17,2,FALSE)*S282)+(VLOOKUP($T$2,Prices!$J$3:$K$17,2,FALSE)*T282)+(VLOOKUP($U$2,Prices!$J$3:$K$17,2,FALSE)*U282)+(VLOOKUP($V$2,Prices!$J$3:$K$17,2,FALSE)*V282)+(VLOOKUP($W$2,Prices!$J$3:$K$17,2,FALSE)*W282)+(VLOOKUP($X$2,Prices!$J$3:$K$17,2,FALSE)*X282)+(VLOOKUP($Y$2,Prices!$J$3:$K$17,2,FALSE)*Y282)+(VLOOKUP($Z$2,Prices!$J$3:$K$17,2,FALSE)*Z282)+(VLOOKUP($AA$2,Prices!$J$3:$K$17,2,FALSE)*AA282)+(VLOOKUP($AB$2,Prices!$J$3:$K$17,2,FALSE)*AB282)+M282</f>
        <v>3633000</v>
      </c>
      <c r="AD282" s="18"/>
      <c r="AE282" s="18"/>
      <c r="AF282" s="4">
        <f t="shared" si="27"/>
        <v>0</v>
      </c>
      <c r="AG282" s="4"/>
      <c r="AH282" s="16">
        <f t="shared" si="29"/>
        <v>0</v>
      </c>
      <c r="AI282" s="21">
        <f t="shared" si="28"/>
        <v>0</v>
      </c>
      <c r="AJ282" s="20">
        <f t="shared" si="30"/>
        <v>0</v>
      </c>
      <c r="AK282" s="19"/>
    </row>
    <row r="283" spans="1:37" hidden="1">
      <c r="A283" s="3">
        <v>281</v>
      </c>
      <c r="B283" s="12"/>
      <c r="C283" s="13"/>
      <c r="D283" s="13"/>
      <c r="E283" s="13"/>
      <c r="F283" s="13"/>
      <c r="G283" s="13"/>
      <c r="H283" s="15"/>
      <c r="I283" s="45" t="s">
        <v>1429</v>
      </c>
      <c r="J283" s="45" t="s">
        <v>1389</v>
      </c>
      <c r="K283" s="46" t="s">
        <v>1402</v>
      </c>
      <c r="L283" s="47" t="s">
        <v>1139</v>
      </c>
      <c r="M283" s="66">
        <f>IFERROR(VLOOKUP($L283,[3]Consolidated!$C$9:$AC$452,27,0),0)</f>
        <v>1766600</v>
      </c>
      <c r="N283" s="66">
        <f>IFERROR(VLOOKUP($L283,[3]Consolidated!$C$9:$AC$452,5,0),0)</f>
        <v>9.9999999999999982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4">
        <f>(VLOOKUP($O$2,Prices!$E$3:$K$17,2,FALSE)*O283)+(VLOOKUP($P$2,Prices!$J$3:$K$17,2,FALSE)*P283)+(VLOOKUP($Q$2,Prices!$J$3:$K$17,2,FALSE)*Q283)+(VLOOKUP($R$2,Prices!$J$3:$K$17,2,FALSE)*R283)+(VLOOKUP($S$2,Prices!$J$3:$K$17,2,FALSE)*S283)+(VLOOKUP($T$2,Prices!$J$3:$K$17,2,FALSE)*T283)+(VLOOKUP($U$2,Prices!$J$3:$K$17,2,FALSE)*U283)+(VLOOKUP($V$2,Prices!$J$3:$K$17,2,FALSE)*V283)+(VLOOKUP($W$2,Prices!$J$3:$K$17,2,FALSE)*W283)+(VLOOKUP($X$2,Prices!$J$3:$K$17,2,FALSE)*X283)+(VLOOKUP($Y$2,Prices!$J$3:$K$17,2,FALSE)*Y283)+(VLOOKUP($Z$2,Prices!$J$3:$K$17,2,FALSE)*Z283)+(VLOOKUP($AA$2,Prices!$J$3:$K$17,2,FALSE)*AA283)+(VLOOKUP($AB$2,Prices!$J$3:$K$17,2,FALSE)*AB283)+M283</f>
        <v>1766600</v>
      </c>
      <c r="AD283" s="18"/>
      <c r="AE283" s="18"/>
      <c r="AF283" s="4">
        <f t="shared" si="27"/>
        <v>0</v>
      </c>
      <c r="AG283" s="4"/>
      <c r="AH283" s="16">
        <f t="shared" si="29"/>
        <v>0</v>
      </c>
      <c r="AI283" s="21">
        <f t="shared" si="28"/>
        <v>0</v>
      </c>
      <c r="AJ283" s="20">
        <f t="shared" si="30"/>
        <v>0</v>
      </c>
      <c r="AK283" s="9"/>
    </row>
    <row r="284" spans="1:37" hidden="1">
      <c r="A284" s="3">
        <v>282</v>
      </c>
      <c r="B284" s="12"/>
      <c r="C284" s="13"/>
      <c r="D284" s="13"/>
      <c r="E284" s="13"/>
      <c r="F284" s="13"/>
      <c r="G284" s="13"/>
      <c r="H284" s="15"/>
      <c r="I284" s="45" t="s">
        <v>1430</v>
      </c>
      <c r="J284" s="45" t="s">
        <v>1389</v>
      </c>
      <c r="K284" s="46" t="s">
        <v>667</v>
      </c>
      <c r="L284" s="47" t="s">
        <v>1143</v>
      </c>
      <c r="M284" s="66">
        <f>IFERROR(VLOOKUP($L284,[3]Consolidated!$C$9:$AC$452,27,0),0)</f>
        <v>0</v>
      </c>
      <c r="N284" s="66">
        <f>IFERROR(VLOOKUP($L284,[3]Consolidated!$C$9:$AC$452,5,0),0)</f>
        <v>0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4">
        <f>(VLOOKUP($O$2,Prices!$E$3:$K$17,2,FALSE)*O284)+(VLOOKUP($P$2,Prices!$J$3:$K$17,2,FALSE)*P284)+(VLOOKUP($Q$2,Prices!$J$3:$K$17,2,FALSE)*Q284)+(VLOOKUP($R$2,Prices!$J$3:$K$17,2,FALSE)*R284)+(VLOOKUP($S$2,Prices!$J$3:$K$17,2,FALSE)*S284)+(VLOOKUP($T$2,Prices!$J$3:$K$17,2,FALSE)*T284)+(VLOOKUP($U$2,Prices!$J$3:$K$17,2,FALSE)*U284)+(VLOOKUP($V$2,Prices!$J$3:$K$17,2,FALSE)*V284)+(VLOOKUP($W$2,Prices!$J$3:$K$17,2,FALSE)*W284)+(VLOOKUP($X$2,Prices!$J$3:$K$17,2,FALSE)*X284)+(VLOOKUP($Y$2,Prices!$J$3:$K$17,2,FALSE)*Y284)+(VLOOKUP($Z$2,Prices!$J$3:$K$17,2,FALSE)*Z284)+(VLOOKUP($AA$2,Prices!$J$3:$K$17,2,FALSE)*AA284)+(VLOOKUP($AB$2,Prices!$J$3:$K$17,2,FALSE)*AB284)+M284</f>
        <v>0</v>
      </c>
      <c r="AD284" s="18"/>
      <c r="AE284" s="18"/>
      <c r="AF284" s="4">
        <f t="shared" si="27"/>
        <v>0</v>
      </c>
      <c r="AG284" s="4"/>
      <c r="AH284" s="16">
        <f t="shared" si="29"/>
        <v>0</v>
      </c>
      <c r="AI284" s="21" t="e">
        <f t="shared" si="28"/>
        <v>#DIV/0!</v>
      </c>
      <c r="AJ284" s="20" t="e">
        <f t="shared" si="30"/>
        <v>#DIV/0!</v>
      </c>
      <c r="AK284" s="9"/>
    </row>
    <row r="285" spans="1:37" hidden="1">
      <c r="A285" s="3">
        <v>283</v>
      </c>
      <c r="B285" s="12"/>
      <c r="C285" s="13"/>
      <c r="D285" s="13"/>
      <c r="E285" s="13"/>
      <c r="F285" s="13"/>
      <c r="G285" s="13"/>
      <c r="H285" s="15"/>
      <c r="I285" s="45" t="s">
        <v>1431</v>
      </c>
      <c r="J285" s="45" t="s">
        <v>1389</v>
      </c>
      <c r="K285" s="46" t="s">
        <v>667</v>
      </c>
      <c r="L285" s="47" t="s">
        <v>1144</v>
      </c>
      <c r="M285" s="66">
        <f>IFERROR(VLOOKUP($L285,[3]Consolidated!$C$9:$AC$452,27,0),0)</f>
        <v>1433000</v>
      </c>
      <c r="N285" s="66">
        <f>IFERROR(VLOOKUP($L285,[3]Consolidated!$C$9:$AC$452,5,0),0)</f>
        <v>10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4">
        <f>(VLOOKUP($O$2,Prices!$E$3:$K$17,2,FALSE)*O285)+(VLOOKUP($P$2,Prices!$J$3:$K$17,2,FALSE)*P285)+(VLOOKUP($Q$2,Prices!$J$3:$K$17,2,FALSE)*Q285)+(VLOOKUP($R$2,Prices!$J$3:$K$17,2,FALSE)*R285)+(VLOOKUP($S$2,Prices!$J$3:$K$17,2,FALSE)*S285)+(VLOOKUP($T$2,Prices!$J$3:$K$17,2,FALSE)*T285)+(VLOOKUP($U$2,Prices!$J$3:$K$17,2,FALSE)*U285)+(VLOOKUP($V$2,Prices!$J$3:$K$17,2,FALSE)*V285)+(VLOOKUP($W$2,Prices!$J$3:$K$17,2,FALSE)*W285)+(VLOOKUP($X$2,Prices!$J$3:$K$17,2,FALSE)*X285)+(VLOOKUP($Y$2,Prices!$J$3:$K$17,2,FALSE)*Y285)+(VLOOKUP($Z$2,Prices!$J$3:$K$17,2,FALSE)*Z285)+(VLOOKUP($AA$2,Prices!$J$3:$K$17,2,FALSE)*AA285)+(VLOOKUP($AB$2,Prices!$J$3:$K$17,2,FALSE)*AB285)+M285</f>
        <v>1433000</v>
      </c>
      <c r="AD285" s="18"/>
      <c r="AE285" s="18"/>
      <c r="AF285" s="4">
        <f t="shared" si="27"/>
        <v>0</v>
      </c>
      <c r="AG285" s="4"/>
      <c r="AH285" s="16">
        <f t="shared" si="29"/>
        <v>0</v>
      </c>
      <c r="AI285" s="21">
        <f t="shared" si="28"/>
        <v>0</v>
      </c>
      <c r="AJ285" s="20">
        <f t="shared" si="30"/>
        <v>0</v>
      </c>
      <c r="AK285" s="9"/>
    </row>
    <row r="286" spans="1:37" hidden="1">
      <c r="A286" s="3">
        <v>284</v>
      </c>
      <c r="B286" s="12"/>
      <c r="C286" s="13"/>
      <c r="D286" s="13"/>
      <c r="E286" s="13"/>
      <c r="F286" s="13"/>
      <c r="G286" s="13"/>
      <c r="H286" s="15"/>
      <c r="I286" s="45" t="s">
        <v>807</v>
      </c>
      <c r="J286" s="45" t="s">
        <v>1389</v>
      </c>
      <c r="K286" s="46" t="s">
        <v>668</v>
      </c>
      <c r="L286" s="47" t="s">
        <v>1122</v>
      </c>
      <c r="M286" s="66">
        <f>IFERROR(VLOOKUP($L286,[3]Consolidated!$C$9:$AC$452,27,0),0)</f>
        <v>6761500</v>
      </c>
      <c r="N286" s="66">
        <f>IFERROR(VLOOKUP($L286,[3]Consolidated!$C$9:$AC$452,5,0),0)</f>
        <v>35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4">
        <f>(VLOOKUP($O$2,Prices!$E$3:$K$17,2,FALSE)*O286)+(VLOOKUP($P$2,Prices!$J$3:$K$17,2,FALSE)*P286)+(VLOOKUP($Q$2,Prices!$J$3:$K$17,2,FALSE)*Q286)+(VLOOKUP($R$2,Prices!$J$3:$K$17,2,FALSE)*R286)+(VLOOKUP($S$2,Prices!$J$3:$K$17,2,FALSE)*S286)+(VLOOKUP($T$2,Prices!$J$3:$K$17,2,FALSE)*T286)+(VLOOKUP($U$2,Prices!$J$3:$K$17,2,FALSE)*U286)+(VLOOKUP($V$2,Prices!$J$3:$K$17,2,FALSE)*V286)+(VLOOKUP($W$2,Prices!$J$3:$K$17,2,FALSE)*W286)+(VLOOKUP($X$2,Prices!$J$3:$K$17,2,FALSE)*X286)+(VLOOKUP($Y$2,Prices!$J$3:$K$17,2,FALSE)*Y286)+(VLOOKUP($Z$2,Prices!$J$3:$K$17,2,FALSE)*Z286)+(VLOOKUP($AA$2,Prices!$J$3:$K$17,2,FALSE)*AA286)+(VLOOKUP($AB$2,Prices!$J$3:$K$17,2,FALSE)*AB286)+M286</f>
        <v>6761500</v>
      </c>
      <c r="AD286" s="18"/>
      <c r="AE286" s="18"/>
      <c r="AF286" s="4">
        <f t="shared" si="27"/>
        <v>0</v>
      </c>
      <c r="AG286" s="4"/>
      <c r="AH286" s="16">
        <f t="shared" si="29"/>
        <v>0</v>
      </c>
      <c r="AI286" s="21">
        <f t="shared" si="28"/>
        <v>0</v>
      </c>
      <c r="AJ286" s="20">
        <f t="shared" si="30"/>
        <v>0</v>
      </c>
      <c r="AK286" s="9"/>
    </row>
    <row r="287" spans="1:37" hidden="1">
      <c r="A287" s="3">
        <v>285</v>
      </c>
      <c r="B287" s="12"/>
      <c r="C287" s="13"/>
      <c r="D287" s="13"/>
      <c r="E287" s="13"/>
      <c r="F287" s="13"/>
      <c r="G287" s="13"/>
      <c r="H287" s="15"/>
      <c r="I287" s="45" t="s">
        <v>806</v>
      </c>
      <c r="J287" s="45" t="s">
        <v>1389</v>
      </c>
      <c r="K287" s="46" t="s">
        <v>668</v>
      </c>
      <c r="L287" s="47" t="s">
        <v>1121</v>
      </c>
      <c r="M287" s="66">
        <f>IFERROR(VLOOKUP($L287,[3]Consolidated!$C$9:$AC$452,27,0),0)</f>
        <v>3795000</v>
      </c>
      <c r="N287" s="66">
        <f>IFERROR(VLOOKUP($L287,[3]Consolidated!$C$9:$AC$452,5,0),0)</f>
        <v>20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4">
        <f>(VLOOKUP($O$2,Prices!$E$3:$K$17,2,FALSE)*O287)+(VLOOKUP($P$2,Prices!$J$3:$K$17,2,FALSE)*P287)+(VLOOKUP($Q$2,Prices!$J$3:$K$17,2,FALSE)*Q287)+(VLOOKUP($R$2,Prices!$J$3:$K$17,2,FALSE)*R287)+(VLOOKUP($S$2,Prices!$J$3:$K$17,2,FALSE)*S287)+(VLOOKUP($T$2,Prices!$J$3:$K$17,2,FALSE)*T287)+(VLOOKUP($U$2,Prices!$J$3:$K$17,2,FALSE)*U287)+(VLOOKUP($V$2,Prices!$J$3:$K$17,2,FALSE)*V287)+(VLOOKUP($W$2,Prices!$J$3:$K$17,2,FALSE)*W287)+(VLOOKUP($X$2,Prices!$J$3:$K$17,2,FALSE)*X287)+(VLOOKUP($Y$2,Prices!$J$3:$K$17,2,FALSE)*Y287)+(VLOOKUP($Z$2,Prices!$J$3:$K$17,2,FALSE)*Z287)+(VLOOKUP($AA$2,Prices!$J$3:$K$17,2,FALSE)*AA287)+(VLOOKUP($AB$2,Prices!$J$3:$K$17,2,FALSE)*AB287)+M287</f>
        <v>3795000</v>
      </c>
      <c r="AD287" s="18"/>
      <c r="AE287" s="18"/>
      <c r="AF287" s="4">
        <f t="shared" si="27"/>
        <v>0</v>
      </c>
      <c r="AG287" s="4"/>
      <c r="AH287" s="16">
        <f t="shared" si="29"/>
        <v>0</v>
      </c>
      <c r="AI287" s="21">
        <f t="shared" si="28"/>
        <v>0</v>
      </c>
      <c r="AJ287" s="20">
        <f t="shared" si="30"/>
        <v>0</v>
      </c>
      <c r="AK287" s="9"/>
    </row>
    <row r="288" spans="1:37" hidden="1">
      <c r="A288" s="3">
        <v>286</v>
      </c>
      <c r="B288" s="12"/>
      <c r="C288" s="13"/>
      <c r="D288" s="13"/>
      <c r="E288" s="13"/>
      <c r="F288" s="13"/>
      <c r="G288" s="13"/>
      <c r="H288" s="15"/>
      <c r="I288" s="45" t="s">
        <v>801</v>
      </c>
      <c r="J288" s="45" t="s">
        <v>1389</v>
      </c>
      <c r="K288" s="46" t="s">
        <v>667</v>
      </c>
      <c r="L288" s="47" t="s">
        <v>1116</v>
      </c>
      <c r="M288" s="66">
        <f>IFERROR(VLOOKUP($L288,[3]Consolidated!$C$9:$AC$452,27,0),0)</f>
        <v>1330000</v>
      </c>
      <c r="N288" s="66">
        <f>IFERROR(VLOOKUP($L288,[3]Consolidated!$C$9:$AC$452,5,0),0)</f>
        <v>10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4">
        <f>(VLOOKUP($O$2,Prices!$E$3:$K$17,2,FALSE)*O288)+(VLOOKUP($P$2,Prices!$J$3:$K$17,2,FALSE)*P288)+(VLOOKUP($Q$2,Prices!$J$3:$K$17,2,FALSE)*Q288)+(VLOOKUP($R$2,Prices!$J$3:$K$17,2,FALSE)*R288)+(VLOOKUP($S$2,Prices!$J$3:$K$17,2,FALSE)*S288)+(VLOOKUP($T$2,Prices!$J$3:$K$17,2,FALSE)*T288)+(VLOOKUP($U$2,Prices!$J$3:$K$17,2,FALSE)*U288)+(VLOOKUP($V$2,Prices!$J$3:$K$17,2,FALSE)*V288)+(VLOOKUP($W$2,Prices!$J$3:$K$17,2,FALSE)*W288)+(VLOOKUP($X$2,Prices!$J$3:$K$17,2,FALSE)*X288)+(VLOOKUP($Y$2,Prices!$J$3:$K$17,2,FALSE)*Y288)+(VLOOKUP($Z$2,Prices!$J$3:$K$17,2,FALSE)*Z288)+(VLOOKUP($AA$2,Prices!$J$3:$K$17,2,FALSE)*AA288)+(VLOOKUP($AB$2,Prices!$J$3:$K$17,2,FALSE)*AB288)+M288</f>
        <v>1330000</v>
      </c>
      <c r="AD288" s="18"/>
      <c r="AE288" s="18"/>
      <c r="AF288" s="4">
        <f t="shared" si="27"/>
        <v>0</v>
      </c>
      <c r="AG288" s="4"/>
      <c r="AH288" s="16">
        <f t="shared" si="29"/>
        <v>0</v>
      </c>
      <c r="AI288" s="21">
        <f t="shared" si="28"/>
        <v>0</v>
      </c>
      <c r="AJ288" s="20">
        <f t="shared" si="30"/>
        <v>0</v>
      </c>
      <c r="AK288" s="9"/>
    </row>
    <row r="289" spans="1:37" hidden="1">
      <c r="A289" s="3">
        <v>287</v>
      </c>
      <c r="B289" s="12"/>
      <c r="C289" s="13"/>
      <c r="D289" s="13"/>
      <c r="E289" s="13"/>
      <c r="F289" s="13"/>
      <c r="G289" s="13"/>
      <c r="H289" s="15"/>
      <c r="I289" s="45" t="s">
        <v>793</v>
      </c>
      <c r="J289" s="45" t="s">
        <v>1389</v>
      </c>
      <c r="K289" s="46" t="s">
        <v>667</v>
      </c>
      <c r="L289" s="47" t="s">
        <v>1108</v>
      </c>
      <c r="M289" s="66">
        <f>IFERROR(VLOOKUP($L289,[3]Consolidated!$C$9:$AC$452,27,0),0)</f>
        <v>4467500</v>
      </c>
      <c r="N289" s="66">
        <f>IFERROR(VLOOKUP($L289,[3]Consolidated!$C$9:$AC$452,5,0),0)</f>
        <v>35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4">
        <f>(VLOOKUP($O$2,Prices!$E$3:$K$17,2,FALSE)*O289)+(VLOOKUP($P$2,Prices!$J$3:$K$17,2,FALSE)*P289)+(VLOOKUP($Q$2,Prices!$J$3:$K$17,2,FALSE)*Q289)+(VLOOKUP($R$2,Prices!$J$3:$K$17,2,FALSE)*R289)+(VLOOKUP($S$2,Prices!$J$3:$K$17,2,FALSE)*S289)+(VLOOKUP($T$2,Prices!$J$3:$K$17,2,FALSE)*T289)+(VLOOKUP($U$2,Prices!$J$3:$K$17,2,FALSE)*U289)+(VLOOKUP($V$2,Prices!$J$3:$K$17,2,FALSE)*V289)+(VLOOKUP($W$2,Prices!$J$3:$K$17,2,FALSE)*W289)+(VLOOKUP($X$2,Prices!$J$3:$K$17,2,FALSE)*X289)+(VLOOKUP($Y$2,Prices!$J$3:$K$17,2,FALSE)*Y289)+(VLOOKUP($Z$2,Prices!$J$3:$K$17,2,FALSE)*Z289)+(VLOOKUP($AA$2,Prices!$J$3:$K$17,2,FALSE)*AA289)+(VLOOKUP($AB$2,Prices!$J$3:$K$17,2,FALSE)*AB289)+M289</f>
        <v>4467500</v>
      </c>
      <c r="AD289" s="18"/>
      <c r="AE289" s="18"/>
      <c r="AF289" s="4">
        <f t="shared" si="27"/>
        <v>0</v>
      </c>
      <c r="AG289" s="4"/>
      <c r="AH289" s="16">
        <f t="shared" si="29"/>
        <v>0</v>
      </c>
      <c r="AI289" s="21">
        <f t="shared" si="28"/>
        <v>0</v>
      </c>
      <c r="AJ289" s="20">
        <f t="shared" si="30"/>
        <v>0</v>
      </c>
      <c r="AK289" s="9"/>
    </row>
    <row r="290" spans="1:37" hidden="1">
      <c r="A290" s="3">
        <v>288</v>
      </c>
      <c r="B290" s="12"/>
      <c r="C290" s="13"/>
      <c r="D290" s="13"/>
      <c r="E290" s="13"/>
      <c r="F290" s="13"/>
      <c r="G290" s="13"/>
      <c r="H290" s="15"/>
      <c r="I290" s="45" t="s">
        <v>799</v>
      </c>
      <c r="J290" s="45" t="s">
        <v>1389</v>
      </c>
      <c r="K290" s="46" t="s">
        <v>667</v>
      </c>
      <c r="L290" s="47" t="s">
        <v>1114</v>
      </c>
      <c r="M290" s="66">
        <f>IFERROR(VLOOKUP($L290,[3]Consolidated!$C$9:$AC$452,27,0),0)</f>
        <v>1490000</v>
      </c>
      <c r="N290" s="66">
        <f>IFERROR(VLOOKUP($L290,[3]Consolidated!$C$9:$AC$452,5,0),0)</f>
        <v>10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4">
        <f>(VLOOKUP($O$2,Prices!$E$3:$K$17,2,FALSE)*O290)+(VLOOKUP($P$2,Prices!$J$3:$K$17,2,FALSE)*P290)+(VLOOKUP($Q$2,Prices!$J$3:$K$17,2,FALSE)*Q290)+(VLOOKUP($R$2,Prices!$J$3:$K$17,2,FALSE)*R290)+(VLOOKUP($S$2,Prices!$J$3:$K$17,2,FALSE)*S290)+(VLOOKUP($T$2,Prices!$J$3:$K$17,2,FALSE)*T290)+(VLOOKUP($U$2,Prices!$J$3:$K$17,2,FALSE)*U290)+(VLOOKUP($V$2,Prices!$J$3:$K$17,2,FALSE)*V290)+(VLOOKUP($W$2,Prices!$J$3:$K$17,2,FALSE)*W290)+(VLOOKUP($X$2,Prices!$J$3:$K$17,2,FALSE)*X290)+(VLOOKUP($Y$2,Prices!$J$3:$K$17,2,FALSE)*Y290)+(VLOOKUP($Z$2,Prices!$J$3:$K$17,2,FALSE)*Z290)+(VLOOKUP($AA$2,Prices!$J$3:$K$17,2,FALSE)*AA290)+(VLOOKUP($AB$2,Prices!$J$3:$K$17,2,FALSE)*AB290)+M290</f>
        <v>1490000</v>
      </c>
      <c r="AD290" s="18"/>
      <c r="AE290" s="18"/>
      <c r="AF290" s="4">
        <f t="shared" si="27"/>
        <v>0</v>
      </c>
      <c r="AG290" s="4"/>
      <c r="AH290" s="16">
        <f t="shared" si="29"/>
        <v>0</v>
      </c>
      <c r="AI290" s="21">
        <f t="shared" si="28"/>
        <v>0</v>
      </c>
      <c r="AJ290" s="20">
        <f t="shared" si="30"/>
        <v>0</v>
      </c>
      <c r="AK290" s="9"/>
    </row>
    <row r="291" spans="1:37" hidden="1">
      <c r="A291" s="3">
        <v>289</v>
      </c>
      <c r="B291" s="12"/>
      <c r="C291" s="13"/>
      <c r="D291" s="13"/>
      <c r="E291" s="13"/>
      <c r="F291" s="13"/>
      <c r="G291" s="13"/>
      <c r="H291" s="15"/>
      <c r="I291" s="45" t="s">
        <v>767</v>
      </c>
      <c r="J291" s="45" t="s">
        <v>1389</v>
      </c>
      <c r="K291" s="46" t="s">
        <v>1402</v>
      </c>
      <c r="L291" s="47" t="s">
        <v>1070</v>
      </c>
      <c r="M291" s="66">
        <f>IFERROR(VLOOKUP($L291,[3]Consolidated!$C$9:$AC$452,27,0),0)</f>
        <v>1843000</v>
      </c>
      <c r="N291" s="66">
        <f>IFERROR(VLOOKUP($L291,[3]Consolidated!$C$9:$AC$452,5,0),0)</f>
        <v>10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4">
        <f>(VLOOKUP($O$2,Prices!$E$3:$K$17,2,FALSE)*O291)+(VLOOKUP($P$2,Prices!$J$3:$K$17,2,FALSE)*P291)+(VLOOKUP($Q$2,Prices!$J$3:$K$17,2,FALSE)*Q291)+(VLOOKUP($R$2,Prices!$J$3:$K$17,2,FALSE)*R291)+(VLOOKUP($S$2,Prices!$J$3:$K$17,2,FALSE)*S291)+(VLOOKUP($T$2,Prices!$J$3:$K$17,2,FALSE)*T291)+(VLOOKUP($U$2,Prices!$J$3:$K$17,2,FALSE)*U291)+(VLOOKUP($V$2,Prices!$J$3:$K$17,2,FALSE)*V291)+(VLOOKUP($W$2,Prices!$J$3:$K$17,2,FALSE)*W291)+(VLOOKUP($X$2,Prices!$J$3:$K$17,2,FALSE)*X291)+(VLOOKUP($Y$2,Prices!$J$3:$K$17,2,FALSE)*Y291)+(VLOOKUP($Z$2,Prices!$J$3:$K$17,2,FALSE)*Z291)+(VLOOKUP($AA$2,Prices!$J$3:$K$17,2,FALSE)*AA291)+(VLOOKUP($AB$2,Prices!$J$3:$K$17,2,FALSE)*AB291)+M291</f>
        <v>1843000</v>
      </c>
      <c r="AD291" s="18"/>
      <c r="AE291" s="18"/>
      <c r="AF291" s="4">
        <f t="shared" si="27"/>
        <v>0</v>
      </c>
      <c r="AG291" s="4"/>
      <c r="AH291" s="16">
        <f t="shared" si="29"/>
        <v>0</v>
      </c>
      <c r="AI291" s="21">
        <f t="shared" si="28"/>
        <v>0</v>
      </c>
      <c r="AJ291" s="20">
        <f t="shared" si="30"/>
        <v>0</v>
      </c>
      <c r="AK291" s="19"/>
    </row>
    <row r="292" spans="1:37" hidden="1">
      <c r="A292" s="3">
        <v>290</v>
      </c>
      <c r="B292" s="12"/>
      <c r="C292" s="13"/>
      <c r="D292" s="13"/>
      <c r="E292" s="13"/>
      <c r="F292" s="13"/>
      <c r="G292" s="13"/>
      <c r="H292" s="15"/>
      <c r="I292" s="45" t="s">
        <v>1432</v>
      </c>
      <c r="J292" s="45" t="s">
        <v>1389</v>
      </c>
      <c r="K292" s="46" t="s">
        <v>1402</v>
      </c>
      <c r="L292" s="47" t="s">
        <v>1069</v>
      </c>
      <c r="M292" s="66">
        <f>IFERROR(VLOOKUP($L292,[3]Consolidated!$C$9:$AC$452,27,0),0)</f>
        <v>1272100</v>
      </c>
      <c r="N292" s="66">
        <f>IFERROR(VLOOKUP($L292,[3]Consolidated!$C$9:$AC$452,5,0),0)</f>
        <v>10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4">
        <f>(VLOOKUP($O$2,Prices!$E$3:$K$17,2,FALSE)*O292)+(VLOOKUP($P$2,Prices!$J$3:$K$17,2,FALSE)*P292)+(VLOOKUP($Q$2,Prices!$J$3:$K$17,2,FALSE)*Q292)+(VLOOKUP($R$2,Prices!$J$3:$K$17,2,FALSE)*R292)+(VLOOKUP($S$2,Prices!$J$3:$K$17,2,FALSE)*S292)+(VLOOKUP($T$2,Prices!$J$3:$K$17,2,FALSE)*T292)+(VLOOKUP($U$2,Prices!$J$3:$K$17,2,FALSE)*U292)+(VLOOKUP($V$2,Prices!$J$3:$K$17,2,FALSE)*V292)+(VLOOKUP($W$2,Prices!$J$3:$K$17,2,FALSE)*W292)+(VLOOKUP($X$2,Prices!$J$3:$K$17,2,FALSE)*X292)+(VLOOKUP($Y$2,Prices!$J$3:$K$17,2,FALSE)*Y292)+(VLOOKUP($Z$2,Prices!$J$3:$K$17,2,FALSE)*Z292)+(VLOOKUP($AA$2,Prices!$J$3:$K$17,2,FALSE)*AA292)+(VLOOKUP($AB$2,Prices!$J$3:$K$17,2,FALSE)*AB292)+M292</f>
        <v>1272100</v>
      </c>
      <c r="AD292" s="18"/>
      <c r="AE292" s="18"/>
      <c r="AF292" s="4">
        <f t="shared" si="27"/>
        <v>0</v>
      </c>
      <c r="AG292" s="4"/>
      <c r="AH292" s="16">
        <f t="shared" si="29"/>
        <v>0</v>
      </c>
      <c r="AI292" s="21">
        <f t="shared" si="28"/>
        <v>0</v>
      </c>
      <c r="AJ292" s="20">
        <f t="shared" si="30"/>
        <v>0</v>
      </c>
      <c r="AK292" s="9"/>
    </row>
    <row r="293" spans="1:37" hidden="1">
      <c r="A293" s="3">
        <v>291</v>
      </c>
      <c r="B293" s="12"/>
      <c r="C293" s="13"/>
      <c r="D293" s="13"/>
      <c r="E293" s="13"/>
      <c r="F293" s="13"/>
      <c r="G293" s="13"/>
      <c r="H293" s="15"/>
      <c r="I293" s="45" t="s">
        <v>766</v>
      </c>
      <c r="J293" s="45" t="s">
        <v>1389</v>
      </c>
      <c r="K293" s="46" t="s">
        <v>1402</v>
      </c>
      <c r="L293" s="47" t="s">
        <v>1065</v>
      </c>
      <c r="M293" s="66">
        <f>IFERROR(VLOOKUP($L293,[3]Consolidated!$C$9:$AC$452,27,0),0)</f>
        <v>1312100</v>
      </c>
      <c r="N293" s="66">
        <f>IFERROR(VLOOKUP($L293,[3]Consolidated!$C$9:$AC$452,5,0),0)</f>
        <v>10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4">
        <f>(VLOOKUP($O$2,Prices!$E$3:$K$17,2,FALSE)*O293)+(VLOOKUP($P$2,Prices!$J$3:$K$17,2,FALSE)*P293)+(VLOOKUP($Q$2,Prices!$J$3:$K$17,2,FALSE)*Q293)+(VLOOKUP($R$2,Prices!$J$3:$K$17,2,FALSE)*R293)+(VLOOKUP($S$2,Prices!$J$3:$K$17,2,FALSE)*S293)+(VLOOKUP($T$2,Prices!$J$3:$K$17,2,FALSE)*T293)+(VLOOKUP($U$2,Prices!$J$3:$K$17,2,FALSE)*U293)+(VLOOKUP($V$2,Prices!$J$3:$K$17,2,FALSE)*V293)+(VLOOKUP($W$2,Prices!$J$3:$K$17,2,FALSE)*W293)+(VLOOKUP($X$2,Prices!$J$3:$K$17,2,FALSE)*X293)+(VLOOKUP($Y$2,Prices!$J$3:$K$17,2,FALSE)*Y293)+(VLOOKUP($Z$2,Prices!$J$3:$K$17,2,FALSE)*Z293)+(VLOOKUP($AA$2,Prices!$J$3:$K$17,2,FALSE)*AA293)+(VLOOKUP($AB$2,Prices!$J$3:$K$17,2,FALSE)*AB293)+M293</f>
        <v>1312100</v>
      </c>
      <c r="AD293" s="18"/>
      <c r="AE293" s="18"/>
      <c r="AF293" s="4">
        <f t="shared" si="27"/>
        <v>0</v>
      </c>
      <c r="AG293" s="4"/>
      <c r="AH293" s="16">
        <f t="shared" si="29"/>
        <v>0</v>
      </c>
      <c r="AI293" s="21">
        <f t="shared" si="28"/>
        <v>0</v>
      </c>
      <c r="AJ293" s="20">
        <f t="shared" si="30"/>
        <v>0</v>
      </c>
      <c r="AK293" s="9"/>
    </row>
    <row r="294" spans="1:37" hidden="1">
      <c r="A294" s="3">
        <v>292</v>
      </c>
      <c r="B294" s="12"/>
      <c r="C294" s="13"/>
      <c r="D294" s="13"/>
      <c r="E294" s="13"/>
      <c r="F294" s="13"/>
      <c r="G294" s="13"/>
      <c r="H294" s="15"/>
      <c r="I294" s="45" t="s">
        <v>765</v>
      </c>
      <c r="J294" s="45" t="s">
        <v>1389</v>
      </c>
      <c r="K294" s="46" t="s">
        <v>1402</v>
      </c>
      <c r="L294" s="47" t="s">
        <v>1064</v>
      </c>
      <c r="M294" s="66">
        <f>IFERROR(VLOOKUP($L294,[3]Consolidated!$C$9:$AC$452,27,0),0)</f>
        <v>1304100</v>
      </c>
      <c r="N294" s="66">
        <f>IFERROR(VLOOKUP($L294,[3]Consolidated!$C$9:$AC$452,5,0),0)</f>
        <v>10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4">
        <f>(VLOOKUP($O$2,Prices!$E$3:$K$17,2,FALSE)*O294)+(VLOOKUP($P$2,Prices!$J$3:$K$17,2,FALSE)*P294)+(VLOOKUP($Q$2,Prices!$J$3:$K$17,2,FALSE)*Q294)+(VLOOKUP($R$2,Prices!$J$3:$K$17,2,FALSE)*R294)+(VLOOKUP($S$2,Prices!$J$3:$K$17,2,FALSE)*S294)+(VLOOKUP($T$2,Prices!$J$3:$K$17,2,FALSE)*T294)+(VLOOKUP($U$2,Prices!$J$3:$K$17,2,FALSE)*U294)+(VLOOKUP($V$2,Prices!$J$3:$K$17,2,FALSE)*V294)+(VLOOKUP($W$2,Prices!$J$3:$K$17,2,FALSE)*W294)+(VLOOKUP($X$2,Prices!$J$3:$K$17,2,FALSE)*X294)+(VLOOKUP($Y$2,Prices!$J$3:$K$17,2,FALSE)*Y294)+(VLOOKUP($Z$2,Prices!$J$3:$K$17,2,FALSE)*Z294)+(VLOOKUP($AA$2,Prices!$J$3:$K$17,2,FALSE)*AA294)+(VLOOKUP($AB$2,Prices!$J$3:$K$17,2,FALSE)*AB294)+M294</f>
        <v>1304100</v>
      </c>
      <c r="AD294" s="18"/>
      <c r="AE294" s="18"/>
      <c r="AF294" s="4">
        <f t="shared" si="27"/>
        <v>0</v>
      </c>
      <c r="AG294" s="4"/>
      <c r="AH294" s="16">
        <f t="shared" si="29"/>
        <v>0</v>
      </c>
      <c r="AI294" s="21">
        <f t="shared" si="28"/>
        <v>0</v>
      </c>
      <c r="AJ294" s="20">
        <f t="shared" si="30"/>
        <v>0</v>
      </c>
      <c r="AK294" s="9"/>
    </row>
    <row r="295" spans="1:37" hidden="1">
      <c r="A295" s="3">
        <v>293</v>
      </c>
      <c r="B295" s="12"/>
      <c r="C295" s="13"/>
      <c r="D295" s="13"/>
      <c r="E295" s="13"/>
      <c r="F295" s="13"/>
      <c r="G295" s="13"/>
      <c r="H295" s="15"/>
      <c r="I295" s="45" t="s">
        <v>1433</v>
      </c>
      <c r="J295" s="45" t="s">
        <v>1389</v>
      </c>
      <c r="K295" s="46" t="s">
        <v>1402</v>
      </c>
      <c r="L295" s="47" t="s">
        <v>1082</v>
      </c>
      <c r="M295" s="66">
        <f>IFERROR(VLOOKUP($L295,[3]Consolidated!$C$9:$AC$452,27,0),0)</f>
        <v>1307300</v>
      </c>
      <c r="N295" s="66">
        <f>IFERROR(VLOOKUP($L295,[3]Consolidated!$C$9:$AC$452,5,0),0)</f>
        <v>10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4">
        <f>(VLOOKUP($O$2,Prices!$E$3:$K$17,2,FALSE)*O295)+(VLOOKUP($P$2,Prices!$J$3:$K$17,2,FALSE)*P295)+(VLOOKUP($Q$2,Prices!$J$3:$K$17,2,FALSE)*Q295)+(VLOOKUP($R$2,Prices!$J$3:$K$17,2,FALSE)*R295)+(VLOOKUP($S$2,Prices!$J$3:$K$17,2,FALSE)*S295)+(VLOOKUP($T$2,Prices!$J$3:$K$17,2,FALSE)*T295)+(VLOOKUP($U$2,Prices!$J$3:$K$17,2,FALSE)*U295)+(VLOOKUP($V$2,Prices!$J$3:$K$17,2,FALSE)*V295)+(VLOOKUP($W$2,Prices!$J$3:$K$17,2,FALSE)*W295)+(VLOOKUP($X$2,Prices!$J$3:$K$17,2,FALSE)*X295)+(VLOOKUP($Y$2,Prices!$J$3:$K$17,2,FALSE)*Y295)+(VLOOKUP($Z$2,Prices!$J$3:$K$17,2,FALSE)*Z295)+(VLOOKUP($AA$2,Prices!$J$3:$K$17,2,FALSE)*AA295)+(VLOOKUP($AB$2,Prices!$J$3:$K$17,2,FALSE)*AB295)+M295</f>
        <v>1307300</v>
      </c>
      <c r="AD295" s="18"/>
      <c r="AE295" s="18"/>
      <c r="AF295" s="4">
        <f t="shared" si="27"/>
        <v>0</v>
      </c>
      <c r="AG295" s="4"/>
      <c r="AH295" s="16">
        <f t="shared" si="29"/>
        <v>0</v>
      </c>
      <c r="AI295" s="21">
        <f t="shared" si="28"/>
        <v>0</v>
      </c>
      <c r="AJ295" s="20">
        <f t="shared" si="30"/>
        <v>0</v>
      </c>
      <c r="AK295" s="9"/>
    </row>
    <row r="296" spans="1:37" hidden="1">
      <c r="A296" s="3">
        <v>294</v>
      </c>
      <c r="B296" s="12"/>
      <c r="C296" s="13"/>
      <c r="D296" s="13"/>
      <c r="E296" s="13"/>
      <c r="F296" s="13"/>
      <c r="G296" s="13"/>
      <c r="H296" s="15"/>
      <c r="I296" s="45" t="s">
        <v>1434</v>
      </c>
      <c r="J296" s="45" t="s">
        <v>1389</v>
      </c>
      <c r="K296" s="46" t="s">
        <v>1402</v>
      </c>
      <c r="L296" s="47" t="s">
        <v>1403</v>
      </c>
      <c r="M296" s="66">
        <f>IFERROR(VLOOKUP($L296,[3]Consolidated!$C$9:$AC$452,27,0),0)</f>
        <v>1501000</v>
      </c>
      <c r="N296" s="66">
        <f>IFERROR(VLOOKUP($L296,[3]Consolidated!$C$9:$AC$452,5,0),0)</f>
        <v>10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4">
        <f>(VLOOKUP($O$2,Prices!$E$3:$K$17,2,FALSE)*O296)+(VLOOKUP($P$2,Prices!$J$3:$K$17,2,FALSE)*P296)+(VLOOKUP($Q$2,Prices!$J$3:$K$17,2,FALSE)*Q296)+(VLOOKUP($R$2,Prices!$J$3:$K$17,2,FALSE)*R296)+(VLOOKUP($S$2,Prices!$J$3:$K$17,2,FALSE)*S296)+(VLOOKUP($T$2,Prices!$J$3:$K$17,2,FALSE)*T296)+(VLOOKUP($U$2,Prices!$J$3:$K$17,2,FALSE)*U296)+(VLOOKUP($V$2,Prices!$J$3:$K$17,2,FALSE)*V296)+(VLOOKUP($W$2,Prices!$J$3:$K$17,2,FALSE)*W296)+(VLOOKUP($X$2,Prices!$J$3:$K$17,2,FALSE)*X296)+(VLOOKUP($Y$2,Prices!$J$3:$K$17,2,FALSE)*Y296)+(VLOOKUP($Z$2,Prices!$J$3:$K$17,2,FALSE)*Z296)+(VLOOKUP($AA$2,Prices!$J$3:$K$17,2,FALSE)*AA296)+(VLOOKUP($AB$2,Prices!$J$3:$K$17,2,FALSE)*AB296)+M296</f>
        <v>1501000</v>
      </c>
      <c r="AD296" s="18"/>
      <c r="AE296" s="18"/>
      <c r="AF296" s="4">
        <f t="shared" si="27"/>
        <v>0</v>
      </c>
      <c r="AG296" s="4"/>
      <c r="AH296" s="16">
        <f t="shared" si="29"/>
        <v>0</v>
      </c>
      <c r="AI296" s="21">
        <f t="shared" si="28"/>
        <v>0</v>
      </c>
      <c r="AJ296" s="20">
        <f t="shared" si="30"/>
        <v>0</v>
      </c>
      <c r="AK296" s="9"/>
    </row>
    <row r="297" spans="1:37" hidden="1">
      <c r="A297" s="3">
        <v>295</v>
      </c>
      <c r="B297" s="12"/>
      <c r="C297" s="13"/>
      <c r="D297" s="13"/>
      <c r="E297" s="13"/>
      <c r="F297" s="13"/>
      <c r="G297" s="13"/>
      <c r="H297" s="15"/>
      <c r="I297" s="45" t="s">
        <v>1435</v>
      </c>
      <c r="J297" s="45" t="s">
        <v>1389</v>
      </c>
      <c r="K297" s="46" t="s">
        <v>667</v>
      </c>
      <c r="L297" s="47" t="s">
        <v>1142</v>
      </c>
      <c r="M297" s="66">
        <f>IFERROR(VLOOKUP($L297,[3]Consolidated!$C$9:$AC$452,27,0),0)</f>
        <v>2218500</v>
      </c>
      <c r="N297" s="66">
        <f>IFERROR(VLOOKUP($L297,[3]Consolidated!$C$9:$AC$452,5,0),0)</f>
        <v>15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4">
        <f>(VLOOKUP($O$2,Prices!$E$3:$K$17,2,FALSE)*O297)+(VLOOKUP($P$2,Prices!$J$3:$K$17,2,FALSE)*P297)+(VLOOKUP($Q$2,Prices!$J$3:$K$17,2,FALSE)*Q297)+(VLOOKUP($R$2,Prices!$J$3:$K$17,2,FALSE)*R297)+(VLOOKUP($S$2,Prices!$J$3:$K$17,2,FALSE)*S297)+(VLOOKUP($T$2,Prices!$J$3:$K$17,2,FALSE)*T297)+(VLOOKUP($U$2,Prices!$J$3:$K$17,2,FALSE)*U297)+(VLOOKUP($V$2,Prices!$J$3:$K$17,2,FALSE)*V297)+(VLOOKUP($W$2,Prices!$J$3:$K$17,2,FALSE)*W297)+(VLOOKUP($X$2,Prices!$J$3:$K$17,2,FALSE)*X297)+(VLOOKUP($Y$2,Prices!$J$3:$K$17,2,FALSE)*Y297)+(VLOOKUP($Z$2,Prices!$J$3:$K$17,2,FALSE)*Z297)+(VLOOKUP($AA$2,Prices!$J$3:$K$17,2,FALSE)*AA297)+(VLOOKUP($AB$2,Prices!$J$3:$K$17,2,FALSE)*AB297)+M297</f>
        <v>2218500</v>
      </c>
      <c r="AD297" s="18"/>
      <c r="AE297" s="18"/>
      <c r="AF297" s="4">
        <f t="shared" si="27"/>
        <v>0</v>
      </c>
      <c r="AG297" s="4"/>
      <c r="AH297" s="16">
        <f t="shared" si="29"/>
        <v>0</v>
      </c>
      <c r="AI297" s="21">
        <f t="shared" si="28"/>
        <v>0</v>
      </c>
      <c r="AJ297" s="20">
        <f t="shared" si="30"/>
        <v>0</v>
      </c>
      <c r="AK297" s="9"/>
    </row>
    <row r="298" spans="1:37" hidden="1">
      <c r="A298" s="3">
        <v>296</v>
      </c>
      <c r="B298" s="12"/>
      <c r="C298" s="13"/>
      <c r="D298" s="13"/>
      <c r="E298" s="13"/>
      <c r="F298" s="13"/>
      <c r="G298" s="13"/>
      <c r="H298" s="15"/>
      <c r="I298" s="45" t="s">
        <v>1436</v>
      </c>
      <c r="J298" s="45" t="s">
        <v>1389</v>
      </c>
      <c r="K298" s="46" t="s">
        <v>667</v>
      </c>
      <c r="L298" s="47" t="s">
        <v>1145</v>
      </c>
      <c r="M298" s="66">
        <f>IFERROR(VLOOKUP($L298,[3]Consolidated!$C$9:$AC$452,27,0),0)</f>
        <v>1327000</v>
      </c>
      <c r="N298" s="66">
        <f>IFERROR(VLOOKUP($L298,[3]Consolidated!$C$9:$AC$452,5,0),0)</f>
        <v>10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4">
        <f>(VLOOKUP($O$2,Prices!$E$3:$K$17,2,FALSE)*O298)+(VLOOKUP($P$2,Prices!$J$3:$K$17,2,FALSE)*P298)+(VLOOKUP($Q$2,Prices!$J$3:$K$17,2,FALSE)*Q298)+(VLOOKUP($R$2,Prices!$J$3:$K$17,2,FALSE)*R298)+(VLOOKUP($S$2,Prices!$J$3:$K$17,2,FALSE)*S298)+(VLOOKUP($T$2,Prices!$J$3:$K$17,2,FALSE)*T298)+(VLOOKUP($U$2,Prices!$J$3:$K$17,2,FALSE)*U298)+(VLOOKUP($V$2,Prices!$J$3:$K$17,2,FALSE)*V298)+(VLOOKUP($W$2,Prices!$J$3:$K$17,2,FALSE)*W298)+(VLOOKUP($X$2,Prices!$J$3:$K$17,2,FALSE)*X298)+(VLOOKUP($Y$2,Prices!$J$3:$K$17,2,FALSE)*Y298)+(VLOOKUP($Z$2,Prices!$J$3:$K$17,2,FALSE)*Z298)+(VLOOKUP($AA$2,Prices!$J$3:$K$17,2,FALSE)*AA298)+(VLOOKUP($AB$2,Prices!$J$3:$K$17,2,FALSE)*AB298)+M298</f>
        <v>1327000</v>
      </c>
      <c r="AD298" s="18"/>
      <c r="AE298" s="18"/>
      <c r="AF298" s="4">
        <f t="shared" si="27"/>
        <v>0</v>
      </c>
      <c r="AG298" s="4"/>
      <c r="AH298" s="16">
        <f t="shared" si="29"/>
        <v>0</v>
      </c>
      <c r="AI298" s="21">
        <f t="shared" si="28"/>
        <v>0</v>
      </c>
      <c r="AJ298" s="20">
        <f t="shared" si="30"/>
        <v>0</v>
      </c>
      <c r="AK298" s="9"/>
    </row>
    <row r="299" spans="1:37" hidden="1">
      <c r="A299" s="3">
        <v>297</v>
      </c>
      <c r="B299" s="12"/>
      <c r="C299" s="13"/>
      <c r="D299" s="13"/>
      <c r="E299" s="13"/>
      <c r="F299" s="13"/>
      <c r="G299" s="13"/>
      <c r="H299" s="15"/>
      <c r="I299" s="45" t="s">
        <v>770</v>
      </c>
      <c r="J299" s="45" t="s">
        <v>1389</v>
      </c>
      <c r="K299" s="46" t="s">
        <v>1402</v>
      </c>
      <c r="L299" s="47" t="s">
        <v>1073</v>
      </c>
      <c r="M299" s="66">
        <f>IFERROR(VLOOKUP($L299,[3]Consolidated!$C$9:$AC$452,27,0),0)</f>
        <v>1689000</v>
      </c>
      <c r="N299" s="66">
        <f>IFERROR(VLOOKUP($L299,[3]Consolidated!$C$9:$AC$452,5,0),0)</f>
        <v>10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4">
        <f>(VLOOKUP($O$2,Prices!$E$3:$K$17,2,FALSE)*O299)+(VLOOKUP($P$2,Prices!$J$3:$K$17,2,FALSE)*P299)+(VLOOKUP($Q$2,Prices!$J$3:$K$17,2,FALSE)*Q299)+(VLOOKUP($R$2,Prices!$J$3:$K$17,2,FALSE)*R299)+(VLOOKUP($S$2,Prices!$J$3:$K$17,2,FALSE)*S299)+(VLOOKUP($T$2,Prices!$J$3:$K$17,2,FALSE)*T299)+(VLOOKUP($U$2,Prices!$J$3:$K$17,2,FALSE)*U299)+(VLOOKUP($V$2,Prices!$J$3:$K$17,2,FALSE)*V299)+(VLOOKUP($W$2,Prices!$J$3:$K$17,2,FALSE)*W299)+(VLOOKUP($X$2,Prices!$J$3:$K$17,2,FALSE)*X299)+(VLOOKUP($Y$2,Prices!$J$3:$K$17,2,FALSE)*Y299)+(VLOOKUP($Z$2,Prices!$J$3:$K$17,2,FALSE)*Z299)+(VLOOKUP($AA$2,Prices!$J$3:$K$17,2,FALSE)*AA299)+(VLOOKUP($AB$2,Prices!$J$3:$K$17,2,FALSE)*AB299)+M299</f>
        <v>1689000</v>
      </c>
      <c r="AD299" s="18"/>
      <c r="AE299" s="18"/>
      <c r="AF299" s="4">
        <f t="shared" si="27"/>
        <v>0</v>
      </c>
      <c r="AG299" s="4"/>
      <c r="AH299" s="16">
        <f t="shared" si="29"/>
        <v>0</v>
      </c>
      <c r="AI299" s="21">
        <f t="shared" si="28"/>
        <v>0</v>
      </c>
      <c r="AJ299" s="20">
        <f t="shared" si="30"/>
        <v>0</v>
      </c>
      <c r="AK299" s="9"/>
    </row>
    <row r="300" spans="1:37" hidden="1">
      <c r="A300" s="3">
        <v>298</v>
      </c>
      <c r="B300" s="12"/>
      <c r="C300" s="13"/>
      <c r="D300" s="13"/>
      <c r="E300" s="13"/>
      <c r="F300" s="13"/>
      <c r="G300" s="13"/>
      <c r="H300" s="15"/>
      <c r="I300" s="45" t="s">
        <v>1437</v>
      </c>
      <c r="J300" s="45" t="s">
        <v>1389</v>
      </c>
      <c r="K300" s="46" t="s">
        <v>1402</v>
      </c>
      <c r="L300" s="46" t="s">
        <v>1085</v>
      </c>
      <c r="M300" s="66">
        <f>IFERROR(VLOOKUP($L300,[3]Consolidated!$C$9:$AC$452,27,0),0)</f>
        <v>0</v>
      </c>
      <c r="N300" s="66">
        <f>IFERROR(VLOOKUP($L300,[3]Consolidated!$C$9:$AC$452,5,0),0)</f>
        <v>0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4">
        <f>(VLOOKUP($O$2,Prices!$E$3:$K$17,2,FALSE)*O300)+(VLOOKUP($P$2,Prices!$J$3:$K$17,2,FALSE)*P300)+(VLOOKUP($Q$2,Prices!$J$3:$K$17,2,FALSE)*Q300)+(VLOOKUP($R$2,Prices!$J$3:$K$17,2,FALSE)*R300)+(VLOOKUP($S$2,Prices!$J$3:$K$17,2,FALSE)*S300)+(VLOOKUP($T$2,Prices!$J$3:$K$17,2,FALSE)*T300)+(VLOOKUP($U$2,Prices!$J$3:$K$17,2,FALSE)*U300)+(VLOOKUP($V$2,Prices!$J$3:$K$17,2,FALSE)*V300)+(VLOOKUP($W$2,Prices!$J$3:$K$17,2,FALSE)*W300)+(VLOOKUP($X$2,Prices!$J$3:$K$17,2,FALSE)*X300)+(VLOOKUP($Y$2,Prices!$J$3:$K$17,2,FALSE)*Y300)+(VLOOKUP($Z$2,Prices!$J$3:$K$17,2,FALSE)*Z300)+(VLOOKUP($AA$2,Prices!$J$3:$K$17,2,FALSE)*AA300)+(VLOOKUP($AB$2,Prices!$J$3:$K$17,2,FALSE)*AB300)+M300</f>
        <v>0</v>
      </c>
      <c r="AD300" s="18"/>
      <c r="AE300" s="18"/>
      <c r="AF300" s="4">
        <f t="shared" si="27"/>
        <v>0</v>
      </c>
      <c r="AG300" s="4"/>
      <c r="AH300" s="16">
        <f t="shared" si="29"/>
        <v>0</v>
      </c>
      <c r="AI300" s="21" t="e">
        <f t="shared" si="28"/>
        <v>#DIV/0!</v>
      </c>
      <c r="AJ300" s="20" t="e">
        <f t="shared" si="30"/>
        <v>#DIV/0!</v>
      </c>
      <c r="AK300" s="9"/>
    </row>
    <row r="301" spans="1:37" hidden="1">
      <c r="A301" s="3">
        <v>299</v>
      </c>
      <c r="B301" s="12"/>
      <c r="C301" s="13"/>
      <c r="D301" s="13"/>
      <c r="E301" s="13"/>
      <c r="F301" s="13"/>
      <c r="G301" s="13"/>
      <c r="H301" s="15"/>
      <c r="I301" s="45" t="s">
        <v>1438</v>
      </c>
      <c r="J301" s="45" t="s">
        <v>1389</v>
      </c>
      <c r="K301" s="46" t="s">
        <v>1402</v>
      </c>
      <c r="L301" s="46" t="s">
        <v>1404</v>
      </c>
      <c r="M301" s="66">
        <f>IFERROR(VLOOKUP($L301,[3]Consolidated!$C$9:$AC$452,27,0),0)</f>
        <v>0</v>
      </c>
      <c r="N301" s="66">
        <f>IFERROR(VLOOKUP($L301,[3]Consolidated!$C$9:$AC$452,5,0),0)</f>
        <v>0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4">
        <f>(VLOOKUP($O$2,Prices!$E$3:$K$17,2,FALSE)*O301)+(VLOOKUP($P$2,Prices!$J$3:$K$17,2,FALSE)*P301)+(VLOOKUP($Q$2,Prices!$J$3:$K$17,2,FALSE)*Q301)+(VLOOKUP($R$2,Prices!$J$3:$K$17,2,FALSE)*R301)+(VLOOKUP($S$2,Prices!$J$3:$K$17,2,FALSE)*S301)+(VLOOKUP($T$2,Prices!$J$3:$K$17,2,FALSE)*T301)+(VLOOKUP($U$2,Prices!$J$3:$K$17,2,FALSE)*U301)+(VLOOKUP($V$2,Prices!$J$3:$K$17,2,FALSE)*V301)+(VLOOKUP($W$2,Prices!$J$3:$K$17,2,FALSE)*W301)+(VLOOKUP($X$2,Prices!$J$3:$K$17,2,FALSE)*X301)+(VLOOKUP($Y$2,Prices!$J$3:$K$17,2,FALSE)*Y301)+(VLOOKUP($Z$2,Prices!$J$3:$K$17,2,FALSE)*Z301)+(VLOOKUP($AA$2,Prices!$J$3:$K$17,2,FALSE)*AA301)+(VLOOKUP($AB$2,Prices!$J$3:$K$17,2,FALSE)*AB301)+M301</f>
        <v>0</v>
      </c>
      <c r="AD301" s="18"/>
      <c r="AE301" s="18"/>
      <c r="AF301" s="4">
        <f t="shared" si="27"/>
        <v>0</v>
      </c>
      <c r="AG301" s="4"/>
      <c r="AH301" s="16">
        <f t="shared" si="29"/>
        <v>0</v>
      </c>
      <c r="AI301" s="21" t="e">
        <f t="shared" si="28"/>
        <v>#DIV/0!</v>
      </c>
      <c r="AJ301" s="20" t="e">
        <f t="shared" si="30"/>
        <v>#DIV/0!</v>
      </c>
      <c r="AK301" s="9"/>
    </row>
    <row r="302" spans="1:37" hidden="1">
      <c r="A302" s="3">
        <v>300</v>
      </c>
      <c r="B302" s="12"/>
      <c r="C302" s="13"/>
      <c r="D302" s="13"/>
      <c r="E302" s="13"/>
      <c r="F302" s="13"/>
      <c r="G302" s="13"/>
      <c r="H302" s="15"/>
      <c r="I302" s="45" t="s">
        <v>813</v>
      </c>
      <c r="J302" s="45" t="s">
        <v>1389</v>
      </c>
      <c r="K302" s="46" t="s">
        <v>668</v>
      </c>
      <c r="L302" s="46" t="s">
        <v>1128</v>
      </c>
      <c r="M302" s="66">
        <f>IFERROR(VLOOKUP($L302,[3]Consolidated!$C$9:$AC$452,27,0),0)</f>
        <v>1843000</v>
      </c>
      <c r="N302" s="66">
        <f>IFERROR(VLOOKUP($L302,[3]Consolidated!$C$9:$AC$452,5,0),0)</f>
        <v>10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4">
        <f>(VLOOKUP($O$2,Prices!$E$3:$K$17,2,FALSE)*O302)+(VLOOKUP($P$2,Prices!$J$3:$K$17,2,FALSE)*P302)+(VLOOKUP($Q$2,Prices!$J$3:$K$17,2,FALSE)*Q302)+(VLOOKUP($R$2,Prices!$J$3:$K$17,2,FALSE)*R302)+(VLOOKUP($S$2,Prices!$J$3:$K$17,2,FALSE)*S302)+(VLOOKUP($T$2,Prices!$J$3:$K$17,2,FALSE)*T302)+(VLOOKUP($U$2,Prices!$J$3:$K$17,2,FALSE)*U302)+(VLOOKUP($V$2,Prices!$J$3:$K$17,2,FALSE)*V302)+(VLOOKUP($W$2,Prices!$J$3:$K$17,2,FALSE)*W302)+(VLOOKUP($X$2,Prices!$J$3:$K$17,2,FALSE)*X302)+(VLOOKUP($Y$2,Prices!$J$3:$K$17,2,FALSE)*Y302)+(VLOOKUP($Z$2,Prices!$J$3:$K$17,2,FALSE)*Z302)+(VLOOKUP($AA$2,Prices!$J$3:$K$17,2,FALSE)*AA302)+(VLOOKUP($AB$2,Prices!$J$3:$K$17,2,FALSE)*AB302)+M302</f>
        <v>1843000</v>
      </c>
      <c r="AD302" s="18"/>
      <c r="AE302" s="18"/>
      <c r="AF302" s="4">
        <f t="shared" si="27"/>
        <v>0</v>
      </c>
      <c r="AG302" s="4"/>
      <c r="AH302" s="16">
        <f t="shared" si="29"/>
        <v>0</v>
      </c>
      <c r="AI302" s="21">
        <f t="shared" si="28"/>
        <v>0</v>
      </c>
      <c r="AJ302" s="20">
        <f t="shared" si="30"/>
        <v>0</v>
      </c>
      <c r="AK302" s="9"/>
    </row>
    <row r="303" spans="1:37" hidden="1">
      <c r="A303" s="3">
        <v>301</v>
      </c>
      <c r="B303" s="12"/>
      <c r="C303" s="13"/>
      <c r="D303" s="13"/>
      <c r="E303" s="13"/>
      <c r="F303" s="13"/>
      <c r="G303" s="13"/>
      <c r="H303" s="15"/>
      <c r="I303" s="45" t="s">
        <v>1439</v>
      </c>
      <c r="J303" s="45" t="s">
        <v>1389</v>
      </c>
      <c r="K303" s="46" t="s">
        <v>668</v>
      </c>
      <c r="L303" s="46" t="s">
        <v>1332</v>
      </c>
      <c r="M303" s="66">
        <f>IFERROR(VLOOKUP($L303,[3]Consolidated!$C$9:$AC$452,27,0),0)</f>
        <v>1843000</v>
      </c>
      <c r="N303" s="66">
        <f>IFERROR(VLOOKUP($L303,[3]Consolidated!$C$9:$AC$452,5,0),0)</f>
        <v>10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4">
        <f>(VLOOKUP($O$2,Prices!$E$3:$K$17,2,FALSE)*O303)+(VLOOKUP($P$2,Prices!$J$3:$K$17,2,FALSE)*P303)+(VLOOKUP($Q$2,Prices!$J$3:$K$17,2,FALSE)*Q303)+(VLOOKUP($R$2,Prices!$J$3:$K$17,2,FALSE)*R303)+(VLOOKUP($S$2,Prices!$J$3:$K$17,2,FALSE)*S303)+(VLOOKUP($T$2,Prices!$J$3:$K$17,2,FALSE)*T303)+(VLOOKUP($U$2,Prices!$J$3:$K$17,2,FALSE)*U303)+(VLOOKUP($V$2,Prices!$J$3:$K$17,2,FALSE)*V303)+(VLOOKUP($W$2,Prices!$J$3:$K$17,2,FALSE)*W303)+(VLOOKUP($X$2,Prices!$J$3:$K$17,2,FALSE)*X303)+(VLOOKUP($Y$2,Prices!$J$3:$K$17,2,FALSE)*Y303)+(VLOOKUP($Z$2,Prices!$J$3:$K$17,2,FALSE)*Z303)+(VLOOKUP($AA$2,Prices!$J$3:$K$17,2,FALSE)*AA303)+(VLOOKUP($AB$2,Prices!$J$3:$K$17,2,FALSE)*AB303)+M303</f>
        <v>1843000</v>
      </c>
      <c r="AD303" s="18"/>
      <c r="AE303" s="18"/>
      <c r="AF303" s="4">
        <f t="shared" si="27"/>
        <v>0</v>
      </c>
      <c r="AG303" s="4"/>
      <c r="AH303" s="16">
        <f t="shared" si="29"/>
        <v>0</v>
      </c>
      <c r="AI303" s="21">
        <f t="shared" si="28"/>
        <v>0</v>
      </c>
      <c r="AJ303" s="20">
        <f t="shared" si="30"/>
        <v>0</v>
      </c>
      <c r="AK303" s="19"/>
    </row>
    <row r="304" spans="1:37" hidden="1">
      <c r="A304" s="3">
        <v>302</v>
      </c>
      <c r="B304" s="12"/>
      <c r="C304" s="13"/>
      <c r="D304" s="13"/>
      <c r="E304" s="13"/>
      <c r="F304" s="13"/>
      <c r="G304" s="13"/>
      <c r="H304" s="15"/>
      <c r="I304" s="45" t="s">
        <v>804</v>
      </c>
      <c r="J304" s="45" t="s">
        <v>1389</v>
      </c>
      <c r="K304" s="46" t="s">
        <v>668</v>
      </c>
      <c r="L304" s="47" t="s">
        <v>1119</v>
      </c>
      <c r="M304" s="66">
        <f>IFERROR(VLOOKUP($L304,[3]Consolidated!$C$9:$AC$452,27,0),0)</f>
        <v>1843000</v>
      </c>
      <c r="N304" s="66">
        <f>IFERROR(VLOOKUP($L304,[3]Consolidated!$C$9:$AC$452,5,0),0)</f>
        <v>10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4">
        <f>(VLOOKUP($O$2,Prices!$E$3:$K$17,2,FALSE)*O304)+(VLOOKUP($P$2,Prices!$J$3:$K$17,2,FALSE)*P304)+(VLOOKUP($Q$2,Prices!$J$3:$K$17,2,FALSE)*Q304)+(VLOOKUP($R$2,Prices!$J$3:$K$17,2,FALSE)*R304)+(VLOOKUP($S$2,Prices!$J$3:$K$17,2,FALSE)*S304)+(VLOOKUP($T$2,Prices!$J$3:$K$17,2,FALSE)*T304)+(VLOOKUP($U$2,Prices!$J$3:$K$17,2,FALSE)*U304)+(VLOOKUP($V$2,Prices!$J$3:$K$17,2,FALSE)*V304)+(VLOOKUP($W$2,Prices!$J$3:$K$17,2,FALSE)*W304)+(VLOOKUP($X$2,Prices!$J$3:$K$17,2,FALSE)*X304)+(VLOOKUP($Y$2,Prices!$J$3:$K$17,2,FALSE)*Y304)+(VLOOKUP($Z$2,Prices!$J$3:$K$17,2,FALSE)*Z304)+(VLOOKUP($AA$2,Prices!$J$3:$K$17,2,FALSE)*AA304)+(VLOOKUP($AB$2,Prices!$J$3:$K$17,2,FALSE)*AB304)+M304</f>
        <v>1843000</v>
      </c>
      <c r="AD304" s="18"/>
      <c r="AE304" s="18"/>
      <c r="AF304" s="4">
        <f t="shared" si="27"/>
        <v>0</v>
      </c>
      <c r="AG304" s="4"/>
      <c r="AH304" s="16">
        <f t="shared" si="29"/>
        <v>0</v>
      </c>
      <c r="AI304" s="21">
        <f t="shared" si="28"/>
        <v>0</v>
      </c>
      <c r="AJ304" s="20">
        <f t="shared" si="30"/>
        <v>0</v>
      </c>
      <c r="AK304" s="9"/>
    </row>
    <row r="305" spans="1:37" hidden="1">
      <c r="A305" s="3">
        <v>303</v>
      </c>
      <c r="B305" s="12"/>
      <c r="C305" s="13"/>
      <c r="D305" s="13"/>
      <c r="E305" s="13"/>
      <c r="F305" s="13"/>
      <c r="G305" s="13"/>
      <c r="H305" s="15"/>
      <c r="I305" s="45" t="s">
        <v>1440</v>
      </c>
      <c r="J305" s="45" t="s">
        <v>1389</v>
      </c>
      <c r="K305" s="46" t="s">
        <v>1402</v>
      </c>
      <c r="L305" s="47" t="s">
        <v>1405</v>
      </c>
      <c r="M305" s="66">
        <f>IFERROR(VLOOKUP($L305,[3]Consolidated!$C$9:$AC$452,27,0),0)</f>
        <v>1843000</v>
      </c>
      <c r="N305" s="66">
        <f>IFERROR(VLOOKUP($L305,[3]Consolidated!$C$9:$AC$452,5,0),0)</f>
        <v>10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4">
        <f>(VLOOKUP($O$2,Prices!$E$3:$K$17,2,FALSE)*O305)+(VLOOKUP($P$2,Prices!$J$3:$K$17,2,FALSE)*P305)+(VLOOKUP($Q$2,Prices!$J$3:$K$17,2,FALSE)*Q305)+(VLOOKUP($R$2,Prices!$J$3:$K$17,2,FALSE)*R305)+(VLOOKUP($S$2,Prices!$J$3:$K$17,2,FALSE)*S305)+(VLOOKUP($T$2,Prices!$J$3:$K$17,2,FALSE)*T305)+(VLOOKUP($U$2,Prices!$J$3:$K$17,2,FALSE)*U305)+(VLOOKUP($V$2,Prices!$J$3:$K$17,2,FALSE)*V305)+(VLOOKUP($W$2,Prices!$J$3:$K$17,2,FALSE)*W305)+(VLOOKUP($X$2,Prices!$J$3:$K$17,2,FALSE)*X305)+(VLOOKUP($Y$2,Prices!$J$3:$K$17,2,FALSE)*Y305)+(VLOOKUP($Z$2,Prices!$J$3:$K$17,2,FALSE)*Z305)+(VLOOKUP($AA$2,Prices!$J$3:$K$17,2,FALSE)*AA305)+(VLOOKUP($AB$2,Prices!$J$3:$K$17,2,FALSE)*AB305)+M305</f>
        <v>1843000</v>
      </c>
      <c r="AD305" s="18"/>
      <c r="AE305" s="18"/>
      <c r="AF305" s="4">
        <f t="shared" si="27"/>
        <v>0</v>
      </c>
      <c r="AG305" s="4"/>
      <c r="AH305" s="16">
        <f t="shared" si="29"/>
        <v>0</v>
      </c>
      <c r="AI305" s="21">
        <f t="shared" si="28"/>
        <v>0</v>
      </c>
      <c r="AJ305" s="20">
        <f t="shared" si="30"/>
        <v>0</v>
      </c>
      <c r="AK305" s="9"/>
    </row>
    <row r="306" spans="1:37" hidden="1">
      <c r="A306" s="3">
        <v>304</v>
      </c>
      <c r="B306" s="12"/>
      <c r="C306" s="13"/>
      <c r="D306" s="13"/>
      <c r="E306" s="13"/>
      <c r="F306" s="13"/>
      <c r="G306" s="13"/>
      <c r="H306" s="15"/>
      <c r="I306" s="45" t="s">
        <v>810</v>
      </c>
      <c r="J306" s="45" t="s">
        <v>1389</v>
      </c>
      <c r="K306" s="46" t="s">
        <v>668</v>
      </c>
      <c r="L306" s="47" t="s">
        <v>1125</v>
      </c>
      <c r="M306" s="66">
        <f>IFERROR(VLOOKUP($L306,[3]Consolidated!$C$9:$AC$452,27,0),0)</f>
        <v>1843000</v>
      </c>
      <c r="N306" s="66">
        <f>IFERROR(VLOOKUP($L306,[3]Consolidated!$C$9:$AC$452,5,0),0)</f>
        <v>10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4">
        <f>(VLOOKUP($O$2,Prices!$E$3:$K$17,2,FALSE)*O306)+(VLOOKUP($P$2,Prices!$J$3:$K$17,2,FALSE)*P306)+(VLOOKUP($Q$2,Prices!$J$3:$K$17,2,FALSE)*Q306)+(VLOOKUP($R$2,Prices!$J$3:$K$17,2,FALSE)*R306)+(VLOOKUP($S$2,Prices!$J$3:$K$17,2,FALSE)*S306)+(VLOOKUP($T$2,Prices!$J$3:$K$17,2,FALSE)*T306)+(VLOOKUP($U$2,Prices!$J$3:$K$17,2,FALSE)*U306)+(VLOOKUP($V$2,Prices!$J$3:$K$17,2,FALSE)*V306)+(VLOOKUP($W$2,Prices!$J$3:$K$17,2,FALSE)*W306)+(VLOOKUP($X$2,Prices!$J$3:$K$17,2,FALSE)*X306)+(VLOOKUP($Y$2,Prices!$J$3:$K$17,2,FALSE)*Y306)+(VLOOKUP($Z$2,Prices!$J$3:$K$17,2,FALSE)*Z306)+(VLOOKUP($AA$2,Prices!$J$3:$K$17,2,FALSE)*AA306)+(VLOOKUP($AB$2,Prices!$J$3:$K$17,2,FALSE)*AB306)+M306</f>
        <v>1843000</v>
      </c>
      <c r="AD306" s="18"/>
      <c r="AE306" s="18"/>
      <c r="AF306" s="4">
        <f t="shared" si="27"/>
        <v>0</v>
      </c>
      <c r="AG306" s="4"/>
      <c r="AH306" s="16">
        <f t="shared" si="29"/>
        <v>0</v>
      </c>
      <c r="AI306" s="21">
        <f t="shared" si="28"/>
        <v>0</v>
      </c>
      <c r="AJ306" s="20">
        <f t="shared" si="30"/>
        <v>0</v>
      </c>
      <c r="AK306" s="9"/>
    </row>
    <row r="307" spans="1:37" hidden="1">
      <c r="A307" s="3">
        <v>305</v>
      </c>
      <c r="B307" s="12"/>
      <c r="C307" s="13"/>
      <c r="D307" s="13"/>
      <c r="E307" s="13"/>
      <c r="F307" s="13"/>
      <c r="G307" s="13"/>
      <c r="H307" s="15"/>
      <c r="I307" s="45" t="s">
        <v>814</v>
      </c>
      <c r="J307" s="45" t="s">
        <v>1389</v>
      </c>
      <c r="K307" s="46" t="s">
        <v>668</v>
      </c>
      <c r="L307" s="47" t="s">
        <v>1129</v>
      </c>
      <c r="M307" s="66">
        <f>IFERROR(VLOOKUP($L307,[3]Consolidated!$C$9:$AC$452,27,0),0)</f>
        <v>2779500</v>
      </c>
      <c r="N307" s="66">
        <f>IFERROR(VLOOKUP($L307,[3]Consolidated!$C$9:$AC$452,5,0),0)</f>
        <v>15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4">
        <f>(VLOOKUP($O$2,Prices!$E$3:$K$17,2,FALSE)*O307)+(VLOOKUP($P$2,Prices!$J$3:$K$17,2,FALSE)*P307)+(VLOOKUP($Q$2,Prices!$J$3:$K$17,2,FALSE)*Q307)+(VLOOKUP($R$2,Prices!$J$3:$K$17,2,FALSE)*R307)+(VLOOKUP($S$2,Prices!$J$3:$K$17,2,FALSE)*S307)+(VLOOKUP($T$2,Prices!$J$3:$K$17,2,FALSE)*T307)+(VLOOKUP($U$2,Prices!$J$3:$K$17,2,FALSE)*U307)+(VLOOKUP($V$2,Prices!$J$3:$K$17,2,FALSE)*V307)+(VLOOKUP($W$2,Prices!$J$3:$K$17,2,FALSE)*W307)+(VLOOKUP($X$2,Prices!$J$3:$K$17,2,FALSE)*X307)+(VLOOKUP($Y$2,Prices!$J$3:$K$17,2,FALSE)*Y307)+(VLOOKUP($Z$2,Prices!$J$3:$K$17,2,FALSE)*Z307)+(VLOOKUP($AA$2,Prices!$J$3:$K$17,2,FALSE)*AA307)+(VLOOKUP($AB$2,Prices!$J$3:$K$17,2,FALSE)*AB307)+M307</f>
        <v>2779500</v>
      </c>
      <c r="AD307" s="18"/>
      <c r="AE307" s="18"/>
      <c r="AF307" s="4">
        <f t="shared" si="27"/>
        <v>0</v>
      </c>
      <c r="AG307" s="4"/>
      <c r="AH307" s="16">
        <f t="shared" si="29"/>
        <v>0</v>
      </c>
      <c r="AI307" s="21">
        <f t="shared" si="28"/>
        <v>0</v>
      </c>
      <c r="AJ307" s="20">
        <f t="shared" si="30"/>
        <v>0</v>
      </c>
      <c r="AK307" s="9"/>
    </row>
    <row r="308" spans="1:37" hidden="1">
      <c r="A308" s="3">
        <v>306</v>
      </c>
      <c r="B308" s="12"/>
      <c r="C308" s="13"/>
      <c r="D308" s="13"/>
      <c r="E308" s="13"/>
      <c r="F308" s="13"/>
      <c r="G308" s="13"/>
      <c r="H308" s="15"/>
      <c r="I308" s="45" t="s">
        <v>775</v>
      </c>
      <c r="J308" s="45" t="s">
        <v>1389</v>
      </c>
      <c r="K308" s="46" t="s">
        <v>1402</v>
      </c>
      <c r="L308" s="47" t="s">
        <v>1078</v>
      </c>
      <c r="M308" s="66">
        <f>IFERROR(VLOOKUP($L308,[3]Consolidated!$C$9:$AC$452,27,0),0)</f>
        <v>13291000</v>
      </c>
      <c r="N308" s="66">
        <f>IFERROR(VLOOKUP($L308,[3]Consolidated!$C$9:$AC$452,5,0),0)</f>
        <v>100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4">
        <f>(VLOOKUP($O$2,Prices!$E$3:$K$17,2,FALSE)*O308)+(VLOOKUP($P$2,Prices!$J$3:$K$17,2,FALSE)*P308)+(VLOOKUP($Q$2,Prices!$J$3:$K$17,2,FALSE)*Q308)+(VLOOKUP($R$2,Prices!$J$3:$K$17,2,FALSE)*R308)+(VLOOKUP($S$2,Prices!$J$3:$K$17,2,FALSE)*S308)+(VLOOKUP($T$2,Prices!$J$3:$K$17,2,FALSE)*T308)+(VLOOKUP($U$2,Prices!$J$3:$K$17,2,FALSE)*U308)+(VLOOKUP($V$2,Prices!$J$3:$K$17,2,FALSE)*V308)+(VLOOKUP($W$2,Prices!$J$3:$K$17,2,FALSE)*W308)+(VLOOKUP($X$2,Prices!$J$3:$K$17,2,FALSE)*X308)+(VLOOKUP($Y$2,Prices!$J$3:$K$17,2,FALSE)*Y308)+(VLOOKUP($Z$2,Prices!$J$3:$K$17,2,FALSE)*Z308)+(VLOOKUP($AA$2,Prices!$J$3:$K$17,2,FALSE)*AA308)+(VLOOKUP($AB$2,Prices!$J$3:$K$17,2,FALSE)*AB308)+M308</f>
        <v>13291000</v>
      </c>
      <c r="AD308" s="18"/>
      <c r="AE308" s="18"/>
      <c r="AF308" s="4">
        <f t="shared" si="27"/>
        <v>0</v>
      </c>
      <c r="AG308" s="4"/>
      <c r="AH308" s="16">
        <f t="shared" si="29"/>
        <v>0</v>
      </c>
      <c r="AI308" s="21">
        <f t="shared" si="28"/>
        <v>0</v>
      </c>
      <c r="AJ308" s="20">
        <f t="shared" si="30"/>
        <v>0</v>
      </c>
      <c r="AK308" s="9"/>
    </row>
    <row r="309" spans="1:37" hidden="1">
      <c r="A309" s="3">
        <v>307</v>
      </c>
      <c r="B309" s="12"/>
      <c r="C309" s="13"/>
      <c r="D309" s="13"/>
      <c r="E309" s="13"/>
      <c r="F309" s="13"/>
      <c r="G309" s="13"/>
      <c r="H309" s="15"/>
      <c r="I309" s="45" t="s">
        <v>773</v>
      </c>
      <c r="J309" s="45" t="s">
        <v>1389</v>
      </c>
      <c r="K309" s="46" t="s">
        <v>1402</v>
      </c>
      <c r="L309" s="47" t="s">
        <v>1077</v>
      </c>
      <c r="M309" s="66">
        <f>IFERROR(VLOOKUP($L309,[3]Consolidated!$C$9:$AC$452,27,0),0)</f>
        <v>4906500</v>
      </c>
      <c r="N309" s="66">
        <f>IFERROR(VLOOKUP($L309,[3]Consolidated!$C$9:$AC$452,5,0),0)</f>
        <v>35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4">
        <f>(VLOOKUP($O$2,Prices!$E$3:$K$17,2,FALSE)*O309)+(VLOOKUP($P$2,Prices!$J$3:$K$17,2,FALSE)*P309)+(VLOOKUP($Q$2,Prices!$J$3:$K$17,2,FALSE)*Q309)+(VLOOKUP($R$2,Prices!$J$3:$K$17,2,FALSE)*R309)+(VLOOKUP($S$2,Prices!$J$3:$K$17,2,FALSE)*S309)+(VLOOKUP($T$2,Prices!$J$3:$K$17,2,FALSE)*T309)+(VLOOKUP($U$2,Prices!$J$3:$K$17,2,FALSE)*U309)+(VLOOKUP($V$2,Prices!$J$3:$K$17,2,FALSE)*V309)+(VLOOKUP($W$2,Prices!$J$3:$K$17,2,FALSE)*W309)+(VLOOKUP($X$2,Prices!$J$3:$K$17,2,FALSE)*X309)+(VLOOKUP($Y$2,Prices!$J$3:$K$17,2,FALSE)*Y309)+(VLOOKUP($Z$2,Prices!$J$3:$K$17,2,FALSE)*Z309)+(VLOOKUP($AA$2,Prices!$J$3:$K$17,2,FALSE)*AA309)+(VLOOKUP($AB$2,Prices!$J$3:$K$17,2,FALSE)*AB309)+M309</f>
        <v>4906500</v>
      </c>
      <c r="AD309" s="18"/>
      <c r="AE309" s="18"/>
      <c r="AF309" s="4">
        <f t="shared" si="27"/>
        <v>0</v>
      </c>
      <c r="AG309" s="4"/>
      <c r="AH309" s="16">
        <f t="shared" si="29"/>
        <v>0</v>
      </c>
      <c r="AI309" s="21">
        <f t="shared" si="28"/>
        <v>0</v>
      </c>
      <c r="AJ309" s="20">
        <f t="shared" si="30"/>
        <v>0</v>
      </c>
      <c r="AK309" s="9"/>
    </row>
    <row r="310" spans="1:37" hidden="1">
      <c r="A310" s="3">
        <v>308</v>
      </c>
      <c r="B310" s="12"/>
      <c r="C310" s="13"/>
      <c r="D310" s="13"/>
      <c r="E310" s="13"/>
      <c r="F310" s="13"/>
      <c r="G310" s="13"/>
      <c r="H310" s="15"/>
      <c r="I310" s="45" t="s">
        <v>774</v>
      </c>
      <c r="J310" s="45" t="s">
        <v>1389</v>
      </c>
      <c r="K310" s="46" t="s">
        <v>1402</v>
      </c>
      <c r="L310" s="47" t="s">
        <v>1076</v>
      </c>
      <c r="M310" s="66">
        <f>IFERROR(VLOOKUP($L310,[3]Consolidated!$C$9:$AC$452,27,0),0)</f>
        <v>5154500</v>
      </c>
      <c r="N310" s="66">
        <f>IFERROR(VLOOKUP($L310,[3]Consolidated!$C$9:$AC$452,5,0),0)</f>
        <v>35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4">
        <f>(VLOOKUP($O$2,Prices!$E$3:$K$17,2,FALSE)*O310)+(VLOOKUP($P$2,Prices!$J$3:$K$17,2,FALSE)*P310)+(VLOOKUP($Q$2,Prices!$J$3:$K$17,2,FALSE)*Q310)+(VLOOKUP($R$2,Prices!$J$3:$K$17,2,FALSE)*R310)+(VLOOKUP($S$2,Prices!$J$3:$K$17,2,FALSE)*S310)+(VLOOKUP($T$2,Prices!$J$3:$K$17,2,FALSE)*T310)+(VLOOKUP($U$2,Prices!$J$3:$K$17,2,FALSE)*U310)+(VLOOKUP($V$2,Prices!$J$3:$K$17,2,FALSE)*V310)+(VLOOKUP($W$2,Prices!$J$3:$K$17,2,FALSE)*W310)+(VLOOKUP($X$2,Prices!$J$3:$K$17,2,FALSE)*X310)+(VLOOKUP($Y$2,Prices!$J$3:$K$17,2,FALSE)*Y310)+(VLOOKUP($Z$2,Prices!$J$3:$K$17,2,FALSE)*Z310)+(VLOOKUP($AA$2,Prices!$J$3:$K$17,2,FALSE)*AA310)+(VLOOKUP($AB$2,Prices!$J$3:$K$17,2,FALSE)*AB310)+M310</f>
        <v>5154500</v>
      </c>
      <c r="AD310" s="18"/>
      <c r="AE310" s="18"/>
      <c r="AF310" s="4">
        <f t="shared" si="27"/>
        <v>0</v>
      </c>
      <c r="AG310" s="4"/>
      <c r="AH310" s="16">
        <f t="shared" si="29"/>
        <v>0</v>
      </c>
      <c r="AI310" s="21">
        <f t="shared" si="28"/>
        <v>0</v>
      </c>
      <c r="AJ310" s="20">
        <f t="shared" si="30"/>
        <v>0</v>
      </c>
      <c r="AK310" s="9"/>
    </row>
    <row r="311" spans="1:37" hidden="1">
      <c r="A311" s="3">
        <v>309</v>
      </c>
      <c r="B311" s="12"/>
      <c r="C311" s="13"/>
      <c r="D311" s="13"/>
      <c r="E311" s="13"/>
      <c r="F311" s="13"/>
      <c r="G311" s="13"/>
      <c r="H311" s="15"/>
      <c r="I311" s="45" t="s">
        <v>772</v>
      </c>
      <c r="J311" s="45" t="s">
        <v>1389</v>
      </c>
      <c r="K311" s="46" t="s">
        <v>1402</v>
      </c>
      <c r="L311" s="47" t="s">
        <v>1075</v>
      </c>
      <c r="M311" s="66">
        <f>IFERROR(VLOOKUP($L311,[3]Consolidated!$C$9:$AC$452,27,0),0)</f>
        <v>4844500</v>
      </c>
      <c r="N311" s="66">
        <f>IFERROR(VLOOKUP($L311,[3]Consolidated!$C$9:$AC$452,5,0),0)</f>
        <v>35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4">
        <f>(VLOOKUP($O$2,Prices!$E$3:$K$17,2,FALSE)*O311)+(VLOOKUP($P$2,Prices!$J$3:$K$17,2,FALSE)*P311)+(VLOOKUP($Q$2,Prices!$J$3:$K$17,2,FALSE)*Q311)+(VLOOKUP($R$2,Prices!$J$3:$K$17,2,FALSE)*R311)+(VLOOKUP($S$2,Prices!$J$3:$K$17,2,FALSE)*S311)+(VLOOKUP($T$2,Prices!$J$3:$K$17,2,FALSE)*T311)+(VLOOKUP($U$2,Prices!$J$3:$K$17,2,FALSE)*U311)+(VLOOKUP($V$2,Prices!$J$3:$K$17,2,FALSE)*V311)+(VLOOKUP($W$2,Prices!$J$3:$K$17,2,FALSE)*W311)+(VLOOKUP($X$2,Prices!$J$3:$K$17,2,FALSE)*X311)+(VLOOKUP($Y$2,Prices!$J$3:$K$17,2,FALSE)*Y311)+(VLOOKUP($Z$2,Prices!$J$3:$K$17,2,FALSE)*Z311)+(VLOOKUP($AA$2,Prices!$J$3:$K$17,2,FALSE)*AA311)+(VLOOKUP($AB$2,Prices!$J$3:$K$17,2,FALSE)*AB311)+M311</f>
        <v>4844500</v>
      </c>
      <c r="AD311" s="18"/>
      <c r="AE311" s="18"/>
      <c r="AF311" s="4">
        <f t="shared" si="27"/>
        <v>0</v>
      </c>
      <c r="AG311" s="4"/>
      <c r="AH311" s="16">
        <f t="shared" si="29"/>
        <v>0</v>
      </c>
      <c r="AI311" s="21">
        <f t="shared" si="28"/>
        <v>0</v>
      </c>
      <c r="AJ311" s="20">
        <f t="shared" si="30"/>
        <v>0</v>
      </c>
      <c r="AK311" s="9"/>
    </row>
    <row r="312" spans="1:37" hidden="1">
      <c r="A312" s="3">
        <v>310</v>
      </c>
      <c r="B312" s="12"/>
      <c r="C312" s="13"/>
      <c r="D312" s="13"/>
      <c r="E312" s="13"/>
      <c r="F312" s="13"/>
      <c r="G312" s="13"/>
      <c r="H312" s="15"/>
      <c r="I312" s="45" t="s">
        <v>1441</v>
      </c>
      <c r="J312" s="45" t="s">
        <v>1389</v>
      </c>
      <c r="K312" s="46" t="s">
        <v>1402</v>
      </c>
      <c r="L312" s="47" t="s">
        <v>1068</v>
      </c>
      <c r="M312" s="66">
        <f>IFERROR(VLOOKUP($L312,[3]Consolidated!$C$9:$AC$452,27,0),0)</f>
        <v>4755500</v>
      </c>
      <c r="N312" s="66">
        <f>IFERROR(VLOOKUP($L312,[3]Consolidated!$C$9:$AC$452,5,0),0)</f>
        <v>35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4">
        <f>(VLOOKUP($O$2,Prices!$E$3:$K$17,2,FALSE)*O312)+(VLOOKUP($P$2,Prices!$J$3:$K$17,2,FALSE)*P312)+(VLOOKUP($Q$2,Prices!$J$3:$K$17,2,FALSE)*Q312)+(VLOOKUP($R$2,Prices!$J$3:$K$17,2,FALSE)*R312)+(VLOOKUP($S$2,Prices!$J$3:$K$17,2,FALSE)*S312)+(VLOOKUP($T$2,Prices!$J$3:$K$17,2,FALSE)*T312)+(VLOOKUP($U$2,Prices!$J$3:$K$17,2,FALSE)*U312)+(VLOOKUP($V$2,Prices!$J$3:$K$17,2,FALSE)*V312)+(VLOOKUP($W$2,Prices!$J$3:$K$17,2,FALSE)*W312)+(VLOOKUP($X$2,Prices!$J$3:$K$17,2,FALSE)*X312)+(VLOOKUP($Y$2,Prices!$J$3:$K$17,2,FALSE)*Y312)+(VLOOKUP($Z$2,Prices!$J$3:$K$17,2,FALSE)*Z312)+(VLOOKUP($AA$2,Prices!$J$3:$K$17,2,FALSE)*AA312)+(VLOOKUP($AB$2,Prices!$J$3:$K$17,2,FALSE)*AB312)+M312</f>
        <v>4755500</v>
      </c>
      <c r="AD312" s="18"/>
      <c r="AE312" s="18"/>
      <c r="AF312" s="4">
        <f t="shared" si="27"/>
        <v>0</v>
      </c>
      <c r="AG312" s="4"/>
      <c r="AH312" s="16">
        <f t="shared" si="29"/>
        <v>0</v>
      </c>
      <c r="AI312" s="21">
        <f t="shared" si="28"/>
        <v>0</v>
      </c>
      <c r="AJ312" s="20">
        <f t="shared" si="30"/>
        <v>0</v>
      </c>
      <c r="AK312" s="19"/>
    </row>
    <row r="313" spans="1:37" hidden="1">
      <c r="A313" s="3">
        <v>311</v>
      </c>
      <c r="B313" s="12"/>
      <c r="C313" s="13"/>
      <c r="D313" s="13"/>
      <c r="E313" s="13"/>
      <c r="F313" s="13"/>
      <c r="G313" s="13"/>
      <c r="H313" s="15"/>
      <c r="I313" s="45" t="s">
        <v>1442</v>
      </c>
      <c r="J313" s="45" t="s">
        <v>1389</v>
      </c>
      <c r="K313" s="46" t="s">
        <v>1402</v>
      </c>
      <c r="L313" s="47" t="s">
        <v>1079</v>
      </c>
      <c r="M313" s="66">
        <f>IFERROR(VLOOKUP($L313,[3]Consolidated!$C$9:$AC$452,27,0),0)</f>
        <v>1517500</v>
      </c>
      <c r="N313" s="66">
        <f>IFERROR(VLOOKUP($L313,[3]Consolidated!$C$9:$AC$452,5,0),0)</f>
        <v>10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4">
        <f>(VLOOKUP($O$2,Prices!$E$3:$K$17,2,FALSE)*O313)+(VLOOKUP($P$2,Prices!$J$3:$K$17,2,FALSE)*P313)+(VLOOKUP($Q$2,Prices!$J$3:$K$17,2,FALSE)*Q313)+(VLOOKUP($R$2,Prices!$J$3:$K$17,2,FALSE)*R313)+(VLOOKUP($S$2,Prices!$J$3:$K$17,2,FALSE)*S313)+(VLOOKUP($T$2,Prices!$J$3:$K$17,2,FALSE)*T313)+(VLOOKUP($U$2,Prices!$J$3:$K$17,2,FALSE)*U313)+(VLOOKUP($V$2,Prices!$J$3:$K$17,2,FALSE)*V313)+(VLOOKUP($W$2,Prices!$J$3:$K$17,2,FALSE)*W313)+(VLOOKUP($X$2,Prices!$J$3:$K$17,2,FALSE)*X313)+(VLOOKUP($Y$2,Prices!$J$3:$K$17,2,FALSE)*Y313)+(VLOOKUP($Z$2,Prices!$J$3:$K$17,2,FALSE)*Z313)+(VLOOKUP($AA$2,Prices!$J$3:$K$17,2,FALSE)*AA313)+(VLOOKUP($AB$2,Prices!$J$3:$K$17,2,FALSE)*AB313)+M313</f>
        <v>1517500</v>
      </c>
      <c r="AD313" s="18"/>
      <c r="AE313" s="18"/>
      <c r="AF313" s="4">
        <f t="shared" si="27"/>
        <v>0</v>
      </c>
      <c r="AG313" s="4"/>
      <c r="AH313" s="16">
        <f t="shared" si="29"/>
        <v>0</v>
      </c>
      <c r="AI313" s="21">
        <f t="shared" si="28"/>
        <v>0</v>
      </c>
      <c r="AJ313" s="20">
        <f t="shared" si="30"/>
        <v>0</v>
      </c>
      <c r="AK313" s="9"/>
    </row>
    <row r="314" spans="1:37" hidden="1">
      <c r="A314" s="3">
        <v>312</v>
      </c>
      <c r="B314" s="12"/>
      <c r="C314" s="13"/>
      <c r="D314" s="13"/>
      <c r="E314" s="13"/>
      <c r="F314" s="13"/>
      <c r="G314" s="13"/>
      <c r="H314" s="15"/>
      <c r="I314" s="45" t="s">
        <v>1443</v>
      </c>
      <c r="J314" s="45" t="s">
        <v>1389</v>
      </c>
      <c r="K314" s="46" t="s">
        <v>1402</v>
      </c>
      <c r="L314" s="47" t="s">
        <v>1080</v>
      </c>
      <c r="M314" s="66">
        <f>IFERROR(VLOOKUP($L314,[3]Consolidated!$C$9:$AC$452,27,0),0)</f>
        <v>1555000</v>
      </c>
      <c r="N314" s="66">
        <f>IFERROR(VLOOKUP($L314,[3]Consolidated!$C$9:$AC$452,5,0),0)</f>
        <v>10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4">
        <f>(VLOOKUP($O$2,Prices!$E$3:$K$17,2,FALSE)*O314)+(VLOOKUP($P$2,Prices!$J$3:$K$17,2,FALSE)*P314)+(VLOOKUP($Q$2,Prices!$J$3:$K$17,2,FALSE)*Q314)+(VLOOKUP($R$2,Prices!$J$3:$K$17,2,FALSE)*R314)+(VLOOKUP($S$2,Prices!$J$3:$K$17,2,FALSE)*S314)+(VLOOKUP($T$2,Prices!$J$3:$K$17,2,FALSE)*T314)+(VLOOKUP($U$2,Prices!$J$3:$K$17,2,FALSE)*U314)+(VLOOKUP($V$2,Prices!$J$3:$K$17,2,FALSE)*V314)+(VLOOKUP($W$2,Prices!$J$3:$K$17,2,FALSE)*W314)+(VLOOKUP($X$2,Prices!$J$3:$K$17,2,FALSE)*X314)+(VLOOKUP($Y$2,Prices!$J$3:$K$17,2,FALSE)*Y314)+(VLOOKUP($Z$2,Prices!$J$3:$K$17,2,FALSE)*Z314)+(VLOOKUP($AA$2,Prices!$J$3:$K$17,2,FALSE)*AA314)+(VLOOKUP($AB$2,Prices!$J$3:$K$17,2,FALSE)*AB314)+M314</f>
        <v>1555000</v>
      </c>
      <c r="AD314" s="18"/>
      <c r="AE314" s="18"/>
      <c r="AF314" s="4">
        <f t="shared" si="27"/>
        <v>0</v>
      </c>
      <c r="AG314" s="4"/>
      <c r="AH314" s="16">
        <f t="shared" si="29"/>
        <v>0</v>
      </c>
      <c r="AI314" s="21">
        <f t="shared" si="28"/>
        <v>0</v>
      </c>
      <c r="AJ314" s="20">
        <f t="shared" si="30"/>
        <v>0</v>
      </c>
      <c r="AK314" s="9"/>
    </row>
    <row r="315" spans="1:37" hidden="1">
      <c r="A315" s="3">
        <v>313</v>
      </c>
      <c r="B315" s="12"/>
      <c r="C315" s="13"/>
      <c r="D315" s="13"/>
      <c r="E315" s="13"/>
      <c r="F315" s="13"/>
      <c r="G315" s="13"/>
      <c r="H315" s="15"/>
      <c r="I315" s="45" t="s">
        <v>1444</v>
      </c>
      <c r="J315" s="45" t="s">
        <v>1389</v>
      </c>
      <c r="K315" s="46" t="s">
        <v>1402</v>
      </c>
      <c r="L315" s="47" t="s">
        <v>1081</v>
      </c>
      <c r="M315" s="66">
        <f>IFERROR(VLOOKUP($L315,[3]Consolidated!$C$9:$AC$452,27,0),0)</f>
        <v>1564000</v>
      </c>
      <c r="N315" s="66">
        <f>IFERROR(VLOOKUP($L315,[3]Consolidated!$C$9:$AC$452,5,0),0)</f>
        <v>10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4">
        <f>(VLOOKUP($O$2,Prices!$E$3:$K$17,2,FALSE)*O315)+(VLOOKUP($P$2,Prices!$J$3:$K$17,2,FALSE)*P315)+(VLOOKUP($Q$2,Prices!$J$3:$K$17,2,FALSE)*Q315)+(VLOOKUP($R$2,Prices!$J$3:$K$17,2,FALSE)*R315)+(VLOOKUP($S$2,Prices!$J$3:$K$17,2,FALSE)*S315)+(VLOOKUP($T$2,Prices!$J$3:$K$17,2,FALSE)*T315)+(VLOOKUP($U$2,Prices!$J$3:$K$17,2,FALSE)*U315)+(VLOOKUP($V$2,Prices!$J$3:$K$17,2,FALSE)*V315)+(VLOOKUP($W$2,Prices!$J$3:$K$17,2,FALSE)*W315)+(VLOOKUP($X$2,Prices!$J$3:$K$17,2,FALSE)*X315)+(VLOOKUP($Y$2,Prices!$J$3:$K$17,2,FALSE)*Y315)+(VLOOKUP($Z$2,Prices!$J$3:$K$17,2,FALSE)*Z315)+(VLOOKUP($AA$2,Prices!$J$3:$K$17,2,FALSE)*AA315)+(VLOOKUP($AB$2,Prices!$J$3:$K$17,2,FALSE)*AB315)+M315</f>
        <v>1564000</v>
      </c>
      <c r="AD315" s="18"/>
      <c r="AE315" s="18"/>
      <c r="AF315" s="4">
        <f t="shared" si="27"/>
        <v>0</v>
      </c>
      <c r="AG315" s="4"/>
      <c r="AH315" s="16">
        <f t="shared" si="29"/>
        <v>0</v>
      </c>
      <c r="AI315" s="21">
        <f t="shared" si="28"/>
        <v>0</v>
      </c>
      <c r="AJ315" s="20">
        <f t="shared" si="30"/>
        <v>0</v>
      </c>
      <c r="AK315" s="9"/>
    </row>
    <row r="316" spans="1:37" hidden="1">
      <c r="A316" s="3">
        <v>314</v>
      </c>
      <c r="B316" s="12"/>
      <c r="C316" s="13"/>
      <c r="D316" s="13"/>
      <c r="E316" s="13"/>
      <c r="F316" s="13"/>
      <c r="G316" s="13"/>
      <c r="H316" s="15"/>
      <c r="I316" s="45" t="s">
        <v>1445</v>
      </c>
      <c r="J316" s="45" t="s">
        <v>1389</v>
      </c>
      <c r="K316" s="46" t="s">
        <v>1402</v>
      </c>
      <c r="L316" s="47" t="s">
        <v>1406</v>
      </c>
      <c r="M316" s="66">
        <f>IFERROR(VLOOKUP($L316,[3]Consolidated!$C$9:$AC$452,27,0),0)</f>
        <v>1595000</v>
      </c>
      <c r="N316" s="66">
        <f>IFERROR(VLOOKUP($L316,[3]Consolidated!$C$9:$AC$452,5,0),0)</f>
        <v>10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4">
        <f>(VLOOKUP($O$2,Prices!$E$3:$K$17,2,FALSE)*O316)+(VLOOKUP($P$2,Prices!$J$3:$K$17,2,FALSE)*P316)+(VLOOKUP($Q$2,Prices!$J$3:$K$17,2,FALSE)*Q316)+(VLOOKUP($R$2,Prices!$J$3:$K$17,2,FALSE)*R316)+(VLOOKUP($S$2,Prices!$J$3:$K$17,2,FALSE)*S316)+(VLOOKUP($T$2,Prices!$J$3:$K$17,2,FALSE)*T316)+(VLOOKUP($U$2,Prices!$J$3:$K$17,2,FALSE)*U316)+(VLOOKUP($V$2,Prices!$J$3:$K$17,2,FALSE)*V316)+(VLOOKUP($W$2,Prices!$J$3:$K$17,2,FALSE)*W316)+(VLOOKUP($X$2,Prices!$J$3:$K$17,2,FALSE)*X316)+(VLOOKUP($Y$2,Prices!$J$3:$K$17,2,FALSE)*Y316)+(VLOOKUP($Z$2,Prices!$J$3:$K$17,2,FALSE)*Z316)+(VLOOKUP($AA$2,Prices!$J$3:$K$17,2,FALSE)*AA316)+(VLOOKUP($AB$2,Prices!$J$3:$K$17,2,FALSE)*AB316)+M316</f>
        <v>1595000</v>
      </c>
      <c r="AD316" s="18"/>
      <c r="AE316" s="18"/>
      <c r="AF316" s="4">
        <f t="shared" si="27"/>
        <v>0</v>
      </c>
      <c r="AG316" s="4"/>
      <c r="AH316" s="16">
        <f t="shared" si="29"/>
        <v>0</v>
      </c>
      <c r="AI316" s="21">
        <f t="shared" si="28"/>
        <v>0</v>
      </c>
      <c r="AJ316" s="20">
        <f t="shared" si="30"/>
        <v>0</v>
      </c>
      <c r="AK316" s="9"/>
    </row>
    <row r="317" spans="1:37" hidden="1">
      <c r="A317" s="3">
        <v>315</v>
      </c>
      <c r="B317" s="12"/>
      <c r="C317" s="13"/>
      <c r="D317" s="13"/>
      <c r="E317" s="13"/>
      <c r="F317" s="13"/>
      <c r="G317" s="13"/>
      <c r="H317" s="15"/>
      <c r="I317" s="45" t="s">
        <v>779</v>
      </c>
      <c r="J317" s="45" t="s">
        <v>1389</v>
      </c>
      <c r="K317" s="46" t="s">
        <v>1401</v>
      </c>
      <c r="L317" s="47" t="s">
        <v>1094</v>
      </c>
      <c r="M317" s="66">
        <f>IFERROR(VLOOKUP($L317,[3]Consolidated!$C$9:$AC$452,27,0),0)</f>
        <v>1594000</v>
      </c>
      <c r="N317" s="66">
        <f>IFERROR(VLOOKUP($L317,[3]Consolidated!$C$9:$AC$452,5,0),0)</f>
        <v>10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4">
        <f>(VLOOKUP($O$2,Prices!$E$3:$K$17,2,FALSE)*O317)+(VLOOKUP($P$2,Prices!$J$3:$K$17,2,FALSE)*P317)+(VLOOKUP($Q$2,Prices!$J$3:$K$17,2,FALSE)*Q317)+(VLOOKUP($R$2,Prices!$J$3:$K$17,2,FALSE)*R317)+(VLOOKUP($S$2,Prices!$J$3:$K$17,2,FALSE)*S317)+(VLOOKUP($T$2,Prices!$J$3:$K$17,2,FALSE)*T317)+(VLOOKUP($U$2,Prices!$J$3:$K$17,2,FALSE)*U317)+(VLOOKUP($V$2,Prices!$J$3:$K$17,2,FALSE)*V317)+(VLOOKUP($W$2,Prices!$J$3:$K$17,2,FALSE)*W317)+(VLOOKUP($X$2,Prices!$J$3:$K$17,2,FALSE)*X317)+(VLOOKUP($Y$2,Prices!$J$3:$K$17,2,FALSE)*Y317)+(VLOOKUP($Z$2,Prices!$J$3:$K$17,2,FALSE)*Z317)+(VLOOKUP($AA$2,Prices!$J$3:$K$17,2,FALSE)*AA317)+(VLOOKUP($AB$2,Prices!$J$3:$K$17,2,FALSE)*AB317)+M317</f>
        <v>1594000</v>
      </c>
      <c r="AD317" s="18"/>
      <c r="AE317" s="18"/>
      <c r="AF317" s="4">
        <f t="shared" si="27"/>
        <v>0</v>
      </c>
      <c r="AG317" s="4"/>
      <c r="AH317" s="16">
        <f t="shared" si="29"/>
        <v>0</v>
      </c>
      <c r="AI317" s="21">
        <f t="shared" si="28"/>
        <v>0</v>
      </c>
      <c r="AJ317" s="20">
        <f t="shared" si="30"/>
        <v>0</v>
      </c>
      <c r="AK317" s="9"/>
    </row>
    <row r="318" spans="1:37" hidden="1">
      <c r="A318" s="3">
        <v>316</v>
      </c>
      <c r="B318" s="12"/>
      <c r="C318" s="13"/>
      <c r="D318" s="13"/>
      <c r="E318" s="13"/>
      <c r="F318" s="13"/>
      <c r="G318" s="13"/>
      <c r="H318" s="15"/>
      <c r="I318" s="45" t="s">
        <v>783</v>
      </c>
      <c r="J318" s="45" t="s">
        <v>1389</v>
      </c>
      <c r="K318" s="46" t="s">
        <v>1401</v>
      </c>
      <c r="L318" s="47" t="s">
        <v>1098</v>
      </c>
      <c r="M318" s="66">
        <f>IFERROR(VLOOKUP($L318,[3]Consolidated!$C$9:$AC$452,27,0),0)</f>
        <v>3426000</v>
      </c>
      <c r="N318" s="66">
        <f>IFERROR(VLOOKUP($L318,[3]Consolidated!$C$9:$AC$452,5,0),0)</f>
        <v>22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4">
        <f>(VLOOKUP($O$2,Prices!$E$3:$K$17,2,FALSE)*O318)+(VLOOKUP($P$2,Prices!$J$3:$K$17,2,FALSE)*P318)+(VLOOKUP($Q$2,Prices!$J$3:$K$17,2,FALSE)*Q318)+(VLOOKUP($R$2,Prices!$J$3:$K$17,2,FALSE)*R318)+(VLOOKUP($S$2,Prices!$J$3:$K$17,2,FALSE)*S318)+(VLOOKUP($T$2,Prices!$J$3:$K$17,2,FALSE)*T318)+(VLOOKUP($U$2,Prices!$J$3:$K$17,2,FALSE)*U318)+(VLOOKUP($V$2,Prices!$J$3:$K$17,2,FALSE)*V318)+(VLOOKUP($W$2,Prices!$J$3:$K$17,2,FALSE)*W318)+(VLOOKUP($X$2,Prices!$J$3:$K$17,2,FALSE)*X318)+(VLOOKUP($Y$2,Prices!$J$3:$K$17,2,FALSE)*Y318)+(VLOOKUP($Z$2,Prices!$J$3:$K$17,2,FALSE)*Z318)+(VLOOKUP($AA$2,Prices!$J$3:$K$17,2,FALSE)*AA318)+(VLOOKUP($AB$2,Prices!$J$3:$K$17,2,FALSE)*AB318)+M318</f>
        <v>3426000</v>
      </c>
      <c r="AD318" s="18"/>
      <c r="AE318" s="18"/>
      <c r="AF318" s="4">
        <f t="shared" si="27"/>
        <v>0</v>
      </c>
      <c r="AG318" s="4"/>
      <c r="AH318" s="16">
        <f t="shared" si="29"/>
        <v>0</v>
      </c>
      <c r="AI318" s="21">
        <f t="shared" si="28"/>
        <v>0</v>
      </c>
      <c r="AJ318" s="20">
        <f t="shared" si="30"/>
        <v>0</v>
      </c>
      <c r="AK318" s="9"/>
    </row>
    <row r="319" spans="1:37" hidden="1">
      <c r="A319" s="3">
        <v>317</v>
      </c>
      <c r="B319" s="12"/>
      <c r="C319" s="13"/>
      <c r="D319" s="13"/>
      <c r="E319" s="13"/>
      <c r="F319" s="13"/>
      <c r="G319" s="13"/>
      <c r="H319" s="15"/>
      <c r="I319" s="45" t="s">
        <v>1446</v>
      </c>
      <c r="J319" s="45" t="s">
        <v>1389</v>
      </c>
      <c r="K319" s="46" t="s">
        <v>1401</v>
      </c>
      <c r="L319" s="47" t="s">
        <v>1090</v>
      </c>
      <c r="M319" s="66">
        <f>IFERROR(VLOOKUP($L319,[3]Consolidated!$C$9:$AC$452,27,0),0)</f>
        <v>1711000</v>
      </c>
      <c r="N319" s="66">
        <f>IFERROR(VLOOKUP($L319,[3]Consolidated!$C$9:$AC$452,5,0),0)</f>
        <v>10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4">
        <f>(VLOOKUP($O$2,Prices!$E$3:$K$17,2,FALSE)*O319)+(VLOOKUP($P$2,Prices!$J$3:$K$17,2,FALSE)*P319)+(VLOOKUP($Q$2,Prices!$J$3:$K$17,2,FALSE)*Q319)+(VLOOKUP($R$2,Prices!$J$3:$K$17,2,FALSE)*R319)+(VLOOKUP($S$2,Prices!$J$3:$K$17,2,FALSE)*S319)+(VLOOKUP($T$2,Prices!$J$3:$K$17,2,FALSE)*T319)+(VLOOKUP($U$2,Prices!$J$3:$K$17,2,FALSE)*U319)+(VLOOKUP($V$2,Prices!$J$3:$K$17,2,FALSE)*V319)+(VLOOKUP($W$2,Prices!$J$3:$K$17,2,FALSE)*W319)+(VLOOKUP($X$2,Prices!$J$3:$K$17,2,FALSE)*X319)+(VLOOKUP($Y$2,Prices!$J$3:$K$17,2,FALSE)*Y319)+(VLOOKUP($Z$2,Prices!$J$3:$K$17,2,FALSE)*Z319)+(VLOOKUP($AA$2,Prices!$J$3:$K$17,2,FALSE)*AA319)+(VLOOKUP($AB$2,Prices!$J$3:$K$17,2,FALSE)*AB319)+M319</f>
        <v>1711000</v>
      </c>
      <c r="AD319" s="18"/>
      <c r="AE319" s="18"/>
      <c r="AF319" s="4">
        <f t="shared" si="27"/>
        <v>0</v>
      </c>
      <c r="AG319" s="4"/>
      <c r="AH319" s="16">
        <f t="shared" si="29"/>
        <v>0</v>
      </c>
      <c r="AI319" s="21">
        <f t="shared" si="28"/>
        <v>0</v>
      </c>
      <c r="AJ319" s="20">
        <f t="shared" si="30"/>
        <v>0</v>
      </c>
      <c r="AK319" s="9"/>
    </row>
    <row r="320" spans="1:37" hidden="1">
      <c r="A320" s="3">
        <v>318</v>
      </c>
      <c r="B320" s="12"/>
      <c r="C320" s="13"/>
      <c r="D320" s="13"/>
      <c r="E320" s="13"/>
      <c r="F320" s="13"/>
      <c r="G320" s="13"/>
      <c r="H320" s="15"/>
      <c r="I320" s="45" t="s">
        <v>1447</v>
      </c>
      <c r="J320" s="45" t="s">
        <v>1389</v>
      </c>
      <c r="K320" s="46" t="s">
        <v>1401</v>
      </c>
      <c r="L320" s="47" t="s">
        <v>1353</v>
      </c>
      <c r="M320" s="66">
        <f>IFERROR(VLOOKUP($L320,[3]Consolidated!$C$9:$AC$452,27,0),0)</f>
        <v>16015500</v>
      </c>
      <c r="N320" s="66">
        <f>IFERROR(VLOOKUP($L320,[3]Consolidated!$C$9:$AC$452,5,0),0)</f>
        <v>89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4">
        <f>(VLOOKUP($O$2,Prices!$E$3:$K$17,2,FALSE)*O320)+(VLOOKUP($P$2,Prices!$J$3:$K$17,2,FALSE)*P320)+(VLOOKUP($Q$2,Prices!$J$3:$K$17,2,FALSE)*Q320)+(VLOOKUP($R$2,Prices!$J$3:$K$17,2,FALSE)*R320)+(VLOOKUP($S$2,Prices!$J$3:$K$17,2,FALSE)*S320)+(VLOOKUP($T$2,Prices!$J$3:$K$17,2,FALSE)*T320)+(VLOOKUP($U$2,Prices!$J$3:$K$17,2,FALSE)*U320)+(VLOOKUP($V$2,Prices!$J$3:$K$17,2,FALSE)*V320)+(VLOOKUP($W$2,Prices!$J$3:$K$17,2,FALSE)*W320)+(VLOOKUP($X$2,Prices!$J$3:$K$17,2,FALSE)*X320)+(VLOOKUP($Y$2,Prices!$J$3:$K$17,2,FALSE)*Y320)+(VLOOKUP($Z$2,Prices!$J$3:$K$17,2,FALSE)*Z320)+(VLOOKUP($AA$2,Prices!$J$3:$K$17,2,FALSE)*AA320)+(VLOOKUP($AB$2,Prices!$J$3:$K$17,2,FALSE)*AB320)+M320</f>
        <v>16015500</v>
      </c>
      <c r="AD320" s="18"/>
      <c r="AE320" s="18"/>
      <c r="AF320" s="4">
        <f t="shared" si="27"/>
        <v>0</v>
      </c>
      <c r="AG320" s="4"/>
      <c r="AH320" s="16">
        <f t="shared" si="29"/>
        <v>0</v>
      </c>
      <c r="AI320" s="21">
        <f t="shared" si="28"/>
        <v>0</v>
      </c>
      <c r="AJ320" s="20">
        <f t="shared" si="30"/>
        <v>0</v>
      </c>
      <c r="AK320" s="9"/>
    </row>
    <row r="321" spans="1:37" hidden="1">
      <c r="A321" s="3">
        <v>319</v>
      </c>
      <c r="B321" s="12"/>
      <c r="C321" s="13"/>
      <c r="D321" s="13"/>
      <c r="E321" s="13"/>
      <c r="F321" s="13"/>
      <c r="G321" s="13"/>
      <c r="H321" s="15"/>
      <c r="I321" s="45" t="s">
        <v>845</v>
      </c>
      <c r="J321" s="45" t="s">
        <v>1390</v>
      </c>
      <c r="K321" s="46" t="s">
        <v>671</v>
      </c>
      <c r="L321" s="46" t="s">
        <v>1184</v>
      </c>
      <c r="M321" s="66">
        <f>IFERROR(VLOOKUP($L321,[3]Consolidated!$C$9:$AC$452,27,0),0)</f>
        <v>7282500</v>
      </c>
      <c r="N321" s="66">
        <f>IFERROR(VLOOKUP($L321,[3]Consolidated!$C$9:$AC$452,5,0),0)</f>
        <v>47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4">
        <f>(VLOOKUP($O$2,Prices!$E$3:$K$17,2,FALSE)*O321)+(VLOOKUP($P$2,Prices!$J$3:$K$17,2,FALSE)*P321)+(VLOOKUP($Q$2,Prices!$J$3:$K$17,2,FALSE)*Q321)+(VLOOKUP($R$2,Prices!$J$3:$K$17,2,FALSE)*R321)+(VLOOKUP($S$2,Prices!$J$3:$K$17,2,FALSE)*S321)+(VLOOKUP($T$2,Prices!$J$3:$K$17,2,FALSE)*T321)+(VLOOKUP($U$2,Prices!$J$3:$K$17,2,FALSE)*U321)+(VLOOKUP($V$2,Prices!$J$3:$K$17,2,FALSE)*V321)+(VLOOKUP($W$2,Prices!$J$3:$K$17,2,FALSE)*W321)+(VLOOKUP($X$2,Prices!$J$3:$K$17,2,FALSE)*X321)+(VLOOKUP($Y$2,Prices!$J$3:$K$17,2,FALSE)*Y321)+(VLOOKUP($Z$2,Prices!$J$3:$K$17,2,FALSE)*Z321)+(VLOOKUP($AA$2,Prices!$J$3:$K$17,2,FALSE)*AA321)+(VLOOKUP($AB$2,Prices!$J$3:$K$17,2,FALSE)*AB321)+M321</f>
        <v>7282500</v>
      </c>
      <c r="AD321" s="18"/>
      <c r="AE321" s="18"/>
      <c r="AF321" s="4">
        <f t="shared" si="27"/>
        <v>0</v>
      </c>
      <c r="AG321" s="4"/>
      <c r="AH321" s="16">
        <f t="shared" si="29"/>
        <v>0</v>
      </c>
      <c r="AI321" s="21">
        <f t="shared" si="28"/>
        <v>0</v>
      </c>
      <c r="AJ321" s="20">
        <f t="shared" si="30"/>
        <v>0</v>
      </c>
      <c r="AK321" s="9"/>
    </row>
    <row r="322" spans="1:37" hidden="1">
      <c r="A322" s="3">
        <v>320</v>
      </c>
      <c r="B322" s="12"/>
      <c r="C322" s="13"/>
      <c r="D322" s="13"/>
      <c r="E322" s="13"/>
      <c r="F322" s="13"/>
      <c r="G322" s="13"/>
      <c r="H322" s="15"/>
      <c r="I322" s="45" t="s">
        <v>850</v>
      </c>
      <c r="J322" s="45" t="s">
        <v>1390</v>
      </c>
      <c r="K322" s="46" t="s">
        <v>671</v>
      </c>
      <c r="L322" s="46" t="s">
        <v>1190</v>
      </c>
      <c r="M322" s="66">
        <f>IFERROR(VLOOKUP($L322,[3]Consolidated!$C$9:$AC$452,27,0),0)</f>
        <v>1545000</v>
      </c>
      <c r="N322" s="66">
        <f>IFERROR(VLOOKUP($L322,[3]Consolidated!$C$9:$AC$452,5,0),0)</f>
        <v>10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4">
        <f>(VLOOKUP($O$2,Prices!$E$3:$K$17,2,FALSE)*O322)+(VLOOKUP($P$2,Prices!$J$3:$K$17,2,FALSE)*P322)+(VLOOKUP($Q$2,Prices!$J$3:$K$17,2,FALSE)*Q322)+(VLOOKUP($R$2,Prices!$J$3:$K$17,2,FALSE)*R322)+(VLOOKUP($S$2,Prices!$J$3:$K$17,2,FALSE)*S322)+(VLOOKUP($T$2,Prices!$J$3:$K$17,2,FALSE)*T322)+(VLOOKUP($U$2,Prices!$J$3:$K$17,2,FALSE)*U322)+(VLOOKUP($V$2,Prices!$J$3:$K$17,2,FALSE)*V322)+(VLOOKUP($W$2,Prices!$J$3:$K$17,2,FALSE)*W322)+(VLOOKUP($X$2,Prices!$J$3:$K$17,2,FALSE)*X322)+(VLOOKUP($Y$2,Prices!$J$3:$K$17,2,FALSE)*Y322)+(VLOOKUP($Z$2,Prices!$J$3:$K$17,2,FALSE)*Z322)+(VLOOKUP($AA$2,Prices!$J$3:$K$17,2,FALSE)*AA322)+(VLOOKUP($AB$2,Prices!$J$3:$K$17,2,FALSE)*AB322)+M322</f>
        <v>1545000</v>
      </c>
      <c r="AD322" s="18"/>
      <c r="AE322" s="18"/>
      <c r="AF322" s="4">
        <f t="shared" si="27"/>
        <v>0</v>
      </c>
      <c r="AG322" s="4"/>
      <c r="AH322" s="16">
        <f t="shared" si="29"/>
        <v>0</v>
      </c>
      <c r="AI322" s="21">
        <f t="shared" si="28"/>
        <v>0</v>
      </c>
      <c r="AJ322" s="20">
        <f t="shared" si="30"/>
        <v>0</v>
      </c>
      <c r="AK322" s="9"/>
    </row>
    <row r="323" spans="1:37" hidden="1">
      <c r="A323" s="3">
        <v>321</v>
      </c>
      <c r="B323" s="12"/>
      <c r="C323" s="13"/>
      <c r="D323" s="13"/>
      <c r="E323" s="13"/>
      <c r="F323" s="13"/>
      <c r="G323" s="13"/>
      <c r="H323" s="15"/>
      <c r="I323" s="45" t="s">
        <v>1448</v>
      </c>
      <c r="J323" s="45" t="s">
        <v>1390</v>
      </c>
      <c r="K323" s="46" t="s">
        <v>671</v>
      </c>
      <c r="L323" s="46" t="s">
        <v>1189</v>
      </c>
      <c r="M323" s="66">
        <f>IFERROR(VLOOKUP($L323,[3]Consolidated!$C$9:$AC$452,27,0),0)</f>
        <v>7494000</v>
      </c>
      <c r="N323" s="66">
        <f>IFERROR(VLOOKUP($L323,[3]Consolidated!$C$9:$AC$452,5,0),0)</f>
        <v>50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4">
        <f>(VLOOKUP($O$2,Prices!$E$3:$K$17,2,FALSE)*O323)+(VLOOKUP($P$2,Prices!$J$3:$K$17,2,FALSE)*P323)+(VLOOKUP($Q$2,Prices!$J$3:$K$17,2,FALSE)*Q323)+(VLOOKUP($R$2,Prices!$J$3:$K$17,2,FALSE)*R323)+(VLOOKUP($S$2,Prices!$J$3:$K$17,2,FALSE)*S323)+(VLOOKUP($T$2,Prices!$J$3:$K$17,2,FALSE)*T323)+(VLOOKUP($U$2,Prices!$J$3:$K$17,2,FALSE)*U323)+(VLOOKUP($V$2,Prices!$J$3:$K$17,2,FALSE)*V323)+(VLOOKUP($W$2,Prices!$J$3:$K$17,2,FALSE)*W323)+(VLOOKUP($X$2,Prices!$J$3:$K$17,2,FALSE)*X323)+(VLOOKUP($Y$2,Prices!$J$3:$K$17,2,FALSE)*Y323)+(VLOOKUP($Z$2,Prices!$J$3:$K$17,2,FALSE)*Z323)+(VLOOKUP($AA$2,Prices!$J$3:$K$17,2,FALSE)*AA323)+(VLOOKUP($AB$2,Prices!$J$3:$K$17,2,FALSE)*AB323)+M323</f>
        <v>7494000</v>
      </c>
      <c r="AD323" s="18"/>
      <c r="AE323" s="18"/>
      <c r="AF323" s="4">
        <f t="shared" si="27"/>
        <v>0</v>
      </c>
      <c r="AG323" s="4"/>
      <c r="AH323" s="16">
        <f t="shared" si="29"/>
        <v>0</v>
      </c>
      <c r="AI323" s="21">
        <f t="shared" si="28"/>
        <v>0</v>
      </c>
      <c r="AJ323" s="20">
        <f t="shared" si="30"/>
        <v>0</v>
      </c>
      <c r="AK323" s="9"/>
    </row>
    <row r="324" spans="1:37" hidden="1">
      <c r="A324" s="3">
        <v>322</v>
      </c>
      <c r="B324" s="12"/>
      <c r="C324" s="13"/>
      <c r="D324" s="13"/>
      <c r="E324" s="13"/>
      <c r="F324" s="13"/>
      <c r="G324" s="13"/>
      <c r="H324" s="15"/>
      <c r="I324" s="45" t="s">
        <v>841</v>
      </c>
      <c r="J324" s="45" t="s">
        <v>1390</v>
      </c>
      <c r="K324" s="46" t="s">
        <v>671</v>
      </c>
      <c r="L324" s="46" t="s">
        <v>1180</v>
      </c>
      <c r="M324" s="66">
        <f>IFERROR(VLOOKUP($L324,[3]Consolidated!$C$9:$AC$452,27,0),0)</f>
        <v>6114000</v>
      </c>
      <c r="N324" s="66">
        <f>IFERROR(VLOOKUP($L324,[3]Consolidated!$C$9:$AC$452,5,0),0)</f>
        <v>40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4">
        <f>(VLOOKUP($O$2,Prices!$E$3:$K$17,2,FALSE)*O324)+(VLOOKUP($P$2,Prices!$J$3:$K$17,2,FALSE)*P324)+(VLOOKUP($Q$2,Prices!$J$3:$K$17,2,FALSE)*Q324)+(VLOOKUP($R$2,Prices!$J$3:$K$17,2,FALSE)*R324)+(VLOOKUP($S$2,Prices!$J$3:$K$17,2,FALSE)*S324)+(VLOOKUP($T$2,Prices!$J$3:$K$17,2,FALSE)*T324)+(VLOOKUP($U$2,Prices!$J$3:$K$17,2,FALSE)*U324)+(VLOOKUP($V$2,Prices!$J$3:$K$17,2,FALSE)*V324)+(VLOOKUP($W$2,Prices!$J$3:$K$17,2,FALSE)*W324)+(VLOOKUP($X$2,Prices!$J$3:$K$17,2,FALSE)*X324)+(VLOOKUP($Y$2,Prices!$J$3:$K$17,2,FALSE)*Y324)+(VLOOKUP($Z$2,Prices!$J$3:$K$17,2,FALSE)*Z324)+(VLOOKUP($AA$2,Prices!$J$3:$K$17,2,FALSE)*AA324)+(VLOOKUP($AB$2,Prices!$J$3:$K$17,2,FALSE)*AB324)+M324</f>
        <v>6114000</v>
      </c>
      <c r="AD324" s="18"/>
      <c r="AE324" s="18"/>
      <c r="AF324" s="4">
        <f t="shared" ref="AF324:AF387" si="31">AD324-AE324</f>
        <v>0</v>
      </c>
      <c r="AG324" s="4"/>
      <c r="AH324" s="16">
        <f t="shared" si="29"/>
        <v>0</v>
      </c>
      <c r="AI324" s="21">
        <f t="shared" ref="AI324:AI387" si="32">AH324/M324</f>
        <v>0</v>
      </c>
      <c r="AJ324" s="20">
        <f t="shared" si="30"/>
        <v>0</v>
      </c>
      <c r="AK324" s="19"/>
    </row>
    <row r="325" spans="1:37" hidden="1">
      <c r="A325" s="3">
        <v>323</v>
      </c>
      <c r="B325" s="12"/>
      <c r="C325" s="13"/>
      <c r="D325" s="13"/>
      <c r="E325" s="13"/>
      <c r="F325" s="13"/>
      <c r="G325" s="13"/>
      <c r="H325" s="15"/>
      <c r="I325" s="45" t="s">
        <v>1449</v>
      </c>
      <c r="J325" s="45" t="s">
        <v>1390</v>
      </c>
      <c r="K325" s="46" t="s">
        <v>671</v>
      </c>
      <c r="L325" s="47" t="s">
        <v>1179</v>
      </c>
      <c r="M325" s="66">
        <f>IFERROR(VLOOKUP($L325,[3]Consolidated!$C$9:$AC$452,27,0),0)</f>
        <v>4484000</v>
      </c>
      <c r="N325" s="66">
        <f>IFERROR(VLOOKUP($L325,[3]Consolidated!$C$9:$AC$452,5,0),0)</f>
        <v>30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4">
        <f>(VLOOKUP($O$2,Prices!$E$3:$K$17,2,FALSE)*O325)+(VLOOKUP($P$2,Prices!$J$3:$K$17,2,FALSE)*P325)+(VLOOKUP($Q$2,Prices!$J$3:$K$17,2,FALSE)*Q325)+(VLOOKUP($R$2,Prices!$J$3:$K$17,2,FALSE)*R325)+(VLOOKUP($S$2,Prices!$J$3:$K$17,2,FALSE)*S325)+(VLOOKUP($T$2,Prices!$J$3:$K$17,2,FALSE)*T325)+(VLOOKUP($U$2,Prices!$J$3:$K$17,2,FALSE)*U325)+(VLOOKUP($V$2,Prices!$J$3:$K$17,2,FALSE)*V325)+(VLOOKUP($W$2,Prices!$J$3:$K$17,2,FALSE)*W325)+(VLOOKUP($X$2,Prices!$J$3:$K$17,2,FALSE)*X325)+(VLOOKUP($Y$2,Prices!$J$3:$K$17,2,FALSE)*Y325)+(VLOOKUP($Z$2,Prices!$J$3:$K$17,2,FALSE)*Z325)+(VLOOKUP($AA$2,Prices!$J$3:$K$17,2,FALSE)*AA325)+(VLOOKUP($AB$2,Prices!$J$3:$K$17,2,FALSE)*AB325)+M325</f>
        <v>4484000</v>
      </c>
      <c r="AD325" s="18"/>
      <c r="AE325" s="18"/>
      <c r="AF325" s="4">
        <f t="shared" si="31"/>
        <v>0</v>
      </c>
      <c r="AG325" s="4"/>
      <c r="AH325" s="16">
        <f t="shared" ref="AH325:AH387" si="33">AD325+AG325</f>
        <v>0</v>
      </c>
      <c r="AI325" s="21">
        <f t="shared" si="32"/>
        <v>0</v>
      </c>
      <c r="AJ325" s="20">
        <f t="shared" si="30"/>
        <v>0</v>
      </c>
      <c r="AK325" s="9"/>
    </row>
    <row r="326" spans="1:37" hidden="1">
      <c r="A326" s="3">
        <v>324</v>
      </c>
      <c r="B326" s="12"/>
      <c r="C326" s="13"/>
      <c r="D326" s="13"/>
      <c r="E326" s="13"/>
      <c r="F326" s="13"/>
      <c r="G326" s="13"/>
      <c r="H326" s="15"/>
      <c r="I326" s="45" t="s">
        <v>1450</v>
      </c>
      <c r="J326" s="45" t="s">
        <v>1390</v>
      </c>
      <c r="K326" s="46" t="s">
        <v>671</v>
      </c>
      <c r="L326" s="47" t="s">
        <v>1191</v>
      </c>
      <c r="M326" s="66">
        <f>IFERROR(VLOOKUP($L326,[3]Consolidated!$C$9:$AC$452,27,0),0)</f>
        <v>2978000</v>
      </c>
      <c r="N326" s="66">
        <f>IFERROR(VLOOKUP($L326,[3]Consolidated!$C$9:$AC$452,5,0),0)</f>
        <v>20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4">
        <f>(VLOOKUP($O$2,Prices!$E$3:$K$17,2,FALSE)*O326)+(VLOOKUP($P$2,Prices!$J$3:$K$17,2,FALSE)*P326)+(VLOOKUP($Q$2,Prices!$J$3:$K$17,2,FALSE)*Q326)+(VLOOKUP($R$2,Prices!$J$3:$K$17,2,FALSE)*R326)+(VLOOKUP($S$2,Prices!$J$3:$K$17,2,FALSE)*S326)+(VLOOKUP($T$2,Prices!$J$3:$K$17,2,FALSE)*T326)+(VLOOKUP($U$2,Prices!$J$3:$K$17,2,FALSE)*U326)+(VLOOKUP($V$2,Prices!$J$3:$K$17,2,FALSE)*V326)+(VLOOKUP($W$2,Prices!$J$3:$K$17,2,FALSE)*W326)+(VLOOKUP($X$2,Prices!$J$3:$K$17,2,FALSE)*X326)+(VLOOKUP($Y$2,Prices!$J$3:$K$17,2,FALSE)*Y326)+(VLOOKUP($Z$2,Prices!$J$3:$K$17,2,FALSE)*Z326)+(VLOOKUP($AA$2,Prices!$J$3:$K$17,2,FALSE)*AA326)+(VLOOKUP($AB$2,Prices!$J$3:$K$17,2,FALSE)*AB326)+M326</f>
        <v>2978000</v>
      </c>
      <c r="AD326" s="18"/>
      <c r="AE326" s="18"/>
      <c r="AF326" s="4">
        <f t="shared" si="31"/>
        <v>0</v>
      </c>
      <c r="AG326" s="4"/>
      <c r="AH326" s="16">
        <f t="shared" si="33"/>
        <v>0</v>
      </c>
      <c r="AI326" s="21">
        <f t="shared" si="32"/>
        <v>0</v>
      </c>
      <c r="AJ326" s="20">
        <f t="shared" ref="AJ326:AJ388" si="34">AH326/AC326</f>
        <v>0</v>
      </c>
      <c r="AK326" s="9"/>
    </row>
    <row r="327" spans="1:37" hidden="1">
      <c r="A327" s="3">
        <v>325</v>
      </c>
      <c r="B327" s="12"/>
      <c r="C327" s="13"/>
      <c r="D327" s="13"/>
      <c r="E327" s="13"/>
      <c r="F327" s="13"/>
      <c r="G327" s="13"/>
      <c r="H327" s="15"/>
      <c r="I327" s="45" t="s">
        <v>830</v>
      </c>
      <c r="J327" s="45" t="s">
        <v>1390</v>
      </c>
      <c r="K327" s="46" t="s">
        <v>670</v>
      </c>
      <c r="L327" s="47" t="s">
        <v>1164</v>
      </c>
      <c r="M327" s="66">
        <f>IFERROR(VLOOKUP($L327,[3]Consolidated!$C$9:$AC$452,27,0),0)</f>
        <v>4378500</v>
      </c>
      <c r="N327" s="66">
        <f>IFERROR(VLOOKUP($L327,[3]Consolidated!$C$9:$AC$452,5,0),0)</f>
        <v>35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4">
        <f>(VLOOKUP($O$2,Prices!$E$3:$K$17,2,FALSE)*O327)+(VLOOKUP($P$2,Prices!$J$3:$K$17,2,FALSE)*P327)+(VLOOKUP($Q$2,Prices!$J$3:$K$17,2,FALSE)*Q327)+(VLOOKUP($R$2,Prices!$J$3:$K$17,2,FALSE)*R327)+(VLOOKUP($S$2,Prices!$J$3:$K$17,2,FALSE)*S327)+(VLOOKUP($T$2,Prices!$J$3:$K$17,2,FALSE)*T327)+(VLOOKUP($U$2,Prices!$J$3:$K$17,2,FALSE)*U327)+(VLOOKUP($V$2,Prices!$J$3:$K$17,2,FALSE)*V327)+(VLOOKUP($W$2,Prices!$J$3:$K$17,2,FALSE)*W327)+(VLOOKUP($X$2,Prices!$J$3:$K$17,2,FALSE)*X327)+(VLOOKUP($Y$2,Prices!$J$3:$K$17,2,FALSE)*Y327)+(VLOOKUP($Z$2,Prices!$J$3:$K$17,2,FALSE)*Z327)+(VLOOKUP($AA$2,Prices!$J$3:$K$17,2,FALSE)*AA327)+(VLOOKUP($AB$2,Prices!$J$3:$K$17,2,FALSE)*AB327)+M327</f>
        <v>4378500</v>
      </c>
      <c r="AD327" s="18"/>
      <c r="AE327" s="18"/>
      <c r="AF327" s="4">
        <f t="shared" si="31"/>
        <v>0</v>
      </c>
      <c r="AG327" s="4"/>
      <c r="AH327" s="16">
        <f t="shared" si="33"/>
        <v>0</v>
      </c>
      <c r="AI327" s="21">
        <f t="shared" si="32"/>
        <v>0</v>
      </c>
      <c r="AJ327" s="20">
        <f t="shared" si="34"/>
        <v>0</v>
      </c>
      <c r="AK327" s="9"/>
    </row>
    <row r="328" spans="1:37" hidden="1">
      <c r="A328" s="3">
        <v>326</v>
      </c>
      <c r="B328" s="12"/>
      <c r="C328" s="13"/>
      <c r="D328" s="13"/>
      <c r="E328" s="13"/>
      <c r="F328" s="13"/>
      <c r="G328" s="13"/>
      <c r="H328" s="15"/>
      <c r="I328" s="45" t="s">
        <v>828</v>
      </c>
      <c r="J328" s="45" t="s">
        <v>1390</v>
      </c>
      <c r="K328" s="46" t="s">
        <v>669</v>
      </c>
      <c r="L328" s="47" t="s">
        <v>1159</v>
      </c>
      <c r="M328" s="66">
        <f>IFERROR(VLOOKUP($L328,[3]Consolidated!$C$9:$AC$452,27,0),0)</f>
        <v>2381500</v>
      </c>
      <c r="N328" s="66">
        <f>IFERROR(VLOOKUP($L328,[3]Consolidated!$C$9:$AC$452,5,0),0)</f>
        <v>15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4">
        <f>(VLOOKUP($O$2,Prices!$E$3:$K$17,2,FALSE)*O328)+(VLOOKUP($P$2,Prices!$J$3:$K$17,2,FALSE)*P328)+(VLOOKUP($Q$2,Prices!$J$3:$K$17,2,FALSE)*Q328)+(VLOOKUP($R$2,Prices!$J$3:$K$17,2,FALSE)*R328)+(VLOOKUP($S$2,Prices!$J$3:$K$17,2,FALSE)*S328)+(VLOOKUP($T$2,Prices!$J$3:$K$17,2,FALSE)*T328)+(VLOOKUP($U$2,Prices!$J$3:$K$17,2,FALSE)*U328)+(VLOOKUP($V$2,Prices!$J$3:$K$17,2,FALSE)*V328)+(VLOOKUP($W$2,Prices!$J$3:$K$17,2,FALSE)*W328)+(VLOOKUP($X$2,Prices!$J$3:$K$17,2,FALSE)*X328)+(VLOOKUP($Y$2,Prices!$J$3:$K$17,2,FALSE)*Y328)+(VLOOKUP($Z$2,Prices!$J$3:$K$17,2,FALSE)*Z328)+(VLOOKUP($AA$2,Prices!$J$3:$K$17,2,FALSE)*AA328)+(VLOOKUP($AB$2,Prices!$J$3:$K$17,2,FALSE)*AB328)+M328</f>
        <v>2381500</v>
      </c>
      <c r="AD328" s="18"/>
      <c r="AE328" s="18"/>
      <c r="AF328" s="4">
        <f t="shared" si="31"/>
        <v>0</v>
      </c>
      <c r="AG328" s="4"/>
      <c r="AH328" s="16">
        <f t="shared" si="33"/>
        <v>0</v>
      </c>
      <c r="AI328" s="21">
        <f t="shared" si="32"/>
        <v>0</v>
      </c>
      <c r="AJ328" s="20">
        <f t="shared" si="34"/>
        <v>0</v>
      </c>
      <c r="AK328" s="9"/>
    </row>
    <row r="329" spans="1:37" hidden="1">
      <c r="A329" s="3">
        <v>327</v>
      </c>
      <c r="B329" s="12"/>
      <c r="C329" s="13"/>
      <c r="D329" s="13"/>
      <c r="E329" s="13"/>
      <c r="F329" s="13"/>
      <c r="G329" s="13"/>
      <c r="H329" s="15"/>
      <c r="I329" s="45" t="s">
        <v>833</v>
      </c>
      <c r="J329" s="45" t="s">
        <v>1390</v>
      </c>
      <c r="K329" s="46" t="s">
        <v>670</v>
      </c>
      <c r="L329" s="47" t="s">
        <v>1167</v>
      </c>
      <c r="M329" s="66">
        <f>IFERROR(VLOOKUP($L329,[3]Consolidated!$C$9:$AC$452,27,0),0)</f>
        <v>4378500</v>
      </c>
      <c r="N329" s="66">
        <f>IFERROR(VLOOKUP($L329,[3]Consolidated!$C$9:$AC$452,5,0),0)</f>
        <v>35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4">
        <f>(VLOOKUP($O$2,Prices!$E$3:$K$17,2,FALSE)*O329)+(VLOOKUP($P$2,Prices!$J$3:$K$17,2,FALSE)*P329)+(VLOOKUP($Q$2,Prices!$J$3:$K$17,2,FALSE)*Q329)+(VLOOKUP($R$2,Prices!$J$3:$K$17,2,FALSE)*R329)+(VLOOKUP($S$2,Prices!$J$3:$K$17,2,FALSE)*S329)+(VLOOKUP($T$2,Prices!$J$3:$K$17,2,FALSE)*T329)+(VLOOKUP($U$2,Prices!$J$3:$K$17,2,FALSE)*U329)+(VLOOKUP($V$2,Prices!$J$3:$K$17,2,FALSE)*V329)+(VLOOKUP($W$2,Prices!$J$3:$K$17,2,FALSE)*W329)+(VLOOKUP($X$2,Prices!$J$3:$K$17,2,FALSE)*X329)+(VLOOKUP($Y$2,Prices!$J$3:$K$17,2,FALSE)*Y329)+(VLOOKUP($Z$2,Prices!$J$3:$K$17,2,FALSE)*Z329)+(VLOOKUP($AA$2,Prices!$J$3:$K$17,2,FALSE)*AA329)+(VLOOKUP($AB$2,Prices!$J$3:$K$17,2,FALSE)*AB329)+M329</f>
        <v>4378500</v>
      </c>
      <c r="AD329" s="18"/>
      <c r="AE329" s="18"/>
      <c r="AF329" s="4">
        <f t="shared" si="31"/>
        <v>0</v>
      </c>
      <c r="AG329" s="4"/>
      <c r="AH329" s="16">
        <f t="shared" si="33"/>
        <v>0</v>
      </c>
      <c r="AI329" s="21">
        <f t="shared" si="32"/>
        <v>0</v>
      </c>
      <c r="AJ329" s="20">
        <f t="shared" si="34"/>
        <v>0</v>
      </c>
      <c r="AK329" s="9"/>
    </row>
    <row r="330" spans="1:37" hidden="1">
      <c r="A330" s="3">
        <v>328</v>
      </c>
      <c r="B330" s="12"/>
      <c r="C330" s="13"/>
      <c r="D330" s="13"/>
      <c r="E330" s="13"/>
      <c r="F330" s="13"/>
      <c r="G330" s="13"/>
      <c r="H330" s="15"/>
      <c r="I330" s="45" t="s">
        <v>860</v>
      </c>
      <c r="J330" s="45" t="s">
        <v>1390</v>
      </c>
      <c r="K330" s="46" t="s">
        <v>672</v>
      </c>
      <c r="L330" s="47" t="s">
        <v>1204</v>
      </c>
      <c r="M330" s="66">
        <f>IFERROR(VLOOKUP($L330,[3]Consolidated!$C$9:$AC$452,27,0),0)</f>
        <v>1879000</v>
      </c>
      <c r="N330" s="66">
        <f>IFERROR(VLOOKUP($L330,[3]Consolidated!$C$9:$AC$452,5,0),0)</f>
        <v>10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4">
        <f>(VLOOKUP($O$2,Prices!$E$3:$K$17,2,FALSE)*O330)+(VLOOKUP($P$2,Prices!$J$3:$K$17,2,FALSE)*P330)+(VLOOKUP($Q$2,Prices!$J$3:$K$17,2,FALSE)*Q330)+(VLOOKUP($R$2,Prices!$J$3:$K$17,2,FALSE)*R330)+(VLOOKUP($S$2,Prices!$J$3:$K$17,2,FALSE)*S330)+(VLOOKUP($T$2,Prices!$J$3:$K$17,2,FALSE)*T330)+(VLOOKUP($U$2,Prices!$J$3:$K$17,2,FALSE)*U330)+(VLOOKUP($V$2,Prices!$J$3:$K$17,2,FALSE)*V330)+(VLOOKUP($W$2,Prices!$J$3:$K$17,2,FALSE)*W330)+(VLOOKUP($X$2,Prices!$J$3:$K$17,2,FALSE)*X330)+(VLOOKUP($Y$2,Prices!$J$3:$K$17,2,FALSE)*Y330)+(VLOOKUP($Z$2,Prices!$J$3:$K$17,2,FALSE)*Z330)+(VLOOKUP($AA$2,Prices!$J$3:$K$17,2,FALSE)*AA330)+(VLOOKUP($AB$2,Prices!$J$3:$K$17,2,FALSE)*AB330)+M330</f>
        <v>1879000</v>
      </c>
      <c r="AD330" s="18"/>
      <c r="AE330" s="18"/>
      <c r="AF330" s="4">
        <f t="shared" si="31"/>
        <v>0</v>
      </c>
      <c r="AG330" s="4"/>
      <c r="AH330" s="16">
        <f t="shared" si="33"/>
        <v>0</v>
      </c>
      <c r="AI330" s="21">
        <f t="shared" si="32"/>
        <v>0</v>
      </c>
      <c r="AJ330" s="20">
        <f t="shared" si="34"/>
        <v>0</v>
      </c>
      <c r="AK330" s="9"/>
    </row>
    <row r="331" spans="1:37" hidden="1">
      <c r="A331" s="3">
        <v>329</v>
      </c>
      <c r="B331" s="12"/>
      <c r="C331" s="13"/>
      <c r="D331" s="13"/>
      <c r="E331" s="13"/>
      <c r="F331" s="13"/>
      <c r="G331" s="13"/>
      <c r="H331" s="15"/>
      <c r="I331" s="45" t="s">
        <v>859</v>
      </c>
      <c r="J331" s="45" t="s">
        <v>1390</v>
      </c>
      <c r="K331" s="46" t="s">
        <v>672</v>
      </c>
      <c r="L331" s="47" t="s">
        <v>1203</v>
      </c>
      <c r="M331" s="66">
        <f>IFERROR(VLOOKUP($L331,[3]Consolidated!$C$9:$AC$452,27,0),0)</f>
        <v>6087500</v>
      </c>
      <c r="N331" s="66">
        <f>IFERROR(VLOOKUP($L331,[3]Consolidated!$C$9:$AC$452,5,0),0)</f>
        <v>35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4">
        <f>(VLOOKUP($O$2,Prices!$E$3:$K$17,2,FALSE)*O331)+(VLOOKUP($P$2,Prices!$J$3:$K$17,2,FALSE)*P331)+(VLOOKUP($Q$2,Prices!$J$3:$K$17,2,FALSE)*Q331)+(VLOOKUP($R$2,Prices!$J$3:$K$17,2,FALSE)*R331)+(VLOOKUP($S$2,Prices!$J$3:$K$17,2,FALSE)*S331)+(VLOOKUP($T$2,Prices!$J$3:$K$17,2,FALSE)*T331)+(VLOOKUP($U$2,Prices!$J$3:$K$17,2,FALSE)*U331)+(VLOOKUP($V$2,Prices!$J$3:$K$17,2,FALSE)*V331)+(VLOOKUP($W$2,Prices!$J$3:$K$17,2,FALSE)*W331)+(VLOOKUP($X$2,Prices!$J$3:$K$17,2,FALSE)*X331)+(VLOOKUP($Y$2,Prices!$J$3:$K$17,2,FALSE)*Y331)+(VLOOKUP($Z$2,Prices!$J$3:$K$17,2,FALSE)*Z331)+(VLOOKUP($AA$2,Prices!$J$3:$K$17,2,FALSE)*AA331)+(VLOOKUP($AB$2,Prices!$J$3:$K$17,2,FALSE)*AB331)+M331</f>
        <v>6087500</v>
      </c>
      <c r="AD331" s="18"/>
      <c r="AE331" s="18"/>
      <c r="AF331" s="4">
        <f t="shared" si="31"/>
        <v>0</v>
      </c>
      <c r="AG331" s="4"/>
      <c r="AH331" s="16">
        <f t="shared" si="33"/>
        <v>0</v>
      </c>
      <c r="AI331" s="21">
        <f t="shared" si="32"/>
        <v>0</v>
      </c>
      <c r="AJ331" s="20">
        <f t="shared" si="34"/>
        <v>0</v>
      </c>
      <c r="AK331" s="9"/>
    </row>
    <row r="332" spans="1:37" hidden="1">
      <c r="A332" s="3">
        <v>330</v>
      </c>
      <c r="B332" s="12"/>
      <c r="C332" s="13"/>
      <c r="D332" s="13"/>
      <c r="E332" s="13"/>
      <c r="F332" s="13"/>
      <c r="G332" s="13"/>
      <c r="H332" s="15"/>
      <c r="I332" s="45" t="s">
        <v>855</v>
      </c>
      <c r="J332" s="45" t="s">
        <v>1390</v>
      </c>
      <c r="K332" s="46" t="s">
        <v>672</v>
      </c>
      <c r="L332" s="47" t="s">
        <v>1199</v>
      </c>
      <c r="M332" s="66">
        <f>IFERROR(VLOOKUP($L332,[3]Consolidated!$C$9:$AC$452,27,0),0)</f>
        <v>6087500</v>
      </c>
      <c r="N332" s="66">
        <f>IFERROR(VLOOKUP($L332,[3]Consolidated!$C$9:$AC$452,5,0),0)</f>
        <v>35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4">
        <f>(VLOOKUP($O$2,Prices!$E$3:$K$17,2,FALSE)*O332)+(VLOOKUP($P$2,Prices!$J$3:$K$17,2,FALSE)*P332)+(VLOOKUP($Q$2,Prices!$J$3:$K$17,2,FALSE)*Q332)+(VLOOKUP($R$2,Prices!$J$3:$K$17,2,FALSE)*R332)+(VLOOKUP($S$2,Prices!$J$3:$K$17,2,FALSE)*S332)+(VLOOKUP($T$2,Prices!$J$3:$K$17,2,FALSE)*T332)+(VLOOKUP($U$2,Prices!$J$3:$K$17,2,FALSE)*U332)+(VLOOKUP($V$2,Prices!$J$3:$K$17,2,FALSE)*V332)+(VLOOKUP($W$2,Prices!$J$3:$K$17,2,FALSE)*W332)+(VLOOKUP($X$2,Prices!$J$3:$K$17,2,FALSE)*X332)+(VLOOKUP($Y$2,Prices!$J$3:$K$17,2,FALSE)*Y332)+(VLOOKUP($Z$2,Prices!$J$3:$K$17,2,FALSE)*Z332)+(VLOOKUP($AA$2,Prices!$J$3:$K$17,2,FALSE)*AA332)+(VLOOKUP($AB$2,Prices!$J$3:$K$17,2,FALSE)*AB332)+M332</f>
        <v>6087500</v>
      </c>
      <c r="AD332" s="18"/>
      <c r="AE332" s="18"/>
      <c r="AF332" s="4">
        <f t="shared" si="31"/>
        <v>0</v>
      </c>
      <c r="AG332" s="4"/>
      <c r="AH332" s="16">
        <f t="shared" si="33"/>
        <v>0</v>
      </c>
      <c r="AI332" s="21">
        <f t="shared" si="32"/>
        <v>0</v>
      </c>
      <c r="AJ332" s="20">
        <f t="shared" si="34"/>
        <v>0</v>
      </c>
      <c r="AK332" s="9"/>
    </row>
    <row r="333" spans="1:37" hidden="1">
      <c r="A333" s="3">
        <v>331</v>
      </c>
      <c r="B333" s="12"/>
      <c r="C333" s="13"/>
      <c r="D333" s="13"/>
      <c r="E333" s="13"/>
      <c r="F333" s="13"/>
      <c r="G333" s="13"/>
      <c r="H333" s="15"/>
      <c r="I333" s="45" t="s">
        <v>821</v>
      </c>
      <c r="J333" s="45" t="s">
        <v>1390</v>
      </c>
      <c r="K333" s="46" t="s">
        <v>669</v>
      </c>
      <c r="L333" s="47" t="s">
        <v>1152</v>
      </c>
      <c r="M333" s="66">
        <f>IFERROR(VLOOKUP($L333,[3]Consolidated!$C$9:$AC$452,27,0),0)</f>
        <v>6132500</v>
      </c>
      <c r="N333" s="66">
        <f>IFERROR(VLOOKUP($L333,[3]Consolidated!$C$9:$AC$452,5,0),0)</f>
        <v>35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4">
        <f>(VLOOKUP($O$2,Prices!$E$3:$K$17,2,FALSE)*O333)+(VLOOKUP($P$2,Prices!$J$3:$K$17,2,FALSE)*P333)+(VLOOKUP($Q$2,Prices!$J$3:$K$17,2,FALSE)*Q333)+(VLOOKUP($R$2,Prices!$J$3:$K$17,2,FALSE)*R333)+(VLOOKUP($S$2,Prices!$J$3:$K$17,2,FALSE)*S333)+(VLOOKUP($T$2,Prices!$J$3:$K$17,2,FALSE)*T333)+(VLOOKUP($U$2,Prices!$J$3:$K$17,2,FALSE)*U333)+(VLOOKUP($V$2,Prices!$J$3:$K$17,2,FALSE)*V333)+(VLOOKUP($W$2,Prices!$J$3:$K$17,2,FALSE)*W333)+(VLOOKUP($X$2,Prices!$J$3:$K$17,2,FALSE)*X333)+(VLOOKUP($Y$2,Prices!$J$3:$K$17,2,FALSE)*Y333)+(VLOOKUP($Z$2,Prices!$J$3:$K$17,2,FALSE)*Z333)+(VLOOKUP($AA$2,Prices!$J$3:$K$17,2,FALSE)*AA333)+(VLOOKUP($AB$2,Prices!$J$3:$K$17,2,FALSE)*AB333)+M333</f>
        <v>6132500</v>
      </c>
      <c r="AD333" s="18"/>
      <c r="AE333" s="18"/>
      <c r="AF333" s="4">
        <f t="shared" si="31"/>
        <v>0</v>
      </c>
      <c r="AG333" s="4"/>
      <c r="AH333" s="16">
        <f t="shared" si="33"/>
        <v>0</v>
      </c>
      <c r="AI333" s="21">
        <f t="shared" si="32"/>
        <v>0</v>
      </c>
      <c r="AJ333" s="20">
        <f t="shared" si="34"/>
        <v>0</v>
      </c>
      <c r="AK333" s="19"/>
    </row>
    <row r="334" spans="1:37" hidden="1">
      <c r="A334" s="3">
        <v>332</v>
      </c>
      <c r="B334" s="12"/>
      <c r="C334" s="13"/>
      <c r="D334" s="13"/>
      <c r="E334" s="13"/>
      <c r="F334" s="13"/>
      <c r="G334" s="13"/>
      <c r="H334" s="15"/>
      <c r="I334" s="45" t="s">
        <v>820</v>
      </c>
      <c r="J334" s="45" t="s">
        <v>1390</v>
      </c>
      <c r="K334" s="46" t="s">
        <v>669</v>
      </c>
      <c r="L334" s="47" t="s">
        <v>1151</v>
      </c>
      <c r="M334" s="66">
        <f>IFERROR(VLOOKUP($L334,[3]Consolidated!$C$9:$AC$452,27,0),0)</f>
        <v>6132500</v>
      </c>
      <c r="N334" s="66">
        <f>IFERROR(VLOOKUP($L334,[3]Consolidated!$C$9:$AC$452,5,0),0)</f>
        <v>35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4">
        <f>(VLOOKUP($O$2,Prices!$E$3:$K$17,2,FALSE)*O334)+(VLOOKUP($P$2,Prices!$J$3:$K$17,2,FALSE)*P334)+(VLOOKUP($Q$2,Prices!$J$3:$K$17,2,FALSE)*Q334)+(VLOOKUP($R$2,Prices!$J$3:$K$17,2,FALSE)*R334)+(VLOOKUP($S$2,Prices!$J$3:$K$17,2,FALSE)*S334)+(VLOOKUP($T$2,Prices!$J$3:$K$17,2,FALSE)*T334)+(VLOOKUP($U$2,Prices!$J$3:$K$17,2,FALSE)*U334)+(VLOOKUP($V$2,Prices!$J$3:$K$17,2,FALSE)*V334)+(VLOOKUP($W$2,Prices!$J$3:$K$17,2,FALSE)*W334)+(VLOOKUP($X$2,Prices!$J$3:$K$17,2,FALSE)*X334)+(VLOOKUP($Y$2,Prices!$J$3:$K$17,2,FALSE)*Y334)+(VLOOKUP($Z$2,Prices!$J$3:$K$17,2,FALSE)*Z334)+(VLOOKUP($AA$2,Prices!$J$3:$K$17,2,FALSE)*AA334)+(VLOOKUP($AB$2,Prices!$J$3:$K$17,2,FALSE)*AB334)+M334</f>
        <v>6132500</v>
      </c>
      <c r="AD334" s="18"/>
      <c r="AE334" s="18"/>
      <c r="AF334" s="4">
        <f t="shared" si="31"/>
        <v>0</v>
      </c>
      <c r="AG334" s="4"/>
      <c r="AH334" s="16">
        <f t="shared" si="33"/>
        <v>0</v>
      </c>
      <c r="AI334" s="21">
        <f t="shared" si="32"/>
        <v>0</v>
      </c>
      <c r="AJ334" s="20">
        <f t="shared" si="34"/>
        <v>0</v>
      </c>
      <c r="AK334" s="9"/>
    </row>
    <row r="335" spans="1:37" hidden="1">
      <c r="A335" s="3">
        <v>333</v>
      </c>
      <c r="B335" s="12"/>
      <c r="C335" s="13"/>
      <c r="D335" s="13"/>
      <c r="E335" s="13"/>
      <c r="F335" s="13"/>
      <c r="G335" s="13"/>
      <c r="H335" s="15"/>
      <c r="I335" s="45" t="s">
        <v>819</v>
      </c>
      <c r="J335" s="45" t="s">
        <v>1390</v>
      </c>
      <c r="K335" s="46" t="s">
        <v>669</v>
      </c>
      <c r="L335" s="47" t="s">
        <v>1150</v>
      </c>
      <c r="M335" s="66">
        <f>IFERROR(VLOOKUP($L335,[3]Consolidated!$C$9:$AC$452,27,0),0)</f>
        <v>6132500</v>
      </c>
      <c r="N335" s="66">
        <f>IFERROR(VLOOKUP($L335,[3]Consolidated!$C$9:$AC$452,5,0),0)</f>
        <v>35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4">
        <f>(VLOOKUP($O$2,Prices!$E$3:$K$17,2,FALSE)*O335)+(VLOOKUP($P$2,Prices!$J$3:$K$17,2,FALSE)*P335)+(VLOOKUP($Q$2,Prices!$J$3:$K$17,2,FALSE)*Q335)+(VLOOKUP($R$2,Prices!$J$3:$K$17,2,FALSE)*R335)+(VLOOKUP($S$2,Prices!$J$3:$K$17,2,FALSE)*S335)+(VLOOKUP($T$2,Prices!$J$3:$K$17,2,FALSE)*T335)+(VLOOKUP($U$2,Prices!$J$3:$K$17,2,FALSE)*U335)+(VLOOKUP($V$2,Prices!$J$3:$K$17,2,FALSE)*V335)+(VLOOKUP($W$2,Prices!$J$3:$K$17,2,FALSE)*W335)+(VLOOKUP($X$2,Prices!$J$3:$K$17,2,FALSE)*X335)+(VLOOKUP($Y$2,Prices!$J$3:$K$17,2,FALSE)*Y335)+(VLOOKUP($Z$2,Prices!$J$3:$K$17,2,FALSE)*Z335)+(VLOOKUP($AA$2,Prices!$J$3:$K$17,2,FALSE)*AA335)+(VLOOKUP($AB$2,Prices!$J$3:$K$17,2,FALSE)*AB335)+M335</f>
        <v>6132500</v>
      </c>
      <c r="AD335" s="18"/>
      <c r="AE335" s="18"/>
      <c r="AF335" s="4">
        <f t="shared" si="31"/>
        <v>0</v>
      </c>
      <c r="AG335" s="4"/>
      <c r="AH335" s="16">
        <f t="shared" si="33"/>
        <v>0</v>
      </c>
      <c r="AI335" s="21">
        <f t="shared" si="32"/>
        <v>0</v>
      </c>
      <c r="AJ335" s="20">
        <f t="shared" si="34"/>
        <v>0</v>
      </c>
      <c r="AK335" s="9"/>
    </row>
    <row r="336" spans="1:37" hidden="1">
      <c r="A336" s="3">
        <v>334</v>
      </c>
      <c r="B336" s="12"/>
      <c r="C336" s="13"/>
      <c r="D336" s="13"/>
      <c r="E336" s="13"/>
      <c r="F336" s="13"/>
      <c r="G336" s="13"/>
      <c r="H336" s="15"/>
      <c r="I336" s="45" t="s">
        <v>835</v>
      </c>
      <c r="J336" s="45" t="s">
        <v>1390</v>
      </c>
      <c r="K336" s="46" t="s">
        <v>670</v>
      </c>
      <c r="L336" s="47" t="s">
        <v>1169</v>
      </c>
      <c r="M336" s="66">
        <f>IFERROR(VLOOKUP($L336,[3]Consolidated!$C$9:$AC$452,27,0),0)</f>
        <v>1885000</v>
      </c>
      <c r="N336" s="66">
        <f>IFERROR(VLOOKUP($L336,[3]Consolidated!$C$9:$AC$452,5,0),0)</f>
        <v>10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4">
        <f>(VLOOKUP($O$2,Prices!$E$3:$K$17,2,FALSE)*O336)+(VLOOKUP($P$2,Prices!$J$3:$K$17,2,FALSE)*P336)+(VLOOKUP($Q$2,Prices!$J$3:$K$17,2,FALSE)*Q336)+(VLOOKUP($R$2,Prices!$J$3:$K$17,2,FALSE)*R336)+(VLOOKUP($S$2,Prices!$J$3:$K$17,2,FALSE)*S336)+(VLOOKUP($T$2,Prices!$J$3:$K$17,2,FALSE)*T336)+(VLOOKUP($U$2,Prices!$J$3:$K$17,2,FALSE)*U336)+(VLOOKUP($V$2,Prices!$J$3:$K$17,2,FALSE)*V336)+(VLOOKUP($W$2,Prices!$J$3:$K$17,2,FALSE)*W336)+(VLOOKUP($X$2,Prices!$J$3:$K$17,2,FALSE)*X336)+(VLOOKUP($Y$2,Prices!$J$3:$K$17,2,FALSE)*Y336)+(VLOOKUP($Z$2,Prices!$J$3:$K$17,2,FALSE)*Z336)+(VLOOKUP($AA$2,Prices!$J$3:$K$17,2,FALSE)*AA336)+(VLOOKUP($AB$2,Prices!$J$3:$K$17,2,FALSE)*AB336)+M336</f>
        <v>1885000</v>
      </c>
      <c r="AD336" s="18"/>
      <c r="AE336" s="18"/>
      <c r="AF336" s="4">
        <f t="shared" si="31"/>
        <v>0</v>
      </c>
      <c r="AG336" s="4"/>
      <c r="AH336" s="16">
        <f t="shared" si="33"/>
        <v>0</v>
      </c>
      <c r="AI336" s="21">
        <f t="shared" si="32"/>
        <v>0</v>
      </c>
      <c r="AJ336" s="20">
        <f t="shared" si="34"/>
        <v>0</v>
      </c>
      <c r="AK336" s="9"/>
    </row>
    <row r="337" spans="1:37" hidden="1">
      <c r="A337" s="3">
        <v>335</v>
      </c>
      <c r="B337" s="12"/>
      <c r="C337" s="13"/>
      <c r="D337" s="13"/>
      <c r="E337" s="13"/>
      <c r="F337" s="13"/>
      <c r="G337" s="13"/>
      <c r="H337" s="15"/>
      <c r="I337" s="45" t="s">
        <v>858</v>
      </c>
      <c r="J337" s="45" t="s">
        <v>1390</v>
      </c>
      <c r="K337" s="46" t="s">
        <v>672</v>
      </c>
      <c r="L337" s="47" t="s">
        <v>1202</v>
      </c>
      <c r="M337" s="66">
        <f>IFERROR(VLOOKUP($L337,[3]Consolidated!$C$9:$AC$452,27,0),0)</f>
        <v>1879000</v>
      </c>
      <c r="N337" s="66">
        <f>IFERROR(VLOOKUP($L337,[3]Consolidated!$C$9:$AC$452,5,0),0)</f>
        <v>10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4">
        <f>(VLOOKUP($O$2,Prices!$E$3:$K$17,2,FALSE)*O337)+(VLOOKUP($P$2,Prices!$J$3:$K$17,2,FALSE)*P337)+(VLOOKUP($Q$2,Prices!$J$3:$K$17,2,FALSE)*Q337)+(VLOOKUP($R$2,Prices!$J$3:$K$17,2,FALSE)*R337)+(VLOOKUP($S$2,Prices!$J$3:$K$17,2,FALSE)*S337)+(VLOOKUP($T$2,Prices!$J$3:$K$17,2,FALSE)*T337)+(VLOOKUP($U$2,Prices!$J$3:$K$17,2,FALSE)*U337)+(VLOOKUP($V$2,Prices!$J$3:$K$17,2,FALSE)*V337)+(VLOOKUP($W$2,Prices!$J$3:$K$17,2,FALSE)*W337)+(VLOOKUP($X$2,Prices!$J$3:$K$17,2,FALSE)*X337)+(VLOOKUP($Y$2,Prices!$J$3:$K$17,2,FALSE)*Y337)+(VLOOKUP($Z$2,Prices!$J$3:$K$17,2,FALSE)*Z337)+(VLOOKUP($AA$2,Prices!$J$3:$K$17,2,FALSE)*AA337)+(VLOOKUP($AB$2,Prices!$J$3:$K$17,2,FALSE)*AB337)+M337</f>
        <v>1879000</v>
      </c>
      <c r="AD337" s="18"/>
      <c r="AE337" s="18"/>
      <c r="AF337" s="4">
        <f t="shared" si="31"/>
        <v>0</v>
      </c>
      <c r="AG337" s="4"/>
      <c r="AH337" s="16">
        <f t="shared" si="33"/>
        <v>0</v>
      </c>
      <c r="AI337" s="21">
        <f t="shared" si="32"/>
        <v>0</v>
      </c>
      <c r="AJ337" s="20">
        <f t="shared" si="34"/>
        <v>0</v>
      </c>
      <c r="AK337" s="9"/>
    </row>
    <row r="338" spans="1:37" hidden="1">
      <c r="A338" s="3">
        <v>336</v>
      </c>
      <c r="B338" s="12"/>
      <c r="C338" s="13"/>
      <c r="D338" s="13"/>
      <c r="E338" s="13"/>
      <c r="F338" s="13"/>
      <c r="G338" s="13"/>
      <c r="H338" s="15"/>
      <c r="I338" s="45" t="s">
        <v>854</v>
      </c>
      <c r="J338" s="45" t="s">
        <v>1390</v>
      </c>
      <c r="K338" s="46" t="s">
        <v>672</v>
      </c>
      <c r="L338" s="47" t="s">
        <v>1198</v>
      </c>
      <c r="M338" s="66">
        <f>IFERROR(VLOOKUP($L338,[3]Consolidated!$C$9:$AC$452,27,0),0)</f>
        <v>6087500</v>
      </c>
      <c r="N338" s="66">
        <f>IFERROR(VLOOKUP($L338,[3]Consolidated!$C$9:$AC$452,5,0),0)</f>
        <v>35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4">
        <f>(VLOOKUP($O$2,Prices!$E$3:$K$17,2,FALSE)*O338)+(VLOOKUP($P$2,Prices!$J$3:$K$17,2,FALSE)*P338)+(VLOOKUP($Q$2,Prices!$J$3:$K$17,2,FALSE)*Q338)+(VLOOKUP($R$2,Prices!$J$3:$K$17,2,FALSE)*R338)+(VLOOKUP($S$2,Prices!$J$3:$K$17,2,FALSE)*S338)+(VLOOKUP($T$2,Prices!$J$3:$K$17,2,FALSE)*T338)+(VLOOKUP($U$2,Prices!$J$3:$K$17,2,FALSE)*U338)+(VLOOKUP($V$2,Prices!$J$3:$K$17,2,FALSE)*V338)+(VLOOKUP($W$2,Prices!$J$3:$K$17,2,FALSE)*W338)+(VLOOKUP($X$2,Prices!$J$3:$K$17,2,FALSE)*X338)+(VLOOKUP($Y$2,Prices!$J$3:$K$17,2,FALSE)*Y338)+(VLOOKUP($Z$2,Prices!$J$3:$K$17,2,FALSE)*Z338)+(VLOOKUP($AA$2,Prices!$J$3:$K$17,2,FALSE)*AA338)+(VLOOKUP($AB$2,Prices!$J$3:$K$17,2,FALSE)*AB338)+M338</f>
        <v>6087500</v>
      </c>
      <c r="AD338" s="18"/>
      <c r="AE338" s="18"/>
      <c r="AF338" s="4">
        <f t="shared" si="31"/>
        <v>0</v>
      </c>
      <c r="AG338" s="4"/>
      <c r="AH338" s="16">
        <f t="shared" si="33"/>
        <v>0</v>
      </c>
      <c r="AI338" s="21">
        <f t="shared" si="32"/>
        <v>0</v>
      </c>
      <c r="AJ338" s="20">
        <f t="shared" si="34"/>
        <v>0</v>
      </c>
      <c r="AK338" s="9"/>
    </row>
    <row r="339" spans="1:37" hidden="1">
      <c r="A339" s="3">
        <v>337</v>
      </c>
      <c r="B339" s="12"/>
      <c r="C339" s="13"/>
      <c r="D339" s="13"/>
      <c r="E339" s="13"/>
      <c r="F339" s="13"/>
      <c r="G339" s="13"/>
      <c r="H339" s="15"/>
      <c r="I339" s="45" t="s">
        <v>824</v>
      </c>
      <c r="J339" s="45" t="s">
        <v>1390</v>
      </c>
      <c r="K339" s="46" t="s">
        <v>669</v>
      </c>
      <c r="L339" s="47" t="s">
        <v>1155</v>
      </c>
      <c r="M339" s="66">
        <f>IFERROR(VLOOKUP($L339,[3]Consolidated!$C$9:$AC$452,27,0),0)</f>
        <v>6381000</v>
      </c>
      <c r="N339" s="66">
        <f>IFERROR(VLOOKUP($L339,[3]Consolidated!$C$9:$AC$452,5,0),0)</f>
        <v>40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4">
        <f>(VLOOKUP($O$2,Prices!$E$3:$K$17,2,FALSE)*O339)+(VLOOKUP($P$2,Prices!$J$3:$K$17,2,FALSE)*P339)+(VLOOKUP($Q$2,Prices!$J$3:$K$17,2,FALSE)*Q339)+(VLOOKUP($R$2,Prices!$J$3:$K$17,2,FALSE)*R339)+(VLOOKUP($S$2,Prices!$J$3:$K$17,2,FALSE)*S339)+(VLOOKUP($T$2,Prices!$J$3:$K$17,2,FALSE)*T339)+(VLOOKUP($U$2,Prices!$J$3:$K$17,2,FALSE)*U339)+(VLOOKUP($V$2,Prices!$J$3:$K$17,2,FALSE)*V339)+(VLOOKUP($W$2,Prices!$J$3:$K$17,2,FALSE)*W339)+(VLOOKUP($X$2,Prices!$J$3:$K$17,2,FALSE)*X339)+(VLOOKUP($Y$2,Prices!$J$3:$K$17,2,FALSE)*Y339)+(VLOOKUP($Z$2,Prices!$J$3:$K$17,2,FALSE)*Z339)+(VLOOKUP($AA$2,Prices!$J$3:$K$17,2,FALSE)*AA339)+(VLOOKUP($AB$2,Prices!$J$3:$K$17,2,FALSE)*AB339)+M339</f>
        <v>6381000</v>
      </c>
      <c r="AD339" s="18"/>
      <c r="AE339" s="18"/>
      <c r="AF339" s="4">
        <f t="shared" si="31"/>
        <v>0</v>
      </c>
      <c r="AG339" s="4"/>
      <c r="AH339" s="16">
        <f t="shared" si="33"/>
        <v>0</v>
      </c>
      <c r="AI339" s="21">
        <f t="shared" si="32"/>
        <v>0</v>
      </c>
      <c r="AJ339" s="20">
        <f t="shared" si="34"/>
        <v>0</v>
      </c>
      <c r="AK339" s="9"/>
    </row>
    <row r="340" spans="1:37" hidden="1">
      <c r="A340" s="3">
        <v>338</v>
      </c>
      <c r="B340" s="12"/>
      <c r="C340" s="13"/>
      <c r="D340" s="13"/>
      <c r="E340" s="13"/>
      <c r="F340" s="13"/>
      <c r="G340" s="13"/>
      <c r="H340" s="15"/>
      <c r="I340" s="45" t="s">
        <v>832</v>
      </c>
      <c r="J340" s="45" t="s">
        <v>1390</v>
      </c>
      <c r="K340" s="46" t="s">
        <v>670</v>
      </c>
      <c r="L340" s="47" t="s">
        <v>1166</v>
      </c>
      <c r="M340" s="66">
        <f>IFERROR(VLOOKUP($L340,[3]Consolidated!$C$9:$AC$452,27,0),0)</f>
        <v>4378500</v>
      </c>
      <c r="N340" s="66">
        <f>IFERROR(VLOOKUP($L340,[3]Consolidated!$C$9:$AC$452,5,0),0)</f>
        <v>35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4">
        <f>(VLOOKUP($O$2,Prices!$E$3:$K$17,2,FALSE)*O340)+(VLOOKUP($P$2,Prices!$J$3:$K$17,2,FALSE)*P340)+(VLOOKUP($Q$2,Prices!$J$3:$K$17,2,FALSE)*Q340)+(VLOOKUP($R$2,Prices!$J$3:$K$17,2,FALSE)*R340)+(VLOOKUP($S$2,Prices!$J$3:$K$17,2,FALSE)*S340)+(VLOOKUP($T$2,Prices!$J$3:$K$17,2,FALSE)*T340)+(VLOOKUP($U$2,Prices!$J$3:$K$17,2,FALSE)*U340)+(VLOOKUP($V$2,Prices!$J$3:$K$17,2,FALSE)*V340)+(VLOOKUP($W$2,Prices!$J$3:$K$17,2,FALSE)*W340)+(VLOOKUP($X$2,Prices!$J$3:$K$17,2,FALSE)*X340)+(VLOOKUP($Y$2,Prices!$J$3:$K$17,2,FALSE)*Y340)+(VLOOKUP($Z$2,Prices!$J$3:$K$17,2,FALSE)*Z340)+(VLOOKUP($AA$2,Prices!$J$3:$K$17,2,FALSE)*AA340)+(VLOOKUP($AB$2,Prices!$J$3:$K$17,2,FALSE)*AB340)+M340</f>
        <v>4378500</v>
      </c>
      <c r="AD340" s="18"/>
      <c r="AE340" s="18"/>
      <c r="AF340" s="4">
        <f t="shared" si="31"/>
        <v>0</v>
      </c>
      <c r="AG340" s="4"/>
      <c r="AH340" s="16">
        <f t="shared" si="33"/>
        <v>0</v>
      </c>
      <c r="AI340" s="21">
        <f t="shared" si="32"/>
        <v>0</v>
      </c>
      <c r="AJ340" s="20">
        <f t="shared" si="34"/>
        <v>0</v>
      </c>
      <c r="AK340" s="9"/>
    </row>
    <row r="341" spans="1:37" hidden="1">
      <c r="A341" s="3">
        <v>339</v>
      </c>
      <c r="B341" s="12"/>
      <c r="C341" s="13"/>
      <c r="D341" s="13"/>
      <c r="E341" s="13"/>
      <c r="F341" s="13"/>
      <c r="G341" s="13"/>
      <c r="H341" s="15"/>
      <c r="I341" s="45" t="s">
        <v>849</v>
      </c>
      <c r="J341" s="45" t="s">
        <v>1390</v>
      </c>
      <c r="K341" s="46" t="s">
        <v>671</v>
      </c>
      <c r="L341" s="47" t="s">
        <v>1188</v>
      </c>
      <c r="M341" s="66">
        <f>IFERROR(VLOOKUP($L341,[3]Consolidated!$C$9:$AC$452,27,0),0)</f>
        <v>5918000</v>
      </c>
      <c r="N341" s="66">
        <f>IFERROR(VLOOKUP($L341,[3]Consolidated!$C$9:$AC$452,5,0),0)</f>
        <v>40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4">
        <f>(VLOOKUP($O$2,Prices!$E$3:$K$17,2,FALSE)*O341)+(VLOOKUP($P$2,Prices!$J$3:$K$17,2,FALSE)*P341)+(VLOOKUP($Q$2,Prices!$J$3:$K$17,2,FALSE)*Q341)+(VLOOKUP($R$2,Prices!$J$3:$K$17,2,FALSE)*R341)+(VLOOKUP($S$2,Prices!$J$3:$K$17,2,FALSE)*S341)+(VLOOKUP($T$2,Prices!$J$3:$K$17,2,FALSE)*T341)+(VLOOKUP($U$2,Prices!$J$3:$K$17,2,FALSE)*U341)+(VLOOKUP($V$2,Prices!$J$3:$K$17,2,FALSE)*V341)+(VLOOKUP($W$2,Prices!$J$3:$K$17,2,FALSE)*W341)+(VLOOKUP($X$2,Prices!$J$3:$K$17,2,FALSE)*X341)+(VLOOKUP($Y$2,Prices!$J$3:$K$17,2,FALSE)*Y341)+(VLOOKUP($Z$2,Prices!$J$3:$K$17,2,FALSE)*Z341)+(VLOOKUP($AA$2,Prices!$J$3:$K$17,2,FALSE)*AA341)+(VLOOKUP($AB$2,Prices!$J$3:$K$17,2,FALSE)*AB341)+M341</f>
        <v>5918000</v>
      </c>
      <c r="AD341" s="18"/>
      <c r="AE341" s="18"/>
      <c r="AF341" s="4">
        <f t="shared" si="31"/>
        <v>0</v>
      </c>
      <c r="AG341" s="4"/>
      <c r="AH341" s="16">
        <f t="shared" si="33"/>
        <v>0</v>
      </c>
      <c r="AI341" s="21">
        <f t="shared" si="32"/>
        <v>0</v>
      </c>
      <c r="AJ341" s="20">
        <f t="shared" si="34"/>
        <v>0</v>
      </c>
      <c r="AK341" s="9"/>
    </row>
    <row r="342" spans="1:37" hidden="1">
      <c r="A342" s="3">
        <v>340</v>
      </c>
      <c r="B342" s="12"/>
      <c r="C342" s="13"/>
      <c r="D342" s="13"/>
      <c r="E342" s="13"/>
      <c r="F342" s="13"/>
      <c r="G342" s="13"/>
      <c r="H342" s="15"/>
      <c r="I342" s="45" t="s">
        <v>857</v>
      </c>
      <c r="J342" s="45" t="s">
        <v>1390</v>
      </c>
      <c r="K342" s="46" t="s">
        <v>672</v>
      </c>
      <c r="L342" s="46" t="s">
        <v>1201</v>
      </c>
      <c r="M342" s="66">
        <f>IFERROR(VLOOKUP($L342,[3]Consolidated!$C$9:$AC$452,27,0),0)</f>
        <v>6087500</v>
      </c>
      <c r="N342" s="66">
        <f>IFERROR(VLOOKUP($L342,[3]Consolidated!$C$9:$AC$452,5,0),0)</f>
        <v>35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4">
        <f>(VLOOKUP($O$2,Prices!$E$3:$K$17,2,FALSE)*O342)+(VLOOKUP($P$2,Prices!$J$3:$K$17,2,FALSE)*P342)+(VLOOKUP($Q$2,Prices!$J$3:$K$17,2,FALSE)*Q342)+(VLOOKUP($R$2,Prices!$J$3:$K$17,2,FALSE)*R342)+(VLOOKUP($S$2,Prices!$J$3:$K$17,2,FALSE)*S342)+(VLOOKUP($T$2,Prices!$J$3:$K$17,2,FALSE)*T342)+(VLOOKUP($U$2,Prices!$J$3:$K$17,2,FALSE)*U342)+(VLOOKUP($V$2,Prices!$J$3:$K$17,2,FALSE)*V342)+(VLOOKUP($W$2,Prices!$J$3:$K$17,2,FALSE)*W342)+(VLOOKUP($X$2,Prices!$J$3:$K$17,2,FALSE)*X342)+(VLOOKUP($Y$2,Prices!$J$3:$K$17,2,FALSE)*Y342)+(VLOOKUP($Z$2,Prices!$J$3:$K$17,2,FALSE)*Z342)+(VLOOKUP($AA$2,Prices!$J$3:$K$17,2,FALSE)*AA342)+(VLOOKUP($AB$2,Prices!$J$3:$K$17,2,FALSE)*AB342)+M342</f>
        <v>6087500</v>
      </c>
      <c r="AD342" s="18"/>
      <c r="AE342" s="18"/>
      <c r="AF342" s="4">
        <f t="shared" si="31"/>
        <v>0</v>
      </c>
      <c r="AG342" s="4"/>
      <c r="AH342" s="16">
        <f t="shared" si="33"/>
        <v>0</v>
      </c>
      <c r="AI342" s="21">
        <f t="shared" si="32"/>
        <v>0</v>
      </c>
      <c r="AJ342" s="20">
        <f t="shared" si="34"/>
        <v>0</v>
      </c>
      <c r="AK342" s="9"/>
    </row>
    <row r="343" spans="1:37" hidden="1">
      <c r="A343" s="3">
        <v>341</v>
      </c>
      <c r="B343" s="12"/>
      <c r="C343" s="13"/>
      <c r="D343" s="13"/>
      <c r="E343" s="13"/>
      <c r="F343" s="13"/>
      <c r="G343" s="13"/>
      <c r="H343" s="15"/>
      <c r="I343" s="45" t="s">
        <v>834</v>
      </c>
      <c r="J343" s="45" t="s">
        <v>1390</v>
      </c>
      <c r="K343" s="46" t="s">
        <v>670</v>
      </c>
      <c r="L343" s="46" t="s">
        <v>1168</v>
      </c>
      <c r="M343" s="66">
        <f>IFERROR(VLOOKUP($L343,[3]Consolidated!$C$9:$AC$452,27,0),0)</f>
        <v>2282500</v>
      </c>
      <c r="N343" s="66">
        <f>IFERROR(VLOOKUP($L343,[3]Consolidated!$C$9:$AC$452,5,0),0)</f>
        <v>13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4">
        <f>(VLOOKUP($O$2,Prices!$E$3:$K$17,2,FALSE)*O343)+(VLOOKUP($P$2,Prices!$J$3:$K$17,2,FALSE)*P343)+(VLOOKUP($Q$2,Prices!$J$3:$K$17,2,FALSE)*Q343)+(VLOOKUP($R$2,Prices!$J$3:$K$17,2,FALSE)*R343)+(VLOOKUP($S$2,Prices!$J$3:$K$17,2,FALSE)*S343)+(VLOOKUP($T$2,Prices!$J$3:$K$17,2,FALSE)*T343)+(VLOOKUP($U$2,Prices!$J$3:$K$17,2,FALSE)*U343)+(VLOOKUP($V$2,Prices!$J$3:$K$17,2,FALSE)*V343)+(VLOOKUP($W$2,Prices!$J$3:$K$17,2,FALSE)*W343)+(VLOOKUP($X$2,Prices!$J$3:$K$17,2,FALSE)*X343)+(VLOOKUP($Y$2,Prices!$J$3:$K$17,2,FALSE)*Y343)+(VLOOKUP($Z$2,Prices!$J$3:$K$17,2,FALSE)*Z343)+(VLOOKUP($AA$2,Prices!$J$3:$K$17,2,FALSE)*AA343)+(VLOOKUP($AB$2,Prices!$J$3:$K$17,2,FALSE)*AB343)+M343</f>
        <v>2282500</v>
      </c>
      <c r="AD343" s="18"/>
      <c r="AE343" s="18"/>
      <c r="AF343" s="4">
        <f t="shared" si="31"/>
        <v>0</v>
      </c>
      <c r="AG343" s="4"/>
      <c r="AH343" s="16">
        <f t="shared" si="33"/>
        <v>0</v>
      </c>
      <c r="AI343" s="21">
        <f t="shared" si="32"/>
        <v>0</v>
      </c>
      <c r="AJ343" s="20">
        <f t="shared" si="34"/>
        <v>0</v>
      </c>
      <c r="AK343" s="9"/>
    </row>
    <row r="344" spans="1:37" hidden="1">
      <c r="A344" s="3">
        <v>342</v>
      </c>
      <c r="B344" s="12"/>
      <c r="C344" s="13"/>
      <c r="D344" s="13"/>
      <c r="E344" s="13"/>
      <c r="F344" s="13"/>
      <c r="G344" s="13"/>
      <c r="H344" s="15"/>
      <c r="I344" s="45" t="s">
        <v>847</v>
      </c>
      <c r="J344" s="45" t="s">
        <v>1390</v>
      </c>
      <c r="K344" s="46" t="s">
        <v>671</v>
      </c>
      <c r="L344" s="46" t="s">
        <v>1186</v>
      </c>
      <c r="M344" s="66">
        <f>IFERROR(VLOOKUP($L344,[3]Consolidated!$C$9:$AC$452,27,0),0)</f>
        <v>5472500</v>
      </c>
      <c r="N344" s="66">
        <f>IFERROR(VLOOKUP($L344,[3]Consolidated!$C$9:$AC$452,5,0),0)</f>
        <v>35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4">
        <f>(VLOOKUP($O$2,Prices!$E$3:$K$17,2,FALSE)*O344)+(VLOOKUP($P$2,Prices!$J$3:$K$17,2,FALSE)*P344)+(VLOOKUP($Q$2,Prices!$J$3:$K$17,2,FALSE)*Q344)+(VLOOKUP($R$2,Prices!$J$3:$K$17,2,FALSE)*R344)+(VLOOKUP($S$2,Prices!$J$3:$K$17,2,FALSE)*S344)+(VLOOKUP($T$2,Prices!$J$3:$K$17,2,FALSE)*T344)+(VLOOKUP($U$2,Prices!$J$3:$K$17,2,FALSE)*U344)+(VLOOKUP($V$2,Prices!$J$3:$K$17,2,FALSE)*V344)+(VLOOKUP($W$2,Prices!$J$3:$K$17,2,FALSE)*W344)+(VLOOKUP($X$2,Prices!$J$3:$K$17,2,FALSE)*X344)+(VLOOKUP($Y$2,Prices!$J$3:$K$17,2,FALSE)*Y344)+(VLOOKUP($Z$2,Prices!$J$3:$K$17,2,FALSE)*Z344)+(VLOOKUP($AA$2,Prices!$J$3:$K$17,2,FALSE)*AA344)+(VLOOKUP($AB$2,Prices!$J$3:$K$17,2,FALSE)*AB344)+M344</f>
        <v>5472500</v>
      </c>
      <c r="AD344" s="18"/>
      <c r="AE344" s="18"/>
      <c r="AF344" s="4">
        <f t="shared" si="31"/>
        <v>0</v>
      </c>
      <c r="AG344" s="4"/>
      <c r="AH344" s="16">
        <f t="shared" si="33"/>
        <v>0</v>
      </c>
      <c r="AI344" s="21">
        <f t="shared" si="32"/>
        <v>0</v>
      </c>
      <c r="AJ344" s="20">
        <f t="shared" si="34"/>
        <v>0</v>
      </c>
      <c r="AK344" s="9"/>
    </row>
    <row r="345" spans="1:37" hidden="1">
      <c r="A345" s="3">
        <v>343</v>
      </c>
      <c r="B345" s="12"/>
      <c r="C345" s="13"/>
      <c r="D345" s="13"/>
      <c r="E345" s="13"/>
      <c r="F345" s="13"/>
      <c r="G345" s="13"/>
      <c r="H345" s="15"/>
      <c r="I345" s="45" t="s">
        <v>827</v>
      </c>
      <c r="J345" s="45" t="s">
        <v>1390</v>
      </c>
      <c r="K345" s="46" t="s">
        <v>669</v>
      </c>
      <c r="L345" s="46" t="s">
        <v>1158</v>
      </c>
      <c r="M345" s="66">
        <f>IFERROR(VLOOKUP($L345,[3]Consolidated!$C$9:$AC$452,27,0),0)</f>
        <v>6381000</v>
      </c>
      <c r="N345" s="66">
        <f>IFERROR(VLOOKUP($L345,[3]Consolidated!$C$9:$AC$452,5,0),0)</f>
        <v>40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4">
        <f>(VLOOKUP($O$2,Prices!$E$3:$K$17,2,FALSE)*O345)+(VLOOKUP($P$2,Prices!$J$3:$K$17,2,FALSE)*P345)+(VLOOKUP($Q$2,Prices!$J$3:$K$17,2,FALSE)*Q345)+(VLOOKUP($R$2,Prices!$J$3:$K$17,2,FALSE)*R345)+(VLOOKUP($S$2,Prices!$J$3:$K$17,2,FALSE)*S345)+(VLOOKUP($T$2,Prices!$J$3:$K$17,2,FALSE)*T345)+(VLOOKUP($U$2,Prices!$J$3:$K$17,2,FALSE)*U345)+(VLOOKUP($V$2,Prices!$J$3:$K$17,2,FALSE)*V345)+(VLOOKUP($W$2,Prices!$J$3:$K$17,2,FALSE)*W345)+(VLOOKUP($X$2,Prices!$J$3:$K$17,2,FALSE)*X345)+(VLOOKUP($Y$2,Prices!$J$3:$K$17,2,FALSE)*Y345)+(VLOOKUP($Z$2,Prices!$J$3:$K$17,2,FALSE)*Z345)+(VLOOKUP($AA$2,Prices!$J$3:$K$17,2,FALSE)*AA345)+(VLOOKUP($AB$2,Prices!$J$3:$K$17,2,FALSE)*AB345)+M345</f>
        <v>6381000</v>
      </c>
      <c r="AD345" s="18"/>
      <c r="AE345" s="18"/>
      <c r="AF345" s="4">
        <f t="shared" si="31"/>
        <v>0</v>
      </c>
      <c r="AG345" s="4"/>
      <c r="AH345" s="16">
        <f t="shared" si="33"/>
        <v>0</v>
      </c>
      <c r="AI345" s="21">
        <f t="shared" si="32"/>
        <v>0</v>
      </c>
      <c r="AJ345" s="20">
        <f t="shared" si="34"/>
        <v>0</v>
      </c>
      <c r="AK345" s="19"/>
    </row>
    <row r="346" spans="1:37" hidden="1">
      <c r="A346" s="3">
        <v>344</v>
      </c>
      <c r="B346" s="12"/>
      <c r="C346" s="13"/>
      <c r="D346" s="13"/>
      <c r="E346" s="13"/>
      <c r="F346" s="13"/>
      <c r="G346" s="13"/>
      <c r="H346" s="15"/>
      <c r="I346" s="45" t="s">
        <v>861</v>
      </c>
      <c r="J346" s="45" t="s">
        <v>1390</v>
      </c>
      <c r="K346" s="46" t="s">
        <v>672</v>
      </c>
      <c r="L346" s="47" t="s">
        <v>1205</v>
      </c>
      <c r="M346" s="66">
        <f>IFERROR(VLOOKUP($L346,[3]Consolidated!$C$9:$AC$452,27,0),0)</f>
        <v>6087500</v>
      </c>
      <c r="N346" s="66">
        <f>IFERROR(VLOOKUP($L346,[3]Consolidated!$C$9:$AC$452,5,0),0)</f>
        <v>35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4">
        <f>(VLOOKUP($O$2,Prices!$E$3:$K$17,2,FALSE)*O346)+(VLOOKUP($P$2,Prices!$J$3:$K$17,2,FALSE)*P346)+(VLOOKUP($Q$2,Prices!$J$3:$K$17,2,FALSE)*Q346)+(VLOOKUP($R$2,Prices!$J$3:$K$17,2,FALSE)*R346)+(VLOOKUP($S$2,Prices!$J$3:$K$17,2,FALSE)*S346)+(VLOOKUP($T$2,Prices!$J$3:$K$17,2,FALSE)*T346)+(VLOOKUP($U$2,Prices!$J$3:$K$17,2,FALSE)*U346)+(VLOOKUP($V$2,Prices!$J$3:$K$17,2,FALSE)*V346)+(VLOOKUP($W$2,Prices!$J$3:$K$17,2,FALSE)*W346)+(VLOOKUP($X$2,Prices!$J$3:$K$17,2,FALSE)*X346)+(VLOOKUP($Y$2,Prices!$J$3:$K$17,2,FALSE)*Y346)+(VLOOKUP($Z$2,Prices!$J$3:$K$17,2,FALSE)*Z346)+(VLOOKUP($AA$2,Prices!$J$3:$K$17,2,FALSE)*AA346)+(VLOOKUP($AB$2,Prices!$J$3:$K$17,2,FALSE)*AB346)+M346</f>
        <v>6087500</v>
      </c>
      <c r="AD346" s="18"/>
      <c r="AE346" s="18"/>
      <c r="AF346" s="4">
        <f t="shared" si="31"/>
        <v>0</v>
      </c>
      <c r="AG346" s="4"/>
      <c r="AH346" s="16">
        <f t="shared" si="33"/>
        <v>0</v>
      </c>
      <c r="AI346" s="21">
        <f t="shared" si="32"/>
        <v>0</v>
      </c>
      <c r="AJ346" s="20">
        <f t="shared" si="34"/>
        <v>0</v>
      </c>
      <c r="AK346" s="9"/>
    </row>
    <row r="347" spans="1:37" hidden="1">
      <c r="A347" s="3">
        <v>345</v>
      </c>
      <c r="B347" s="12"/>
      <c r="C347" s="13"/>
      <c r="D347" s="13"/>
      <c r="E347" s="13"/>
      <c r="F347" s="13"/>
      <c r="G347" s="13"/>
      <c r="H347" s="15"/>
      <c r="I347" s="45" t="s">
        <v>846</v>
      </c>
      <c r="J347" s="45" t="s">
        <v>1390</v>
      </c>
      <c r="K347" s="46" t="s">
        <v>671</v>
      </c>
      <c r="L347" s="47" t="s">
        <v>1185</v>
      </c>
      <c r="M347" s="66">
        <f>IFERROR(VLOOKUP($L347,[3]Consolidated!$C$9:$AC$452,27,0),0)</f>
        <v>6933500</v>
      </c>
      <c r="N347" s="66">
        <f>IFERROR(VLOOKUP($L347,[3]Consolidated!$C$9:$AC$452,5,0),0)</f>
        <v>45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4">
        <f>(VLOOKUP($O$2,Prices!$E$3:$K$17,2,FALSE)*O347)+(VLOOKUP($P$2,Prices!$J$3:$K$17,2,FALSE)*P347)+(VLOOKUP($Q$2,Prices!$J$3:$K$17,2,FALSE)*Q347)+(VLOOKUP($R$2,Prices!$J$3:$K$17,2,FALSE)*R347)+(VLOOKUP($S$2,Prices!$J$3:$K$17,2,FALSE)*S347)+(VLOOKUP($T$2,Prices!$J$3:$K$17,2,FALSE)*T347)+(VLOOKUP($U$2,Prices!$J$3:$K$17,2,FALSE)*U347)+(VLOOKUP($V$2,Prices!$J$3:$K$17,2,FALSE)*V347)+(VLOOKUP($W$2,Prices!$J$3:$K$17,2,FALSE)*W347)+(VLOOKUP($X$2,Prices!$J$3:$K$17,2,FALSE)*X347)+(VLOOKUP($Y$2,Prices!$J$3:$K$17,2,FALSE)*Y347)+(VLOOKUP($Z$2,Prices!$J$3:$K$17,2,FALSE)*Z347)+(VLOOKUP($AA$2,Prices!$J$3:$K$17,2,FALSE)*AA347)+(VLOOKUP($AB$2,Prices!$J$3:$K$17,2,FALSE)*AB347)+M347</f>
        <v>6933500</v>
      </c>
      <c r="AD347" s="18"/>
      <c r="AE347" s="18"/>
      <c r="AF347" s="4">
        <f t="shared" si="31"/>
        <v>0</v>
      </c>
      <c r="AG347" s="4"/>
      <c r="AH347" s="16">
        <f t="shared" si="33"/>
        <v>0</v>
      </c>
      <c r="AI347" s="21">
        <f t="shared" si="32"/>
        <v>0</v>
      </c>
      <c r="AJ347" s="20">
        <f t="shared" si="34"/>
        <v>0</v>
      </c>
      <c r="AK347" s="9"/>
    </row>
    <row r="348" spans="1:37" hidden="1">
      <c r="A348" s="3">
        <v>346</v>
      </c>
      <c r="B348" s="12"/>
      <c r="C348" s="13"/>
      <c r="D348" s="13"/>
      <c r="E348" s="13"/>
      <c r="F348" s="13"/>
      <c r="G348" s="13"/>
      <c r="H348" s="15"/>
      <c r="I348" s="45" t="s">
        <v>837</v>
      </c>
      <c r="J348" s="45" t="s">
        <v>1390</v>
      </c>
      <c r="K348" s="46" t="s">
        <v>670</v>
      </c>
      <c r="L348" s="47" t="s">
        <v>1171</v>
      </c>
      <c r="M348" s="66">
        <f>IFERROR(VLOOKUP($L348,[3]Consolidated!$C$9:$AC$452,27,0),0)</f>
        <v>1255000</v>
      </c>
      <c r="N348" s="66">
        <f>IFERROR(VLOOKUP($L348,[3]Consolidated!$C$9:$AC$452,5,0),0)</f>
        <v>10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4">
        <f>(VLOOKUP($O$2,Prices!$E$3:$K$17,2,FALSE)*O348)+(VLOOKUP($P$2,Prices!$J$3:$K$17,2,FALSE)*P348)+(VLOOKUP($Q$2,Prices!$J$3:$K$17,2,FALSE)*Q348)+(VLOOKUP($R$2,Prices!$J$3:$K$17,2,FALSE)*R348)+(VLOOKUP($S$2,Prices!$J$3:$K$17,2,FALSE)*S348)+(VLOOKUP($T$2,Prices!$J$3:$K$17,2,FALSE)*T348)+(VLOOKUP($U$2,Prices!$J$3:$K$17,2,FALSE)*U348)+(VLOOKUP($V$2,Prices!$J$3:$K$17,2,FALSE)*V348)+(VLOOKUP($W$2,Prices!$J$3:$K$17,2,FALSE)*W348)+(VLOOKUP($X$2,Prices!$J$3:$K$17,2,FALSE)*X348)+(VLOOKUP($Y$2,Prices!$J$3:$K$17,2,FALSE)*Y348)+(VLOOKUP($Z$2,Prices!$J$3:$K$17,2,FALSE)*Z348)+(VLOOKUP($AA$2,Prices!$J$3:$K$17,2,FALSE)*AA348)+(VLOOKUP($AB$2,Prices!$J$3:$K$17,2,FALSE)*AB348)+M348</f>
        <v>1255000</v>
      </c>
      <c r="AD348" s="18"/>
      <c r="AE348" s="18"/>
      <c r="AF348" s="4">
        <f t="shared" si="31"/>
        <v>0</v>
      </c>
      <c r="AG348" s="4"/>
      <c r="AH348" s="16">
        <f t="shared" si="33"/>
        <v>0</v>
      </c>
      <c r="AI348" s="21">
        <f t="shared" si="32"/>
        <v>0</v>
      </c>
      <c r="AJ348" s="20">
        <f t="shared" si="34"/>
        <v>0</v>
      </c>
      <c r="AK348" s="9"/>
    </row>
    <row r="349" spans="1:37" hidden="1">
      <c r="A349" s="3">
        <v>347</v>
      </c>
      <c r="B349" s="12"/>
      <c r="C349" s="13"/>
      <c r="D349" s="13"/>
      <c r="E349" s="13"/>
      <c r="F349" s="13"/>
      <c r="G349" s="13"/>
      <c r="H349" s="15"/>
      <c r="I349" s="45" t="s">
        <v>836</v>
      </c>
      <c r="J349" s="45" t="s">
        <v>1390</v>
      </c>
      <c r="K349" s="46" t="s">
        <v>670</v>
      </c>
      <c r="L349" s="47" t="s">
        <v>1170</v>
      </c>
      <c r="M349" s="66">
        <f>IFERROR(VLOOKUP($L349,[3]Consolidated!$C$9:$AC$452,27,0),0)</f>
        <v>1255000</v>
      </c>
      <c r="N349" s="66">
        <f>IFERROR(VLOOKUP($L349,[3]Consolidated!$C$9:$AC$452,5,0),0)</f>
        <v>10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4">
        <f>(VLOOKUP($O$2,Prices!$E$3:$K$17,2,FALSE)*O349)+(VLOOKUP($P$2,Prices!$J$3:$K$17,2,FALSE)*P349)+(VLOOKUP($Q$2,Prices!$J$3:$K$17,2,FALSE)*Q349)+(VLOOKUP($R$2,Prices!$J$3:$K$17,2,FALSE)*R349)+(VLOOKUP($S$2,Prices!$J$3:$K$17,2,FALSE)*S349)+(VLOOKUP($T$2,Prices!$J$3:$K$17,2,FALSE)*T349)+(VLOOKUP($U$2,Prices!$J$3:$K$17,2,FALSE)*U349)+(VLOOKUP($V$2,Prices!$J$3:$K$17,2,FALSE)*V349)+(VLOOKUP($W$2,Prices!$J$3:$K$17,2,FALSE)*W349)+(VLOOKUP($X$2,Prices!$J$3:$K$17,2,FALSE)*X349)+(VLOOKUP($Y$2,Prices!$J$3:$K$17,2,FALSE)*Y349)+(VLOOKUP($Z$2,Prices!$J$3:$K$17,2,FALSE)*Z349)+(VLOOKUP($AA$2,Prices!$J$3:$K$17,2,FALSE)*AA349)+(VLOOKUP($AB$2,Prices!$J$3:$K$17,2,FALSE)*AB349)+M349</f>
        <v>1255000</v>
      </c>
      <c r="AD349" s="18"/>
      <c r="AE349" s="18"/>
      <c r="AF349" s="4">
        <f t="shared" si="31"/>
        <v>0</v>
      </c>
      <c r="AG349" s="4"/>
      <c r="AH349" s="16">
        <f t="shared" si="33"/>
        <v>0</v>
      </c>
      <c r="AI349" s="21">
        <f t="shared" si="32"/>
        <v>0</v>
      </c>
      <c r="AJ349" s="20">
        <f t="shared" si="34"/>
        <v>0</v>
      </c>
      <c r="AK349" s="9"/>
    </row>
    <row r="350" spans="1:37" hidden="1">
      <c r="A350" s="3">
        <v>348</v>
      </c>
      <c r="B350" s="12"/>
      <c r="C350" s="13"/>
      <c r="D350" s="13"/>
      <c r="E350" s="13"/>
      <c r="F350" s="13"/>
      <c r="G350" s="13"/>
      <c r="H350" s="15"/>
      <c r="I350" s="45" t="s">
        <v>838</v>
      </c>
      <c r="J350" s="45" t="s">
        <v>1390</v>
      </c>
      <c r="K350" s="46" t="s">
        <v>670</v>
      </c>
      <c r="L350" s="47" t="s">
        <v>1172</v>
      </c>
      <c r="M350" s="66">
        <f>IFERROR(VLOOKUP($L350,[3]Consolidated!$C$9:$AC$452,27,0),0)</f>
        <v>6909500</v>
      </c>
      <c r="N350" s="66">
        <f>IFERROR(VLOOKUP($L350,[3]Consolidated!$C$9:$AC$452,5,0),0)</f>
        <v>35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4">
        <f>(VLOOKUP($O$2,Prices!$E$3:$K$17,2,FALSE)*O350)+(VLOOKUP($P$2,Prices!$J$3:$K$17,2,FALSE)*P350)+(VLOOKUP($Q$2,Prices!$J$3:$K$17,2,FALSE)*Q350)+(VLOOKUP($R$2,Prices!$J$3:$K$17,2,FALSE)*R350)+(VLOOKUP($S$2,Prices!$J$3:$K$17,2,FALSE)*S350)+(VLOOKUP($T$2,Prices!$J$3:$K$17,2,FALSE)*T350)+(VLOOKUP($U$2,Prices!$J$3:$K$17,2,FALSE)*U350)+(VLOOKUP($V$2,Prices!$J$3:$K$17,2,FALSE)*V350)+(VLOOKUP($W$2,Prices!$J$3:$K$17,2,FALSE)*W350)+(VLOOKUP($X$2,Prices!$J$3:$K$17,2,FALSE)*X350)+(VLOOKUP($Y$2,Prices!$J$3:$K$17,2,FALSE)*Y350)+(VLOOKUP($Z$2,Prices!$J$3:$K$17,2,FALSE)*Z350)+(VLOOKUP($AA$2,Prices!$J$3:$K$17,2,FALSE)*AA350)+(VLOOKUP($AB$2,Prices!$J$3:$K$17,2,FALSE)*AB350)+M350</f>
        <v>6909500</v>
      </c>
      <c r="AD350" s="18"/>
      <c r="AE350" s="18"/>
      <c r="AF350" s="4">
        <f t="shared" si="31"/>
        <v>0</v>
      </c>
      <c r="AG350" s="4"/>
      <c r="AH350" s="16">
        <f t="shared" si="33"/>
        <v>0</v>
      </c>
      <c r="AI350" s="21">
        <f t="shared" si="32"/>
        <v>0</v>
      </c>
      <c r="AJ350" s="20">
        <f t="shared" si="34"/>
        <v>0</v>
      </c>
      <c r="AK350" s="9"/>
    </row>
    <row r="351" spans="1:37" hidden="1">
      <c r="A351" s="3">
        <v>349</v>
      </c>
      <c r="B351" s="12"/>
      <c r="C351" s="13"/>
      <c r="D351" s="13"/>
      <c r="E351" s="13"/>
      <c r="F351" s="13"/>
      <c r="G351" s="13"/>
      <c r="H351" s="15"/>
      <c r="I351" s="45" t="s">
        <v>831</v>
      </c>
      <c r="J351" s="45" t="s">
        <v>1390</v>
      </c>
      <c r="K351" s="46" t="s">
        <v>670</v>
      </c>
      <c r="L351" s="47" t="s">
        <v>1165</v>
      </c>
      <c r="M351" s="66">
        <f>IFERROR(VLOOKUP($L351,[3]Consolidated!$C$9:$AC$452,27,0),0)</f>
        <v>1255000</v>
      </c>
      <c r="N351" s="66">
        <f>IFERROR(VLOOKUP($L351,[3]Consolidated!$C$9:$AC$452,5,0),0)</f>
        <v>10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4">
        <f>(VLOOKUP($O$2,Prices!$E$3:$K$17,2,FALSE)*O351)+(VLOOKUP($P$2,Prices!$J$3:$K$17,2,FALSE)*P351)+(VLOOKUP($Q$2,Prices!$J$3:$K$17,2,FALSE)*Q351)+(VLOOKUP($R$2,Prices!$J$3:$K$17,2,FALSE)*R351)+(VLOOKUP($S$2,Prices!$J$3:$K$17,2,FALSE)*S351)+(VLOOKUP($T$2,Prices!$J$3:$K$17,2,FALSE)*T351)+(VLOOKUP($U$2,Prices!$J$3:$K$17,2,FALSE)*U351)+(VLOOKUP($V$2,Prices!$J$3:$K$17,2,FALSE)*V351)+(VLOOKUP($W$2,Prices!$J$3:$K$17,2,FALSE)*W351)+(VLOOKUP($X$2,Prices!$J$3:$K$17,2,FALSE)*X351)+(VLOOKUP($Y$2,Prices!$J$3:$K$17,2,FALSE)*Y351)+(VLOOKUP($Z$2,Prices!$J$3:$K$17,2,FALSE)*Z351)+(VLOOKUP($AA$2,Prices!$J$3:$K$17,2,FALSE)*AA351)+(VLOOKUP($AB$2,Prices!$J$3:$K$17,2,FALSE)*AB351)+M351</f>
        <v>1255000</v>
      </c>
      <c r="AD351" s="18"/>
      <c r="AE351" s="18"/>
      <c r="AF351" s="4">
        <f t="shared" si="31"/>
        <v>0</v>
      </c>
      <c r="AG351" s="4"/>
      <c r="AH351" s="16">
        <f t="shared" si="33"/>
        <v>0</v>
      </c>
      <c r="AI351" s="21">
        <f t="shared" si="32"/>
        <v>0</v>
      </c>
      <c r="AJ351" s="20">
        <f t="shared" si="34"/>
        <v>0</v>
      </c>
      <c r="AK351" s="9"/>
    </row>
    <row r="352" spans="1:37" hidden="1">
      <c r="A352" s="3">
        <v>350</v>
      </c>
      <c r="B352" s="12"/>
      <c r="C352" s="13"/>
      <c r="D352" s="13"/>
      <c r="E352" s="13"/>
      <c r="F352" s="13"/>
      <c r="G352" s="13"/>
      <c r="H352" s="15"/>
      <c r="I352" s="45" t="s">
        <v>842</v>
      </c>
      <c r="J352" s="45" t="s">
        <v>1390</v>
      </c>
      <c r="K352" s="46" t="s">
        <v>671</v>
      </c>
      <c r="L352" s="47" t="s">
        <v>1181</v>
      </c>
      <c r="M352" s="66">
        <f>IFERROR(VLOOKUP($L352,[3]Consolidated!$C$9:$AC$452,27,0),0)</f>
        <v>5104500</v>
      </c>
      <c r="N352" s="66">
        <f>IFERROR(VLOOKUP($L352,[3]Consolidated!$C$9:$AC$452,5,0),0)</f>
        <v>35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4">
        <f>(VLOOKUP($O$2,Prices!$E$3:$K$17,2,FALSE)*O352)+(VLOOKUP($P$2,Prices!$J$3:$K$17,2,FALSE)*P352)+(VLOOKUP($Q$2,Prices!$J$3:$K$17,2,FALSE)*Q352)+(VLOOKUP($R$2,Prices!$J$3:$K$17,2,FALSE)*R352)+(VLOOKUP($S$2,Prices!$J$3:$K$17,2,FALSE)*S352)+(VLOOKUP($T$2,Prices!$J$3:$K$17,2,FALSE)*T352)+(VLOOKUP($U$2,Prices!$J$3:$K$17,2,FALSE)*U352)+(VLOOKUP($V$2,Prices!$J$3:$K$17,2,FALSE)*V352)+(VLOOKUP($W$2,Prices!$J$3:$K$17,2,FALSE)*W352)+(VLOOKUP($X$2,Prices!$J$3:$K$17,2,FALSE)*X352)+(VLOOKUP($Y$2,Prices!$J$3:$K$17,2,FALSE)*Y352)+(VLOOKUP($Z$2,Prices!$J$3:$K$17,2,FALSE)*Z352)+(VLOOKUP($AA$2,Prices!$J$3:$K$17,2,FALSE)*AA352)+(VLOOKUP($AB$2,Prices!$J$3:$K$17,2,FALSE)*AB352)+M352</f>
        <v>5104500</v>
      </c>
      <c r="AD352" s="18"/>
      <c r="AE352" s="18"/>
      <c r="AF352" s="4">
        <f t="shared" si="31"/>
        <v>0</v>
      </c>
      <c r="AG352" s="4"/>
      <c r="AH352" s="16">
        <f t="shared" si="33"/>
        <v>0</v>
      </c>
      <c r="AI352" s="21">
        <f t="shared" si="32"/>
        <v>0</v>
      </c>
      <c r="AJ352" s="20">
        <f t="shared" si="34"/>
        <v>0</v>
      </c>
      <c r="AK352" s="9"/>
    </row>
    <row r="353" spans="1:37" hidden="1">
      <c r="A353" s="3">
        <v>351</v>
      </c>
      <c r="B353" s="12"/>
      <c r="C353" s="13"/>
      <c r="D353" s="13"/>
      <c r="E353" s="13"/>
      <c r="F353" s="13"/>
      <c r="G353" s="13"/>
      <c r="H353" s="15"/>
      <c r="I353" s="45" t="s">
        <v>1451</v>
      </c>
      <c r="J353" s="45" t="s">
        <v>1390</v>
      </c>
      <c r="K353" s="46" t="s">
        <v>669</v>
      </c>
      <c r="L353" s="47" t="s">
        <v>1148</v>
      </c>
      <c r="M353" s="66">
        <f>IFERROR(VLOOKUP($L353,[3]Consolidated!$C$9:$AC$452,27,0),0)</f>
        <v>2381500</v>
      </c>
      <c r="N353" s="66">
        <f>IFERROR(VLOOKUP($L353,[3]Consolidated!$C$9:$AC$452,5,0),0)</f>
        <v>15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4">
        <f>(VLOOKUP($O$2,Prices!$E$3:$K$17,2,FALSE)*O353)+(VLOOKUP($P$2,Prices!$J$3:$K$17,2,FALSE)*P353)+(VLOOKUP($Q$2,Prices!$J$3:$K$17,2,FALSE)*Q353)+(VLOOKUP($R$2,Prices!$J$3:$K$17,2,FALSE)*R353)+(VLOOKUP($S$2,Prices!$J$3:$K$17,2,FALSE)*S353)+(VLOOKUP($T$2,Prices!$J$3:$K$17,2,FALSE)*T353)+(VLOOKUP($U$2,Prices!$J$3:$K$17,2,FALSE)*U353)+(VLOOKUP($V$2,Prices!$J$3:$K$17,2,FALSE)*V353)+(VLOOKUP($W$2,Prices!$J$3:$K$17,2,FALSE)*W353)+(VLOOKUP($X$2,Prices!$J$3:$K$17,2,FALSE)*X353)+(VLOOKUP($Y$2,Prices!$J$3:$K$17,2,FALSE)*Y353)+(VLOOKUP($Z$2,Prices!$J$3:$K$17,2,FALSE)*Z353)+(VLOOKUP($AA$2,Prices!$J$3:$K$17,2,FALSE)*AA353)+(VLOOKUP($AB$2,Prices!$J$3:$K$17,2,FALSE)*AB353)+M353</f>
        <v>2381500</v>
      </c>
      <c r="AD353" s="18"/>
      <c r="AE353" s="18"/>
      <c r="AF353" s="4">
        <f t="shared" si="31"/>
        <v>0</v>
      </c>
      <c r="AG353" s="4"/>
      <c r="AH353" s="16">
        <f t="shared" si="33"/>
        <v>0</v>
      </c>
      <c r="AI353" s="21">
        <f t="shared" si="32"/>
        <v>0</v>
      </c>
      <c r="AJ353" s="20">
        <f t="shared" si="34"/>
        <v>0</v>
      </c>
      <c r="AK353" s="9"/>
    </row>
    <row r="354" spans="1:37" hidden="1">
      <c r="A354" s="3">
        <v>352</v>
      </c>
      <c r="B354" s="12"/>
      <c r="C354" s="13"/>
      <c r="D354" s="13"/>
      <c r="E354" s="13"/>
      <c r="F354" s="13"/>
      <c r="G354" s="13"/>
      <c r="H354" s="15"/>
      <c r="I354" s="45" t="s">
        <v>829</v>
      </c>
      <c r="J354" s="45" t="s">
        <v>1390</v>
      </c>
      <c r="K354" s="46" t="s">
        <v>670</v>
      </c>
      <c r="L354" s="47" t="s">
        <v>1163</v>
      </c>
      <c r="M354" s="66">
        <f>IFERROR(VLOOKUP($L354,[3]Consolidated!$C$9:$AC$452,27,0),0)</f>
        <v>1255000</v>
      </c>
      <c r="N354" s="66">
        <f>IFERROR(VLOOKUP($L354,[3]Consolidated!$C$9:$AC$452,5,0),0)</f>
        <v>10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4">
        <f>(VLOOKUP($O$2,Prices!$E$3:$K$17,2,FALSE)*O354)+(VLOOKUP($P$2,Prices!$J$3:$K$17,2,FALSE)*P354)+(VLOOKUP($Q$2,Prices!$J$3:$K$17,2,FALSE)*Q354)+(VLOOKUP($R$2,Prices!$J$3:$K$17,2,FALSE)*R354)+(VLOOKUP($S$2,Prices!$J$3:$K$17,2,FALSE)*S354)+(VLOOKUP($T$2,Prices!$J$3:$K$17,2,FALSE)*T354)+(VLOOKUP($U$2,Prices!$J$3:$K$17,2,FALSE)*U354)+(VLOOKUP($V$2,Prices!$J$3:$K$17,2,FALSE)*V354)+(VLOOKUP($W$2,Prices!$J$3:$K$17,2,FALSE)*W354)+(VLOOKUP($X$2,Prices!$J$3:$K$17,2,FALSE)*X354)+(VLOOKUP($Y$2,Prices!$J$3:$K$17,2,FALSE)*Y354)+(VLOOKUP($Z$2,Prices!$J$3:$K$17,2,FALSE)*Z354)+(VLOOKUP($AA$2,Prices!$J$3:$K$17,2,FALSE)*AA354)+(VLOOKUP($AB$2,Prices!$J$3:$K$17,2,FALSE)*AB354)+M354</f>
        <v>1255000</v>
      </c>
      <c r="AD354" s="18"/>
      <c r="AE354" s="18"/>
      <c r="AF354" s="4">
        <f t="shared" si="31"/>
        <v>0</v>
      </c>
      <c r="AG354" s="4"/>
      <c r="AH354" s="16">
        <f t="shared" si="33"/>
        <v>0</v>
      </c>
      <c r="AI354" s="21">
        <f t="shared" si="32"/>
        <v>0</v>
      </c>
      <c r="AJ354" s="20">
        <f t="shared" si="34"/>
        <v>0</v>
      </c>
      <c r="AK354" s="19"/>
    </row>
    <row r="355" spans="1:37" hidden="1">
      <c r="A355" s="3">
        <v>353</v>
      </c>
      <c r="B355" s="12"/>
      <c r="C355" s="13"/>
      <c r="D355" s="13"/>
      <c r="E355" s="13"/>
      <c r="F355" s="13"/>
      <c r="G355" s="13"/>
      <c r="H355" s="15"/>
      <c r="I355" s="45" t="s">
        <v>817</v>
      </c>
      <c r="J355" s="45" t="s">
        <v>1390</v>
      </c>
      <c r="K355" s="46" t="s">
        <v>669</v>
      </c>
      <c r="L355" s="47" t="s">
        <v>1147</v>
      </c>
      <c r="M355" s="66">
        <f>IFERROR(VLOOKUP($L355,[3]Consolidated!$C$9:$AC$452,27,0),0)</f>
        <v>2381500</v>
      </c>
      <c r="N355" s="66">
        <f>IFERROR(VLOOKUP($L355,[3]Consolidated!$C$9:$AC$452,5,0),0)</f>
        <v>15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4">
        <f>(VLOOKUP($O$2,Prices!$E$3:$K$17,2,FALSE)*O355)+(VLOOKUP($P$2,Prices!$J$3:$K$17,2,FALSE)*P355)+(VLOOKUP($Q$2,Prices!$J$3:$K$17,2,FALSE)*Q355)+(VLOOKUP($R$2,Prices!$J$3:$K$17,2,FALSE)*R355)+(VLOOKUP($S$2,Prices!$J$3:$K$17,2,FALSE)*S355)+(VLOOKUP($T$2,Prices!$J$3:$K$17,2,FALSE)*T355)+(VLOOKUP($U$2,Prices!$J$3:$K$17,2,FALSE)*U355)+(VLOOKUP($V$2,Prices!$J$3:$K$17,2,FALSE)*V355)+(VLOOKUP($W$2,Prices!$J$3:$K$17,2,FALSE)*W355)+(VLOOKUP($X$2,Prices!$J$3:$K$17,2,FALSE)*X355)+(VLOOKUP($Y$2,Prices!$J$3:$K$17,2,FALSE)*Y355)+(VLOOKUP($Z$2,Prices!$J$3:$K$17,2,FALSE)*Z355)+(VLOOKUP($AA$2,Prices!$J$3:$K$17,2,FALSE)*AA355)+(VLOOKUP($AB$2,Prices!$J$3:$K$17,2,FALSE)*AB355)+M355</f>
        <v>2381500</v>
      </c>
      <c r="AD355" s="18"/>
      <c r="AE355" s="18"/>
      <c r="AF355" s="4">
        <f t="shared" si="31"/>
        <v>0</v>
      </c>
      <c r="AG355" s="4"/>
      <c r="AH355" s="16">
        <f t="shared" si="33"/>
        <v>0</v>
      </c>
      <c r="AI355" s="21">
        <f t="shared" si="32"/>
        <v>0</v>
      </c>
      <c r="AJ355" s="20">
        <f t="shared" si="34"/>
        <v>0</v>
      </c>
      <c r="AK355" s="9"/>
    </row>
    <row r="356" spans="1:37" hidden="1">
      <c r="A356" s="3">
        <v>354</v>
      </c>
      <c r="B356" s="12"/>
      <c r="C356" s="13"/>
      <c r="D356" s="13"/>
      <c r="E356" s="13"/>
      <c r="F356" s="13"/>
      <c r="G356" s="13"/>
      <c r="H356" s="15"/>
      <c r="I356" s="45" t="s">
        <v>1452</v>
      </c>
      <c r="J356" s="45" t="s">
        <v>1390</v>
      </c>
      <c r="K356" s="46" t="s">
        <v>670</v>
      </c>
      <c r="L356" s="47" t="s">
        <v>1162</v>
      </c>
      <c r="M356" s="66">
        <f>IFERROR(VLOOKUP($L356,[3]Consolidated!$C$9:$AC$452,27,0),0)</f>
        <v>1675000</v>
      </c>
      <c r="N356" s="66">
        <f>IFERROR(VLOOKUP($L356,[3]Consolidated!$C$9:$AC$452,5,0),0)</f>
        <v>10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4">
        <f>(VLOOKUP($O$2,Prices!$E$3:$K$17,2,FALSE)*O356)+(VLOOKUP($P$2,Prices!$J$3:$K$17,2,FALSE)*P356)+(VLOOKUP($Q$2,Prices!$J$3:$K$17,2,FALSE)*Q356)+(VLOOKUP($R$2,Prices!$J$3:$K$17,2,FALSE)*R356)+(VLOOKUP($S$2,Prices!$J$3:$K$17,2,FALSE)*S356)+(VLOOKUP($T$2,Prices!$J$3:$K$17,2,FALSE)*T356)+(VLOOKUP($U$2,Prices!$J$3:$K$17,2,FALSE)*U356)+(VLOOKUP($V$2,Prices!$J$3:$K$17,2,FALSE)*V356)+(VLOOKUP($W$2,Prices!$J$3:$K$17,2,FALSE)*W356)+(VLOOKUP($X$2,Prices!$J$3:$K$17,2,FALSE)*X356)+(VLOOKUP($Y$2,Prices!$J$3:$K$17,2,FALSE)*Y356)+(VLOOKUP($Z$2,Prices!$J$3:$K$17,2,FALSE)*Z356)+(VLOOKUP($AA$2,Prices!$J$3:$K$17,2,FALSE)*AA356)+(VLOOKUP($AB$2,Prices!$J$3:$K$17,2,FALSE)*AB356)+M356</f>
        <v>1675000</v>
      </c>
      <c r="AD356" s="18"/>
      <c r="AE356" s="18"/>
      <c r="AF356" s="4">
        <f t="shared" si="31"/>
        <v>0</v>
      </c>
      <c r="AG356" s="4"/>
      <c r="AH356" s="16">
        <f t="shared" si="33"/>
        <v>0</v>
      </c>
      <c r="AI356" s="21">
        <f t="shared" si="32"/>
        <v>0</v>
      </c>
      <c r="AJ356" s="20">
        <f t="shared" si="34"/>
        <v>0</v>
      </c>
      <c r="AK356" s="9"/>
    </row>
    <row r="357" spans="1:37" hidden="1">
      <c r="A357" s="3">
        <v>355</v>
      </c>
      <c r="B357" s="12"/>
      <c r="C357" s="13"/>
      <c r="D357" s="13"/>
      <c r="E357" s="13"/>
      <c r="F357" s="13"/>
      <c r="G357" s="13"/>
      <c r="H357" s="15"/>
      <c r="I357" s="45" t="s">
        <v>1453</v>
      </c>
      <c r="J357" s="45" t="s">
        <v>1390</v>
      </c>
      <c r="K357" s="46" t="s">
        <v>670</v>
      </c>
      <c r="L357" s="47" t="s">
        <v>1161</v>
      </c>
      <c r="M357" s="66">
        <f>IFERROR(VLOOKUP($L357,[3]Consolidated!$C$9:$AC$452,27,0),0)</f>
        <v>1675000</v>
      </c>
      <c r="N357" s="66">
        <f>IFERROR(VLOOKUP($L357,[3]Consolidated!$C$9:$AC$452,5,0),0)</f>
        <v>10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4">
        <f>(VLOOKUP($O$2,Prices!$E$3:$K$17,2,FALSE)*O357)+(VLOOKUP($P$2,Prices!$J$3:$K$17,2,FALSE)*P357)+(VLOOKUP($Q$2,Prices!$J$3:$K$17,2,FALSE)*Q357)+(VLOOKUP($R$2,Prices!$J$3:$K$17,2,FALSE)*R357)+(VLOOKUP($S$2,Prices!$J$3:$K$17,2,FALSE)*S357)+(VLOOKUP($T$2,Prices!$J$3:$K$17,2,FALSE)*T357)+(VLOOKUP($U$2,Prices!$J$3:$K$17,2,FALSE)*U357)+(VLOOKUP($V$2,Prices!$J$3:$K$17,2,FALSE)*V357)+(VLOOKUP($W$2,Prices!$J$3:$K$17,2,FALSE)*W357)+(VLOOKUP($X$2,Prices!$J$3:$K$17,2,FALSE)*X357)+(VLOOKUP($Y$2,Prices!$J$3:$K$17,2,FALSE)*Y357)+(VLOOKUP($Z$2,Prices!$J$3:$K$17,2,FALSE)*Z357)+(VLOOKUP($AA$2,Prices!$J$3:$K$17,2,FALSE)*AA357)+(VLOOKUP($AB$2,Prices!$J$3:$K$17,2,FALSE)*AB357)+M357</f>
        <v>1675000</v>
      </c>
      <c r="AD357" s="18"/>
      <c r="AE357" s="18"/>
      <c r="AF357" s="4">
        <f t="shared" si="31"/>
        <v>0</v>
      </c>
      <c r="AG357" s="4"/>
      <c r="AH357" s="16">
        <f t="shared" si="33"/>
        <v>0</v>
      </c>
      <c r="AI357" s="21">
        <f t="shared" si="32"/>
        <v>0</v>
      </c>
      <c r="AJ357" s="20">
        <f t="shared" si="34"/>
        <v>0</v>
      </c>
      <c r="AK357" s="9"/>
    </row>
    <row r="358" spans="1:37" hidden="1">
      <c r="A358" s="3">
        <v>356</v>
      </c>
      <c r="B358" s="12"/>
      <c r="C358" s="13"/>
      <c r="D358" s="13"/>
      <c r="E358" s="13"/>
      <c r="F358" s="13"/>
      <c r="G358" s="13"/>
      <c r="H358" s="15"/>
      <c r="I358" s="45" t="s">
        <v>816</v>
      </c>
      <c r="J358" s="45" t="s">
        <v>1390</v>
      </c>
      <c r="K358" s="46" t="s">
        <v>669</v>
      </c>
      <c r="L358" s="47" t="s">
        <v>1146</v>
      </c>
      <c r="M358" s="66">
        <f>IFERROR(VLOOKUP($L358,[3]Consolidated!$C$9:$AC$452,27,0),0)</f>
        <v>1625000</v>
      </c>
      <c r="N358" s="66">
        <f>IFERROR(VLOOKUP($L358,[3]Consolidated!$C$9:$AC$452,5,0),0)</f>
        <v>10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4">
        <f>(VLOOKUP($O$2,Prices!$E$3:$K$17,2,FALSE)*O358)+(VLOOKUP($P$2,Prices!$J$3:$K$17,2,FALSE)*P358)+(VLOOKUP($Q$2,Prices!$J$3:$K$17,2,FALSE)*Q358)+(VLOOKUP($R$2,Prices!$J$3:$K$17,2,FALSE)*R358)+(VLOOKUP($S$2,Prices!$J$3:$K$17,2,FALSE)*S358)+(VLOOKUP($T$2,Prices!$J$3:$K$17,2,FALSE)*T358)+(VLOOKUP($U$2,Prices!$J$3:$K$17,2,FALSE)*U358)+(VLOOKUP($V$2,Prices!$J$3:$K$17,2,FALSE)*V358)+(VLOOKUP($W$2,Prices!$J$3:$K$17,2,FALSE)*W358)+(VLOOKUP($X$2,Prices!$J$3:$K$17,2,FALSE)*X358)+(VLOOKUP($Y$2,Prices!$J$3:$K$17,2,FALSE)*Y358)+(VLOOKUP($Z$2,Prices!$J$3:$K$17,2,FALSE)*Z358)+(VLOOKUP($AA$2,Prices!$J$3:$K$17,2,FALSE)*AA358)+(VLOOKUP($AB$2,Prices!$J$3:$K$17,2,FALSE)*AB358)+M358</f>
        <v>1625000</v>
      </c>
      <c r="AD358" s="18"/>
      <c r="AE358" s="18"/>
      <c r="AF358" s="4">
        <f t="shared" si="31"/>
        <v>0</v>
      </c>
      <c r="AG358" s="4"/>
      <c r="AH358" s="16">
        <f t="shared" si="33"/>
        <v>0</v>
      </c>
      <c r="AI358" s="21">
        <f t="shared" si="32"/>
        <v>0</v>
      </c>
      <c r="AJ358" s="20">
        <f t="shared" si="34"/>
        <v>0</v>
      </c>
      <c r="AK358" s="9"/>
    </row>
    <row r="359" spans="1:37" hidden="1">
      <c r="A359" s="3">
        <v>357</v>
      </c>
      <c r="B359" s="12"/>
      <c r="C359" s="13"/>
      <c r="D359" s="13"/>
      <c r="E359" s="13"/>
      <c r="F359" s="13"/>
      <c r="G359" s="13"/>
      <c r="H359" s="15"/>
      <c r="I359" s="45" t="s">
        <v>1454</v>
      </c>
      <c r="J359" s="45" t="s">
        <v>1390</v>
      </c>
      <c r="K359" s="46" t="s">
        <v>670</v>
      </c>
      <c r="L359" s="47" t="s">
        <v>1173</v>
      </c>
      <c r="M359" s="66">
        <f>IFERROR(VLOOKUP($L359,[3]Consolidated!$C$9:$AC$452,27,0),0)</f>
        <v>6143500</v>
      </c>
      <c r="N359" s="66">
        <f>IFERROR(VLOOKUP($L359,[3]Consolidated!$C$9:$AC$452,5,0),0)</f>
        <v>35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4">
        <f>(VLOOKUP($O$2,Prices!$E$3:$K$17,2,FALSE)*O359)+(VLOOKUP($P$2,Prices!$J$3:$K$17,2,FALSE)*P359)+(VLOOKUP($Q$2,Prices!$J$3:$K$17,2,FALSE)*Q359)+(VLOOKUP($R$2,Prices!$J$3:$K$17,2,FALSE)*R359)+(VLOOKUP($S$2,Prices!$J$3:$K$17,2,FALSE)*S359)+(VLOOKUP($T$2,Prices!$J$3:$K$17,2,FALSE)*T359)+(VLOOKUP($U$2,Prices!$J$3:$K$17,2,FALSE)*U359)+(VLOOKUP($V$2,Prices!$J$3:$K$17,2,FALSE)*V359)+(VLOOKUP($W$2,Prices!$J$3:$K$17,2,FALSE)*W359)+(VLOOKUP($X$2,Prices!$J$3:$K$17,2,FALSE)*X359)+(VLOOKUP($Y$2,Prices!$J$3:$K$17,2,FALSE)*Y359)+(VLOOKUP($Z$2,Prices!$J$3:$K$17,2,FALSE)*Z359)+(VLOOKUP($AA$2,Prices!$J$3:$K$17,2,FALSE)*AA359)+(VLOOKUP($AB$2,Prices!$J$3:$K$17,2,FALSE)*AB359)+M359</f>
        <v>6143500</v>
      </c>
      <c r="AD359" s="18"/>
      <c r="AE359" s="18"/>
      <c r="AF359" s="4">
        <f t="shared" si="31"/>
        <v>0</v>
      </c>
      <c r="AG359" s="4"/>
      <c r="AH359" s="16">
        <f t="shared" si="33"/>
        <v>0</v>
      </c>
      <c r="AI359" s="21">
        <f t="shared" si="32"/>
        <v>0</v>
      </c>
      <c r="AJ359" s="20">
        <f t="shared" si="34"/>
        <v>0</v>
      </c>
      <c r="AK359" s="9"/>
    </row>
    <row r="360" spans="1:37" hidden="1">
      <c r="A360" s="3">
        <v>358</v>
      </c>
      <c r="B360" s="12"/>
      <c r="C360" s="13"/>
      <c r="D360" s="13"/>
      <c r="E360" s="13"/>
      <c r="F360" s="13"/>
      <c r="G360" s="13"/>
      <c r="H360" s="15"/>
      <c r="I360" s="45" t="s">
        <v>1455</v>
      </c>
      <c r="J360" s="45" t="s">
        <v>1390</v>
      </c>
      <c r="K360" s="46" t="s">
        <v>670</v>
      </c>
      <c r="L360" s="47" t="s">
        <v>1175</v>
      </c>
      <c r="M360" s="66">
        <f>IFERROR(VLOOKUP($L360,[3]Consolidated!$C$9:$AC$452,27,0),0)</f>
        <v>6758500</v>
      </c>
      <c r="N360" s="66">
        <f>IFERROR(VLOOKUP($L360,[3]Consolidated!$C$9:$AC$452,5,0),0)</f>
        <v>35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4">
        <f>(VLOOKUP($O$2,Prices!$E$3:$K$17,2,FALSE)*O360)+(VLOOKUP($P$2,Prices!$J$3:$K$17,2,FALSE)*P360)+(VLOOKUP($Q$2,Prices!$J$3:$K$17,2,FALSE)*Q360)+(VLOOKUP($R$2,Prices!$J$3:$K$17,2,FALSE)*R360)+(VLOOKUP($S$2,Prices!$J$3:$K$17,2,FALSE)*S360)+(VLOOKUP($T$2,Prices!$J$3:$K$17,2,FALSE)*T360)+(VLOOKUP($U$2,Prices!$J$3:$K$17,2,FALSE)*U360)+(VLOOKUP($V$2,Prices!$J$3:$K$17,2,FALSE)*V360)+(VLOOKUP($W$2,Prices!$J$3:$K$17,2,FALSE)*W360)+(VLOOKUP($X$2,Prices!$J$3:$K$17,2,FALSE)*X360)+(VLOOKUP($Y$2,Prices!$J$3:$K$17,2,FALSE)*Y360)+(VLOOKUP($Z$2,Prices!$J$3:$K$17,2,FALSE)*Z360)+(VLOOKUP($AA$2,Prices!$J$3:$K$17,2,FALSE)*AA360)+(VLOOKUP($AB$2,Prices!$J$3:$K$17,2,FALSE)*AB360)+M360</f>
        <v>6758500</v>
      </c>
      <c r="AD360" s="18"/>
      <c r="AE360" s="18"/>
      <c r="AF360" s="4">
        <f t="shared" si="31"/>
        <v>0</v>
      </c>
      <c r="AG360" s="4"/>
      <c r="AH360" s="16">
        <f t="shared" si="33"/>
        <v>0</v>
      </c>
      <c r="AI360" s="21">
        <f t="shared" si="32"/>
        <v>0</v>
      </c>
      <c r="AJ360" s="20">
        <f t="shared" si="34"/>
        <v>0</v>
      </c>
      <c r="AK360" s="9"/>
    </row>
    <row r="361" spans="1:37" hidden="1">
      <c r="A361" s="3">
        <v>359</v>
      </c>
      <c r="B361" s="12"/>
      <c r="C361" s="13"/>
      <c r="D361" s="13"/>
      <c r="E361" s="13"/>
      <c r="F361" s="13"/>
      <c r="G361" s="13"/>
      <c r="H361" s="15"/>
      <c r="I361" s="45" t="s">
        <v>1456</v>
      </c>
      <c r="J361" s="45" t="s">
        <v>1390</v>
      </c>
      <c r="K361" s="46" t="s">
        <v>672</v>
      </c>
      <c r="L361" s="47" t="s">
        <v>1194</v>
      </c>
      <c r="M361" s="66">
        <f>IFERROR(VLOOKUP($L361,[3]Consolidated!$C$9:$AC$452,27,0),0)</f>
        <v>1879000</v>
      </c>
      <c r="N361" s="66">
        <f>IFERROR(VLOOKUP($L361,[3]Consolidated!$C$9:$AC$452,5,0),0)</f>
        <v>10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4">
        <f>(VLOOKUP($O$2,Prices!$E$3:$K$17,2,FALSE)*O361)+(VLOOKUP($P$2,Prices!$J$3:$K$17,2,FALSE)*P361)+(VLOOKUP($Q$2,Prices!$J$3:$K$17,2,FALSE)*Q361)+(VLOOKUP($R$2,Prices!$J$3:$K$17,2,FALSE)*R361)+(VLOOKUP($S$2,Prices!$J$3:$K$17,2,FALSE)*S361)+(VLOOKUP($T$2,Prices!$J$3:$K$17,2,FALSE)*T361)+(VLOOKUP($U$2,Prices!$J$3:$K$17,2,FALSE)*U361)+(VLOOKUP($V$2,Prices!$J$3:$K$17,2,FALSE)*V361)+(VLOOKUP($W$2,Prices!$J$3:$K$17,2,FALSE)*W361)+(VLOOKUP($X$2,Prices!$J$3:$K$17,2,FALSE)*X361)+(VLOOKUP($Y$2,Prices!$J$3:$K$17,2,FALSE)*Y361)+(VLOOKUP($Z$2,Prices!$J$3:$K$17,2,FALSE)*Z361)+(VLOOKUP($AA$2,Prices!$J$3:$K$17,2,FALSE)*AA361)+(VLOOKUP($AB$2,Prices!$J$3:$K$17,2,FALSE)*AB361)+M361</f>
        <v>1879000</v>
      </c>
      <c r="AD361" s="18"/>
      <c r="AE361" s="18"/>
      <c r="AF361" s="4">
        <f t="shared" si="31"/>
        <v>0</v>
      </c>
      <c r="AG361" s="4"/>
      <c r="AH361" s="16">
        <f t="shared" si="33"/>
        <v>0</v>
      </c>
      <c r="AI361" s="21">
        <f t="shared" si="32"/>
        <v>0</v>
      </c>
      <c r="AJ361" s="20">
        <f t="shared" si="34"/>
        <v>0</v>
      </c>
      <c r="AK361" s="9"/>
    </row>
    <row r="362" spans="1:37" hidden="1">
      <c r="A362" s="3">
        <v>360</v>
      </c>
      <c r="B362" s="12"/>
      <c r="C362" s="13"/>
      <c r="D362" s="13"/>
      <c r="E362" s="13"/>
      <c r="F362" s="13"/>
      <c r="G362" s="13"/>
      <c r="H362" s="15"/>
      <c r="I362" s="45" t="s">
        <v>1457</v>
      </c>
      <c r="J362" s="45" t="s">
        <v>1390</v>
      </c>
      <c r="K362" s="46" t="s">
        <v>670</v>
      </c>
      <c r="L362" s="47" t="s">
        <v>1174</v>
      </c>
      <c r="M362" s="66">
        <f>IFERROR(VLOOKUP($L362,[3]Consolidated!$C$9:$AC$452,27,0),0)</f>
        <v>1330000</v>
      </c>
      <c r="N362" s="66">
        <f>IFERROR(VLOOKUP($L362,[3]Consolidated!$C$9:$AC$452,5,0),0)</f>
        <v>10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4">
        <f>(VLOOKUP($O$2,Prices!$E$3:$K$17,2,FALSE)*O362)+(VLOOKUP($P$2,Prices!$J$3:$K$17,2,FALSE)*P362)+(VLOOKUP($Q$2,Prices!$J$3:$K$17,2,FALSE)*Q362)+(VLOOKUP($R$2,Prices!$J$3:$K$17,2,FALSE)*R362)+(VLOOKUP($S$2,Prices!$J$3:$K$17,2,FALSE)*S362)+(VLOOKUP($T$2,Prices!$J$3:$K$17,2,FALSE)*T362)+(VLOOKUP($U$2,Prices!$J$3:$K$17,2,FALSE)*U362)+(VLOOKUP($V$2,Prices!$J$3:$K$17,2,FALSE)*V362)+(VLOOKUP($W$2,Prices!$J$3:$K$17,2,FALSE)*W362)+(VLOOKUP($X$2,Prices!$J$3:$K$17,2,FALSE)*X362)+(VLOOKUP($Y$2,Prices!$J$3:$K$17,2,FALSE)*Y362)+(VLOOKUP($Z$2,Prices!$J$3:$K$17,2,FALSE)*Z362)+(VLOOKUP($AA$2,Prices!$J$3:$K$17,2,FALSE)*AA362)+(VLOOKUP($AB$2,Prices!$J$3:$K$17,2,FALSE)*AB362)+M362</f>
        <v>1330000</v>
      </c>
      <c r="AD362" s="18"/>
      <c r="AE362" s="18"/>
      <c r="AF362" s="4">
        <f t="shared" si="31"/>
        <v>0</v>
      </c>
      <c r="AG362" s="4"/>
      <c r="AH362" s="16">
        <f t="shared" si="33"/>
        <v>0</v>
      </c>
      <c r="AI362" s="21">
        <f t="shared" si="32"/>
        <v>0</v>
      </c>
      <c r="AJ362" s="20">
        <f t="shared" si="34"/>
        <v>0</v>
      </c>
      <c r="AK362" s="9"/>
    </row>
    <row r="363" spans="1:37" hidden="1">
      <c r="A363" s="3">
        <v>361</v>
      </c>
      <c r="B363" s="12"/>
      <c r="C363" s="13"/>
      <c r="D363" s="13"/>
      <c r="E363" s="13"/>
      <c r="F363" s="13"/>
      <c r="G363" s="13"/>
      <c r="H363" s="15"/>
      <c r="I363" s="45" t="s">
        <v>1458</v>
      </c>
      <c r="J363" s="45" t="s">
        <v>1390</v>
      </c>
      <c r="K363" s="46" t="s">
        <v>671</v>
      </c>
      <c r="L363" s="46" t="s">
        <v>1192</v>
      </c>
      <c r="M363" s="66">
        <f>IFERROR(VLOOKUP($L363,[3]Consolidated!$C$9:$AC$452,27,0),0)</f>
        <v>1636000</v>
      </c>
      <c r="N363" s="66">
        <f>IFERROR(VLOOKUP($L363,[3]Consolidated!$C$9:$AC$452,5,0),0)</f>
        <v>10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4">
        <f>(VLOOKUP($O$2,Prices!$E$3:$K$17,2,FALSE)*O363)+(VLOOKUP($P$2,Prices!$J$3:$K$17,2,FALSE)*P363)+(VLOOKUP($Q$2,Prices!$J$3:$K$17,2,FALSE)*Q363)+(VLOOKUP($R$2,Prices!$J$3:$K$17,2,FALSE)*R363)+(VLOOKUP($S$2,Prices!$J$3:$K$17,2,FALSE)*S363)+(VLOOKUP($T$2,Prices!$J$3:$K$17,2,FALSE)*T363)+(VLOOKUP($U$2,Prices!$J$3:$K$17,2,FALSE)*U363)+(VLOOKUP($V$2,Prices!$J$3:$K$17,2,FALSE)*V363)+(VLOOKUP($W$2,Prices!$J$3:$K$17,2,FALSE)*W363)+(VLOOKUP($X$2,Prices!$J$3:$K$17,2,FALSE)*X363)+(VLOOKUP($Y$2,Prices!$J$3:$K$17,2,FALSE)*Y363)+(VLOOKUP($Z$2,Prices!$J$3:$K$17,2,FALSE)*Z363)+(VLOOKUP($AA$2,Prices!$J$3:$K$17,2,FALSE)*AA363)+(VLOOKUP($AB$2,Prices!$J$3:$K$17,2,FALSE)*AB363)+M363</f>
        <v>1636000</v>
      </c>
      <c r="AD363" s="18"/>
      <c r="AE363" s="18"/>
      <c r="AF363" s="4">
        <f t="shared" si="31"/>
        <v>0</v>
      </c>
      <c r="AG363" s="4"/>
      <c r="AH363" s="16">
        <f t="shared" si="33"/>
        <v>0</v>
      </c>
      <c r="AI363" s="21">
        <f t="shared" si="32"/>
        <v>0</v>
      </c>
      <c r="AJ363" s="20">
        <f t="shared" si="34"/>
        <v>0</v>
      </c>
      <c r="AK363" s="9"/>
    </row>
    <row r="364" spans="1:37" hidden="1">
      <c r="A364" s="3">
        <v>362</v>
      </c>
      <c r="B364" s="12"/>
      <c r="C364" s="13"/>
      <c r="D364" s="13"/>
      <c r="E364" s="13"/>
      <c r="F364" s="13"/>
      <c r="G364" s="13"/>
      <c r="H364" s="15"/>
      <c r="I364" s="45" t="s">
        <v>1459</v>
      </c>
      <c r="J364" s="45" t="s">
        <v>1390</v>
      </c>
      <c r="K364" s="46" t="s">
        <v>672</v>
      </c>
      <c r="L364" s="46" t="s">
        <v>1207</v>
      </c>
      <c r="M364" s="66">
        <f>IFERROR(VLOOKUP($L364,[3]Consolidated!$C$9:$AC$452,27,0),0)</f>
        <v>6087500</v>
      </c>
      <c r="N364" s="66">
        <f>IFERROR(VLOOKUP($L364,[3]Consolidated!$C$9:$AC$452,5,0),0)</f>
        <v>35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4">
        <f>(VLOOKUP($O$2,Prices!$E$3:$K$17,2,FALSE)*O364)+(VLOOKUP($P$2,Prices!$J$3:$K$17,2,FALSE)*P364)+(VLOOKUP($Q$2,Prices!$J$3:$K$17,2,FALSE)*Q364)+(VLOOKUP($R$2,Prices!$J$3:$K$17,2,FALSE)*R364)+(VLOOKUP($S$2,Prices!$J$3:$K$17,2,FALSE)*S364)+(VLOOKUP($T$2,Prices!$J$3:$K$17,2,FALSE)*T364)+(VLOOKUP($U$2,Prices!$J$3:$K$17,2,FALSE)*U364)+(VLOOKUP($V$2,Prices!$J$3:$K$17,2,FALSE)*V364)+(VLOOKUP($W$2,Prices!$J$3:$K$17,2,FALSE)*W364)+(VLOOKUP($X$2,Prices!$J$3:$K$17,2,FALSE)*X364)+(VLOOKUP($Y$2,Prices!$J$3:$K$17,2,FALSE)*Y364)+(VLOOKUP($Z$2,Prices!$J$3:$K$17,2,FALSE)*Z364)+(VLOOKUP($AA$2,Prices!$J$3:$K$17,2,FALSE)*AA364)+(VLOOKUP($AB$2,Prices!$J$3:$K$17,2,FALSE)*AB364)+M364</f>
        <v>6087500</v>
      </c>
      <c r="AD364" s="18"/>
      <c r="AE364" s="18"/>
      <c r="AF364" s="4">
        <f t="shared" si="31"/>
        <v>0</v>
      </c>
      <c r="AG364" s="4"/>
      <c r="AH364" s="16">
        <f t="shared" si="33"/>
        <v>0</v>
      </c>
      <c r="AI364" s="21">
        <f t="shared" si="32"/>
        <v>0</v>
      </c>
      <c r="AJ364" s="20">
        <f t="shared" si="34"/>
        <v>0</v>
      </c>
      <c r="AK364" s="9"/>
    </row>
    <row r="365" spans="1:37" hidden="1">
      <c r="A365" s="3">
        <v>363</v>
      </c>
      <c r="B365" s="12"/>
      <c r="C365" s="13"/>
      <c r="D365" s="13"/>
      <c r="E365" s="13"/>
      <c r="F365" s="13"/>
      <c r="G365" s="13"/>
      <c r="H365" s="15"/>
      <c r="I365" s="45" t="s">
        <v>1460</v>
      </c>
      <c r="J365" s="45" t="s">
        <v>1390</v>
      </c>
      <c r="K365" s="46" t="s">
        <v>670</v>
      </c>
      <c r="L365" s="46" t="s">
        <v>1176</v>
      </c>
      <c r="M365" s="66">
        <f>IFERROR(VLOOKUP($L365,[3]Consolidated!$C$9:$AC$452,27,0),0)</f>
        <v>8000000</v>
      </c>
      <c r="N365" s="66">
        <f>IFERROR(VLOOKUP($L365,[3]Consolidated!$C$9:$AC$452,5,0),0)</f>
        <v>40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4">
        <f>(VLOOKUP($O$2,Prices!$E$3:$K$17,2,FALSE)*O365)+(VLOOKUP($P$2,Prices!$J$3:$K$17,2,FALSE)*P365)+(VLOOKUP($Q$2,Prices!$J$3:$K$17,2,FALSE)*Q365)+(VLOOKUP($R$2,Prices!$J$3:$K$17,2,FALSE)*R365)+(VLOOKUP($S$2,Prices!$J$3:$K$17,2,FALSE)*S365)+(VLOOKUP($T$2,Prices!$J$3:$K$17,2,FALSE)*T365)+(VLOOKUP($U$2,Prices!$J$3:$K$17,2,FALSE)*U365)+(VLOOKUP($V$2,Prices!$J$3:$K$17,2,FALSE)*V365)+(VLOOKUP($W$2,Prices!$J$3:$K$17,2,FALSE)*W365)+(VLOOKUP($X$2,Prices!$J$3:$K$17,2,FALSE)*X365)+(VLOOKUP($Y$2,Prices!$J$3:$K$17,2,FALSE)*Y365)+(VLOOKUP($Z$2,Prices!$J$3:$K$17,2,FALSE)*Z365)+(VLOOKUP($AA$2,Prices!$J$3:$K$17,2,FALSE)*AA365)+(VLOOKUP($AB$2,Prices!$J$3:$K$17,2,FALSE)*AB365)+M365</f>
        <v>8000000</v>
      </c>
      <c r="AD365" s="18"/>
      <c r="AE365" s="18"/>
      <c r="AF365" s="4">
        <f t="shared" si="31"/>
        <v>0</v>
      </c>
      <c r="AG365" s="4"/>
      <c r="AH365" s="16">
        <f t="shared" si="33"/>
        <v>0</v>
      </c>
      <c r="AI365" s="21">
        <f t="shared" si="32"/>
        <v>0</v>
      </c>
      <c r="AJ365" s="20">
        <f t="shared" si="34"/>
        <v>0</v>
      </c>
      <c r="AK365" s="9"/>
    </row>
    <row r="366" spans="1:37" hidden="1">
      <c r="A366" s="3">
        <v>364</v>
      </c>
      <c r="B366" s="12"/>
      <c r="C366" s="13"/>
      <c r="D366" s="13"/>
      <c r="E366" s="13"/>
      <c r="F366" s="13"/>
      <c r="G366" s="13"/>
      <c r="H366" s="15"/>
      <c r="I366" s="45" t="s">
        <v>1461</v>
      </c>
      <c r="J366" s="45" t="s">
        <v>1390</v>
      </c>
      <c r="K366" s="46" t="s">
        <v>672</v>
      </c>
      <c r="L366" s="46" t="s">
        <v>1208</v>
      </c>
      <c r="M366" s="66">
        <f>IFERROR(VLOOKUP($L366,[3]Consolidated!$C$9:$AC$452,27,0),0)</f>
        <v>2173000</v>
      </c>
      <c r="N366" s="66">
        <f>IFERROR(VLOOKUP($L366,[3]Consolidated!$C$9:$AC$452,5,0),0)</f>
        <v>10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4">
        <f>(VLOOKUP($O$2,Prices!$E$3:$K$17,2,FALSE)*O366)+(VLOOKUP($P$2,Prices!$J$3:$K$17,2,FALSE)*P366)+(VLOOKUP($Q$2,Prices!$J$3:$K$17,2,FALSE)*Q366)+(VLOOKUP($R$2,Prices!$J$3:$K$17,2,FALSE)*R366)+(VLOOKUP($S$2,Prices!$J$3:$K$17,2,FALSE)*S366)+(VLOOKUP($T$2,Prices!$J$3:$K$17,2,FALSE)*T366)+(VLOOKUP($U$2,Prices!$J$3:$K$17,2,FALSE)*U366)+(VLOOKUP($V$2,Prices!$J$3:$K$17,2,FALSE)*V366)+(VLOOKUP($W$2,Prices!$J$3:$K$17,2,FALSE)*W366)+(VLOOKUP($X$2,Prices!$J$3:$K$17,2,FALSE)*X366)+(VLOOKUP($Y$2,Prices!$J$3:$K$17,2,FALSE)*Y366)+(VLOOKUP($Z$2,Prices!$J$3:$K$17,2,FALSE)*Z366)+(VLOOKUP($AA$2,Prices!$J$3:$K$17,2,FALSE)*AA366)+(VLOOKUP($AB$2,Prices!$J$3:$K$17,2,FALSE)*AB366)+M366</f>
        <v>2173000</v>
      </c>
      <c r="AD366" s="18"/>
      <c r="AE366" s="18"/>
      <c r="AF366" s="4">
        <f t="shared" si="31"/>
        <v>0</v>
      </c>
      <c r="AG366" s="4"/>
      <c r="AH366" s="16">
        <f t="shared" si="33"/>
        <v>0</v>
      </c>
      <c r="AI366" s="21">
        <f t="shared" si="32"/>
        <v>0</v>
      </c>
      <c r="AJ366" s="20">
        <f t="shared" si="34"/>
        <v>0</v>
      </c>
      <c r="AK366" s="19"/>
    </row>
    <row r="367" spans="1:37" hidden="1">
      <c r="A367" s="3">
        <v>365</v>
      </c>
      <c r="B367" s="12"/>
      <c r="C367" s="13"/>
      <c r="D367" s="13"/>
      <c r="E367" s="13"/>
      <c r="F367" s="13"/>
      <c r="G367" s="13"/>
      <c r="H367" s="15"/>
      <c r="I367" s="45" t="s">
        <v>1462</v>
      </c>
      <c r="J367" s="45" t="s">
        <v>1390</v>
      </c>
      <c r="K367" s="46" t="s">
        <v>670</v>
      </c>
      <c r="L367" s="47" t="s">
        <v>1362</v>
      </c>
      <c r="M367" s="66">
        <f>IFERROR(VLOOKUP($L367,[3]Consolidated!$C$9:$AC$452,27,0),0)</f>
        <v>5475500</v>
      </c>
      <c r="N367" s="66">
        <f>IFERROR(VLOOKUP($L367,[3]Consolidated!$C$9:$AC$452,5,0),0)</f>
        <v>35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4">
        <f>(VLOOKUP($O$2,Prices!$E$3:$K$17,2,FALSE)*O367)+(VLOOKUP($P$2,Prices!$J$3:$K$17,2,FALSE)*P367)+(VLOOKUP($Q$2,Prices!$J$3:$K$17,2,FALSE)*Q367)+(VLOOKUP($R$2,Prices!$J$3:$K$17,2,FALSE)*R367)+(VLOOKUP($S$2,Prices!$J$3:$K$17,2,FALSE)*S367)+(VLOOKUP($T$2,Prices!$J$3:$K$17,2,FALSE)*T367)+(VLOOKUP($U$2,Prices!$J$3:$K$17,2,FALSE)*U367)+(VLOOKUP($V$2,Prices!$J$3:$K$17,2,FALSE)*V367)+(VLOOKUP($W$2,Prices!$J$3:$K$17,2,FALSE)*W367)+(VLOOKUP($X$2,Prices!$J$3:$K$17,2,FALSE)*X367)+(VLOOKUP($Y$2,Prices!$J$3:$K$17,2,FALSE)*Y367)+(VLOOKUP($Z$2,Prices!$J$3:$K$17,2,FALSE)*Z367)+(VLOOKUP($AA$2,Prices!$J$3:$K$17,2,FALSE)*AA367)+(VLOOKUP($AB$2,Prices!$J$3:$K$17,2,FALSE)*AB367)+M367</f>
        <v>5475500</v>
      </c>
      <c r="AD367" s="18"/>
      <c r="AE367" s="18"/>
      <c r="AF367" s="4">
        <f t="shared" si="31"/>
        <v>0</v>
      </c>
      <c r="AG367" s="4"/>
      <c r="AH367" s="16">
        <f t="shared" si="33"/>
        <v>0</v>
      </c>
      <c r="AI367" s="21">
        <f t="shared" si="32"/>
        <v>0</v>
      </c>
      <c r="AJ367" s="20">
        <f t="shared" si="34"/>
        <v>0</v>
      </c>
      <c r="AK367" s="9"/>
    </row>
    <row r="368" spans="1:37" hidden="1">
      <c r="A368" s="3">
        <v>366</v>
      </c>
      <c r="B368" s="12"/>
      <c r="C368" s="13"/>
      <c r="D368" s="13"/>
      <c r="E368" s="13"/>
      <c r="F368" s="13"/>
      <c r="G368" s="13"/>
      <c r="H368" s="15"/>
      <c r="I368" s="45" t="s">
        <v>1463</v>
      </c>
      <c r="J368" s="45" t="s">
        <v>1390</v>
      </c>
      <c r="K368" s="46" t="s">
        <v>670</v>
      </c>
      <c r="L368" s="47" t="s">
        <v>1363</v>
      </c>
      <c r="M368" s="66">
        <f>IFERROR(VLOOKUP($L368,[3]Consolidated!$C$9:$AC$452,27,0),0)</f>
        <v>1255000</v>
      </c>
      <c r="N368" s="66">
        <f>IFERROR(VLOOKUP($L368,[3]Consolidated!$C$9:$AC$452,5,0),0)</f>
        <v>10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4">
        <f>(VLOOKUP($O$2,Prices!$E$3:$K$17,2,FALSE)*O368)+(VLOOKUP($P$2,Prices!$J$3:$K$17,2,FALSE)*P368)+(VLOOKUP($Q$2,Prices!$J$3:$K$17,2,FALSE)*Q368)+(VLOOKUP($R$2,Prices!$J$3:$K$17,2,FALSE)*R368)+(VLOOKUP($S$2,Prices!$J$3:$K$17,2,FALSE)*S368)+(VLOOKUP($T$2,Prices!$J$3:$K$17,2,FALSE)*T368)+(VLOOKUP($U$2,Prices!$J$3:$K$17,2,FALSE)*U368)+(VLOOKUP($V$2,Prices!$J$3:$K$17,2,FALSE)*V368)+(VLOOKUP($W$2,Prices!$J$3:$K$17,2,FALSE)*W368)+(VLOOKUP($X$2,Prices!$J$3:$K$17,2,FALSE)*X368)+(VLOOKUP($Y$2,Prices!$J$3:$K$17,2,FALSE)*Y368)+(VLOOKUP($Z$2,Prices!$J$3:$K$17,2,FALSE)*Z368)+(VLOOKUP($AA$2,Prices!$J$3:$K$17,2,FALSE)*AA368)+(VLOOKUP($AB$2,Prices!$J$3:$K$17,2,FALSE)*AB368)+M368</f>
        <v>1255000</v>
      </c>
      <c r="AD368" s="18"/>
      <c r="AE368" s="18"/>
      <c r="AF368" s="4">
        <f t="shared" si="31"/>
        <v>0</v>
      </c>
      <c r="AG368" s="4"/>
      <c r="AH368" s="16">
        <f t="shared" si="33"/>
        <v>0</v>
      </c>
      <c r="AI368" s="21">
        <f t="shared" si="32"/>
        <v>0</v>
      </c>
      <c r="AJ368" s="20">
        <f t="shared" si="34"/>
        <v>0</v>
      </c>
      <c r="AK368" s="9"/>
    </row>
    <row r="369" spans="1:37" hidden="1">
      <c r="A369" s="3">
        <v>367</v>
      </c>
      <c r="B369" s="12"/>
      <c r="C369" s="13"/>
      <c r="D369" s="13"/>
      <c r="E369" s="13"/>
      <c r="F369" s="13"/>
      <c r="G369" s="13"/>
      <c r="H369" s="15"/>
      <c r="I369" s="45" t="s">
        <v>1464</v>
      </c>
      <c r="J369" s="45" t="s">
        <v>1390</v>
      </c>
      <c r="K369" s="46" t="s">
        <v>669</v>
      </c>
      <c r="L369" s="47" t="s">
        <v>1209</v>
      </c>
      <c r="M369" s="66">
        <f>IFERROR(VLOOKUP($L369,[3]Consolidated!$C$9:$AC$452,27,0),0)</f>
        <v>1676000</v>
      </c>
      <c r="N369" s="66">
        <f>IFERROR(VLOOKUP($L369,[3]Consolidated!$C$9:$AC$452,5,0),0)</f>
        <v>10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4">
        <f>(VLOOKUP($O$2,Prices!$E$3:$K$17,2,FALSE)*O369)+(VLOOKUP($P$2,Prices!$J$3:$K$17,2,FALSE)*P369)+(VLOOKUP($Q$2,Prices!$J$3:$K$17,2,FALSE)*Q369)+(VLOOKUP($R$2,Prices!$J$3:$K$17,2,FALSE)*R369)+(VLOOKUP($S$2,Prices!$J$3:$K$17,2,FALSE)*S369)+(VLOOKUP($T$2,Prices!$J$3:$K$17,2,FALSE)*T369)+(VLOOKUP($U$2,Prices!$J$3:$K$17,2,FALSE)*U369)+(VLOOKUP($V$2,Prices!$J$3:$K$17,2,FALSE)*V369)+(VLOOKUP($W$2,Prices!$J$3:$K$17,2,FALSE)*W369)+(VLOOKUP($X$2,Prices!$J$3:$K$17,2,FALSE)*X369)+(VLOOKUP($Y$2,Prices!$J$3:$K$17,2,FALSE)*Y369)+(VLOOKUP($Z$2,Prices!$J$3:$K$17,2,FALSE)*Z369)+(VLOOKUP($AA$2,Prices!$J$3:$K$17,2,FALSE)*AA369)+(VLOOKUP($AB$2,Prices!$J$3:$K$17,2,FALSE)*AB369)+M369</f>
        <v>1676000</v>
      </c>
      <c r="AD369" s="18"/>
      <c r="AE369" s="18"/>
      <c r="AF369" s="4">
        <f t="shared" si="31"/>
        <v>0</v>
      </c>
      <c r="AG369" s="4"/>
      <c r="AH369" s="16">
        <f t="shared" si="33"/>
        <v>0</v>
      </c>
      <c r="AI369" s="21">
        <f t="shared" si="32"/>
        <v>0</v>
      </c>
      <c r="AJ369" s="20">
        <f t="shared" si="34"/>
        <v>0</v>
      </c>
      <c r="AK369" s="9"/>
    </row>
    <row r="370" spans="1:37" hidden="1">
      <c r="A370" s="3">
        <v>368</v>
      </c>
      <c r="B370" s="12"/>
      <c r="C370" s="13"/>
      <c r="D370" s="13"/>
      <c r="E370" s="13"/>
      <c r="F370" s="13"/>
      <c r="G370" s="13"/>
      <c r="H370" s="15"/>
      <c r="I370" s="45" t="s">
        <v>1465</v>
      </c>
      <c r="J370" s="45" t="s">
        <v>1390</v>
      </c>
      <c r="K370" s="46" t="s">
        <v>669</v>
      </c>
      <c r="L370" s="47" t="s">
        <v>1210</v>
      </c>
      <c r="M370" s="66">
        <f>IFERROR(VLOOKUP($L370,[3]Consolidated!$C$9:$AC$452,27,0),0)</f>
        <v>1676000</v>
      </c>
      <c r="N370" s="66">
        <f>IFERROR(VLOOKUP($L370,[3]Consolidated!$C$9:$AC$452,5,0),0)</f>
        <v>10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4">
        <f>(VLOOKUP($O$2,Prices!$E$3:$K$17,2,FALSE)*O370)+(VLOOKUP($P$2,Prices!$J$3:$K$17,2,FALSE)*P370)+(VLOOKUP($Q$2,Prices!$J$3:$K$17,2,FALSE)*Q370)+(VLOOKUP($R$2,Prices!$J$3:$K$17,2,FALSE)*R370)+(VLOOKUP($S$2,Prices!$J$3:$K$17,2,FALSE)*S370)+(VLOOKUP($T$2,Prices!$J$3:$K$17,2,FALSE)*T370)+(VLOOKUP($U$2,Prices!$J$3:$K$17,2,FALSE)*U370)+(VLOOKUP($V$2,Prices!$J$3:$K$17,2,FALSE)*V370)+(VLOOKUP($W$2,Prices!$J$3:$K$17,2,FALSE)*W370)+(VLOOKUP($X$2,Prices!$J$3:$K$17,2,FALSE)*X370)+(VLOOKUP($Y$2,Prices!$J$3:$K$17,2,FALSE)*Y370)+(VLOOKUP($Z$2,Prices!$J$3:$K$17,2,FALSE)*Z370)+(VLOOKUP($AA$2,Prices!$J$3:$K$17,2,FALSE)*AA370)+(VLOOKUP($AB$2,Prices!$J$3:$K$17,2,FALSE)*AB370)+M370</f>
        <v>1676000</v>
      </c>
      <c r="AD370" s="18"/>
      <c r="AE370" s="18"/>
      <c r="AF370" s="4">
        <f t="shared" si="31"/>
        <v>0</v>
      </c>
      <c r="AG370" s="4"/>
      <c r="AH370" s="16">
        <f t="shared" si="33"/>
        <v>0</v>
      </c>
      <c r="AI370" s="21">
        <f t="shared" si="32"/>
        <v>0</v>
      </c>
      <c r="AJ370" s="20">
        <f t="shared" si="34"/>
        <v>0</v>
      </c>
      <c r="AK370" s="9"/>
    </row>
    <row r="371" spans="1:37" hidden="1">
      <c r="A371" s="3">
        <v>369</v>
      </c>
      <c r="B371" s="12"/>
      <c r="C371" s="13"/>
      <c r="D371" s="13"/>
      <c r="E371" s="13"/>
      <c r="F371" s="13"/>
      <c r="G371" s="13"/>
      <c r="H371" s="15"/>
      <c r="I371" s="45" t="s">
        <v>1466</v>
      </c>
      <c r="J371" s="45" t="s">
        <v>1390</v>
      </c>
      <c r="K371" s="46" t="s">
        <v>671</v>
      </c>
      <c r="L371" s="47" t="s">
        <v>1333</v>
      </c>
      <c r="M371" s="66">
        <f>IFERROR(VLOOKUP($L371,[3]Consolidated!$C$9:$AC$452,27,0),0)</f>
        <v>1242600</v>
      </c>
      <c r="N371" s="66">
        <f>IFERROR(VLOOKUP($L371,[3]Consolidated!$C$9:$AC$452,5,0),0)</f>
        <v>10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4">
        <f>(VLOOKUP($O$2,Prices!$E$3:$K$17,2,FALSE)*O371)+(VLOOKUP($P$2,Prices!$J$3:$K$17,2,FALSE)*P371)+(VLOOKUP($Q$2,Prices!$J$3:$K$17,2,FALSE)*Q371)+(VLOOKUP($R$2,Prices!$J$3:$K$17,2,FALSE)*R371)+(VLOOKUP($S$2,Prices!$J$3:$K$17,2,FALSE)*S371)+(VLOOKUP($T$2,Prices!$J$3:$K$17,2,FALSE)*T371)+(VLOOKUP($U$2,Prices!$J$3:$K$17,2,FALSE)*U371)+(VLOOKUP($V$2,Prices!$J$3:$K$17,2,FALSE)*V371)+(VLOOKUP($W$2,Prices!$J$3:$K$17,2,FALSE)*W371)+(VLOOKUP($X$2,Prices!$J$3:$K$17,2,FALSE)*X371)+(VLOOKUP($Y$2,Prices!$J$3:$K$17,2,FALSE)*Y371)+(VLOOKUP($Z$2,Prices!$J$3:$K$17,2,FALSE)*Z371)+(VLOOKUP($AA$2,Prices!$J$3:$K$17,2,FALSE)*AA371)+(VLOOKUP($AB$2,Prices!$J$3:$K$17,2,FALSE)*AB371)+M371</f>
        <v>1242600</v>
      </c>
      <c r="AD371" s="18"/>
      <c r="AE371" s="18"/>
      <c r="AF371" s="4">
        <f t="shared" si="31"/>
        <v>0</v>
      </c>
      <c r="AG371" s="4"/>
      <c r="AH371" s="16">
        <f t="shared" si="33"/>
        <v>0</v>
      </c>
      <c r="AI371" s="21">
        <f t="shared" si="32"/>
        <v>0</v>
      </c>
      <c r="AJ371" s="20">
        <f t="shared" si="34"/>
        <v>0</v>
      </c>
      <c r="AK371" s="9"/>
    </row>
    <row r="372" spans="1:37" hidden="1">
      <c r="A372" s="3">
        <v>370</v>
      </c>
      <c r="B372" s="12"/>
      <c r="C372" s="13"/>
      <c r="D372" s="13"/>
      <c r="E372" s="13"/>
      <c r="F372" s="13"/>
      <c r="G372" s="13"/>
      <c r="H372" s="15"/>
      <c r="I372" s="45" t="s">
        <v>1467</v>
      </c>
      <c r="J372" s="45" t="s">
        <v>1390</v>
      </c>
      <c r="K372" s="46" t="s">
        <v>671</v>
      </c>
      <c r="L372" s="47" t="s">
        <v>1334</v>
      </c>
      <c r="M372" s="66">
        <f>IFERROR(VLOOKUP($L372,[3]Consolidated!$C$9:$AC$452,27,0),0)</f>
        <v>5942500</v>
      </c>
      <c r="N372" s="66">
        <f>IFERROR(VLOOKUP($L372,[3]Consolidated!$C$9:$AC$452,5,0),0)</f>
        <v>35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4">
        <f>(VLOOKUP($O$2,Prices!$E$3:$K$17,2,FALSE)*O372)+(VLOOKUP($P$2,Prices!$J$3:$K$17,2,FALSE)*P372)+(VLOOKUP($Q$2,Prices!$J$3:$K$17,2,FALSE)*Q372)+(VLOOKUP($R$2,Prices!$J$3:$K$17,2,FALSE)*R372)+(VLOOKUP($S$2,Prices!$J$3:$K$17,2,FALSE)*S372)+(VLOOKUP($T$2,Prices!$J$3:$K$17,2,FALSE)*T372)+(VLOOKUP($U$2,Prices!$J$3:$K$17,2,FALSE)*U372)+(VLOOKUP($V$2,Prices!$J$3:$K$17,2,FALSE)*V372)+(VLOOKUP($W$2,Prices!$J$3:$K$17,2,FALSE)*W372)+(VLOOKUP($X$2,Prices!$J$3:$K$17,2,FALSE)*X372)+(VLOOKUP($Y$2,Prices!$J$3:$K$17,2,FALSE)*Y372)+(VLOOKUP($Z$2,Prices!$J$3:$K$17,2,FALSE)*Z372)+(VLOOKUP($AA$2,Prices!$J$3:$K$17,2,FALSE)*AA372)+(VLOOKUP($AB$2,Prices!$J$3:$K$17,2,FALSE)*AB372)+M372</f>
        <v>5942500</v>
      </c>
      <c r="AD372" s="18"/>
      <c r="AE372" s="18"/>
      <c r="AF372" s="4">
        <f t="shared" si="31"/>
        <v>0</v>
      </c>
      <c r="AG372" s="4"/>
      <c r="AH372" s="16">
        <f t="shared" si="33"/>
        <v>0</v>
      </c>
      <c r="AI372" s="21">
        <f t="shared" si="32"/>
        <v>0</v>
      </c>
      <c r="AJ372" s="20">
        <f t="shared" si="34"/>
        <v>0</v>
      </c>
      <c r="AK372" s="9"/>
    </row>
    <row r="373" spans="1:37" hidden="1">
      <c r="A373" s="3">
        <v>371</v>
      </c>
      <c r="B373" s="12"/>
      <c r="C373" s="13"/>
      <c r="D373" s="13"/>
      <c r="E373" s="13"/>
      <c r="F373" s="13"/>
      <c r="G373" s="13"/>
      <c r="H373" s="15"/>
      <c r="I373" s="45" t="s">
        <v>823</v>
      </c>
      <c r="J373" s="45" t="s">
        <v>1390</v>
      </c>
      <c r="K373" s="46" t="s">
        <v>669</v>
      </c>
      <c r="L373" s="47" t="s">
        <v>1154</v>
      </c>
      <c r="M373" s="66">
        <f>IFERROR(VLOOKUP($L373,[3]Consolidated!$C$9:$AC$452,27,0),0)</f>
        <v>5805500</v>
      </c>
      <c r="N373" s="66">
        <f>IFERROR(VLOOKUP($L373,[3]Consolidated!$C$9:$AC$452,5,0),0)</f>
        <v>35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4">
        <f>(VLOOKUP($O$2,Prices!$E$3:$K$17,2,FALSE)*O373)+(VLOOKUP($P$2,Prices!$J$3:$K$17,2,FALSE)*P373)+(VLOOKUP($Q$2,Prices!$J$3:$K$17,2,FALSE)*Q373)+(VLOOKUP($R$2,Prices!$J$3:$K$17,2,FALSE)*R373)+(VLOOKUP($S$2,Prices!$J$3:$K$17,2,FALSE)*S373)+(VLOOKUP($T$2,Prices!$J$3:$K$17,2,FALSE)*T373)+(VLOOKUP($U$2,Prices!$J$3:$K$17,2,FALSE)*U373)+(VLOOKUP($V$2,Prices!$J$3:$K$17,2,FALSE)*V373)+(VLOOKUP($W$2,Prices!$J$3:$K$17,2,FALSE)*W373)+(VLOOKUP($X$2,Prices!$J$3:$K$17,2,FALSE)*X373)+(VLOOKUP($Y$2,Prices!$J$3:$K$17,2,FALSE)*Y373)+(VLOOKUP($Z$2,Prices!$J$3:$K$17,2,FALSE)*Z373)+(VLOOKUP($AA$2,Prices!$J$3:$K$17,2,FALSE)*AA373)+(VLOOKUP($AB$2,Prices!$J$3:$K$17,2,FALSE)*AB373)+M373</f>
        <v>5805500</v>
      </c>
      <c r="AD373" s="18"/>
      <c r="AE373" s="18"/>
      <c r="AF373" s="4">
        <f t="shared" si="31"/>
        <v>0</v>
      </c>
      <c r="AG373" s="4"/>
      <c r="AH373" s="16">
        <f t="shared" si="33"/>
        <v>0</v>
      </c>
      <c r="AI373" s="21">
        <f t="shared" si="32"/>
        <v>0</v>
      </c>
      <c r="AJ373" s="20">
        <f t="shared" si="34"/>
        <v>0</v>
      </c>
      <c r="AK373" s="9"/>
    </row>
    <row r="374" spans="1:37" hidden="1">
      <c r="A374" s="3">
        <v>372</v>
      </c>
      <c r="B374" s="12"/>
      <c r="C374" s="13"/>
      <c r="D374" s="13"/>
      <c r="E374" s="13"/>
      <c r="F374" s="13"/>
      <c r="G374" s="13"/>
      <c r="H374" s="15"/>
      <c r="I374" s="45" t="s">
        <v>852</v>
      </c>
      <c r="J374" s="45" t="s">
        <v>1390</v>
      </c>
      <c r="K374" s="46" t="s">
        <v>672</v>
      </c>
      <c r="L374" s="47" t="s">
        <v>1196</v>
      </c>
      <c r="M374" s="66">
        <f>IFERROR(VLOOKUP($L374,[3]Consolidated!$C$9:$AC$452,27,0),0)</f>
        <v>6087500</v>
      </c>
      <c r="N374" s="66">
        <f>IFERROR(VLOOKUP($L374,[3]Consolidated!$C$9:$AC$452,5,0),0)</f>
        <v>35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4">
        <f>(VLOOKUP($O$2,Prices!$E$3:$K$17,2,FALSE)*O374)+(VLOOKUP($P$2,Prices!$J$3:$K$17,2,FALSE)*P374)+(VLOOKUP($Q$2,Prices!$J$3:$K$17,2,FALSE)*Q374)+(VLOOKUP($R$2,Prices!$J$3:$K$17,2,FALSE)*R374)+(VLOOKUP($S$2,Prices!$J$3:$K$17,2,FALSE)*S374)+(VLOOKUP($T$2,Prices!$J$3:$K$17,2,FALSE)*T374)+(VLOOKUP($U$2,Prices!$J$3:$K$17,2,FALSE)*U374)+(VLOOKUP($V$2,Prices!$J$3:$K$17,2,FALSE)*V374)+(VLOOKUP($W$2,Prices!$J$3:$K$17,2,FALSE)*W374)+(VLOOKUP($X$2,Prices!$J$3:$K$17,2,FALSE)*X374)+(VLOOKUP($Y$2,Prices!$J$3:$K$17,2,FALSE)*Y374)+(VLOOKUP($Z$2,Prices!$J$3:$K$17,2,FALSE)*Z374)+(VLOOKUP($AA$2,Prices!$J$3:$K$17,2,FALSE)*AA374)+(VLOOKUP($AB$2,Prices!$J$3:$K$17,2,FALSE)*AB374)+M374</f>
        <v>6087500</v>
      </c>
      <c r="AD374" s="18"/>
      <c r="AE374" s="18"/>
      <c r="AF374" s="4">
        <f t="shared" si="31"/>
        <v>0</v>
      </c>
      <c r="AG374" s="4"/>
      <c r="AH374" s="16">
        <f t="shared" si="33"/>
        <v>0</v>
      </c>
      <c r="AI374" s="21">
        <f t="shared" si="32"/>
        <v>0</v>
      </c>
      <c r="AJ374" s="20">
        <f t="shared" si="34"/>
        <v>0</v>
      </c>
      <c r="AK374" s="9"/>
    </row>
    <row r="375" spans="1:37" hidden="1">
      <c r="A375" s="3">
        <v>373</v>
      </c>
      <c r="B375" s="12"/>
      <c r="C375" s="13"/>
      <c r="D375" s="13"/>
      <c r="E375" s="13"/>
      <c r="F375" s="13"/>
      <c r="G375" s="13"/>
      <c r="H375" s="15"/>
      <c r="I375" s="45" t="s">
        <v>856</v>
      </c>
      <c r="J375" s="45" t="s">
        <v>1390</v>
      </c>
      <c r="K375" s="46" t="s">
        <v>672</v>
      </c>
      <c r="L375" s="47" t="s">
        <v>1200</v>
      </c>
      <c r="M375" s="66">
        <f>IFERROR(VLOOKUP($L375,[3]Consolidated!$C$9:$AC$452,27,0),0)</f>
        <v>6087500</v>
      </c>
      <c r="N375" s="66">
        <f>IFERROR(VLOOKUP($L375,[3]Consolidated!$C$9:$AC$452,5,0),0)</f>
        <v>35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4">
        <f>(VLOOKUP($O$2,Prices!$E$3:$K$17,2,FALSE)*O375)+(VLOOKUP($P$2,Prices!$J$3:$K$17,2,FALSE)*P375)+(VLOOKUP($Q$2,Prices!$J$3:$K$17,2,FALSE)*Q375)+(VLOOKUP($R$2,Prices!$J$3:$K$17,2,FALSE)*R375)+(VLOOKUP($S$2,Prices!$J$3:$K$17,2,FALSE)*S375)+(VLOOKUP($T$2,Prices!$J$3:$K$17,2,FALSE)*T375)+(VLOOKUP($U$2,Prices!$J$3:$K$17,2,FALSE)*U375)+(VLOOKUP($V$2,Prices!$J$3:$K$17,2,FALSE)*V375)+(VLOOKUP($W$2,Prices!$J$3:$K$17,2,FALSE)*W375)+(VLOOKUP($X$2,Prices!$J$3:$K$17,2,FALSE)*X375)+(VLOOKUP($Y$2,Prices!$J$3:$K$17,2,FALSE)*Y375)+(VLOOKUP($Z$2,Prices!$J$3:$K$17,2,FALSE)*Z375)+(VLOOKUP($AA$2,Prices!$J$3:$K$17,2,FALSE)*AA375)+(VLOOKUP($AB$2,Prices!$J$3:$K$17,2,FALSE)*AB375)+M375</f>
        <v>6087500</v>
      </c>
      <c r="AD375" s="18"/>
      <c r="AE375" s="18"/>
      <c r="AF375" s="4">
        <f t="shared" si="31"/>
        <v>0</v>
      </c>
      <c r="AG375" s="4"/>
      <c r="AH375" s="16">
        <f t="shared" si="33"/>
        <v>0</v>
      </c>
      <c r="AI375" s="21">
        <f t="shared" si="32"/>
        <v>0</v>
      </c>
      <c r="AJ375" s="20">
        <f t="shared" si="34"/>
        <v>0</v>
      </c>
      <c r="AK375" s="19"/>
    </row>
    <row r="376" spans="1:37" hidden="1">
      <c r="A376" s="3">
        <v>374</v>
      </c>
      <c r="B376" s="12"/>
      <c r="C376" s="13"/>
      <c r="D376" s="13"/>
      <c r="E376" s="13"/>
      <c r="F376" s="13"/>
      <c r="G376" s="13"/>
      <c r="H376" s="15"/>
      <c r="I376" s="45" t="s">
        <v>822</v>
      </c>
      <c r="J376" s="45" t="s">
        <v>1390</v>
      </c>
      <c r="K376" s="46" t="s">
        <v>669</v>
      </c>
      <c r="L376" s="47" t="s">
        <v>1153</v>
      </c>
      <c r="M376" s="66">
        <f>IFERROR(VLOOKUP($L376,[3]Consolidated!$C$9:$AC$452,27,0),0)</f>
        <v>5805500</v>
      </c>
      <c r="N376" s="66">
        <f>IFERROR(VLOOKUP($L376,[3]Consolidated!$C$9:$AC$452,5,0),0)</f>
        <v>35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4">
        <f>(VLOOKUP($O$2,Prices!$E$3:$K$17,2,FALSE)*O376)+(VLOOKUP($P$2,Prices!$J$3:$K$17,2,FALSE)*P376)+(VLOOKUP($Q$2,Prices!$J$3:$K$17,2,FALSE)*Q376)+(VLOOKUP($R$2,Prices!$J$3:$K$17,2,FALSE)*R376)+(VLOOKUP($S$2,Prices!$J$3:$K$17,2,FALSE)*S376)+(VLOOKUP($T$2,Prices!$J$3:$K$17,2,FALSE)*T376)+(VLOOKUP($U$2,Prices!$J$3:$K$17,2,FALSE)*U376)+(VLOOKUP($V$2,Prices!$J$3:$K$17,2,FALSE)*V376)+(VLOOKUP($W$2,Prices!$J$3:$K$17,2,FALSE)*W376)+(VLOOKUP($X$2,Prices!$J$3:$K$17,2,FALSE)*X376)+(VLOOKUP($Y$2,Prices!$J$3:$K$17,2,FALSE)*Y376)+(VLOOKUP($Z$2,Prices!$J$3:$K$17,2,FALSE)*Z376)+(VLOOKUP($AA$2,Prices!$J$3:$K$17,2,FALSE)*AA376)+(VLOOKUP($AB$2,Prices!$J$3:$K$17,2,FALSE)*AB376)+M376</f>
        <v>5805500</v>
      </c>
      <c r="AD376" s="18"/>
      <c r="AE376" s="18"/>
      <c r="AF376" s="4">
        <f t="shared" si="31"/>
        <v>0</v>
      </c>
      <c r="AG376" s="4"/>
      <c r="AH376" s="16">
        <f t="shared" si="33"/>
        <v>0</v>
      </c>
      <c r="AI376" s="21">
        <f t="shared" si="32"/>
        <v>0</v>
      </c>
      <c r="AJ376" s="20">
        <f t="shared" si="34"/>
        <v>0</v>
      </c>
      <c r="AK376" s="9"/>
    </row>
    <row r="377" spans="1:37" hidden="1">
      <c r="A377" s="3">
        <v>375</v>
      </c>
      <c r="B377" s="12"/>
      <c r="C377" s="13"/>
      <c r="D377" s="13"/>
      <c r="E377" s="13"/>
      <c r="F377" s="13"/>
      <c r="G377" s="13"/>
      <c r="H377" s="15"/>
      <c r="I377" s="45" t="s">
        <v>853</v>
      </c>
      <c r="J377" s="45" t="s">
        <v>1390</v>
      </c>
      <c r="K377" s="46" t="s">
        <v>672</v>
      </c>
      <c r="L377" s="47" t="s">
        <v>1197</v>
      </c>
      <c r="M377" s="66">
        <f>IFERROR(VLOOKUP($L377,[3]Consolidated!$C$9:$AC$452,27,0),0)</f>
        <v>2173000</v>
      </c>
      <c r="N377" s="66">
        <f>IFERROR(VLOOKUP($L377,[3]Consolidated!$C$9:$AC$452,5,0),0)</f>
        <v>10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4">
        <f>(VLOOKUP($O$2,Prices!$E$3:$K$17,2,FALSE)*O377)+(VLOOKUP($P$2,Prices!$J$3:$K$17,2,FALSE)*P377)+(VLOOKUP($Q$2,Prices!$J$3:$K$17,2,FALSE)*Q377)+(VLOOKUP($R$2,Prices!$J$3:$K$17,2,FALSE)*R377)+(VLOOKUP($S$2,Prices!$J$3:$K$17,2,FALSE)*S377)+(VLOOKUP($T$2,Prices!$J$3:$K$17,2,FALSE)*T377)+(VLOOKUP($U$2,Prices!$J$3:$K$17,2,FALSE)*U377)+(VLOOKUP($V$2,Prices!$J$3:$K$17,2,FALSE)*V377)+(VLOOKUP($W$2,Prices!$J$3:$K$17,2,FALSE)*W377)+(VLOOKUP($X$2,Prices!$J$3:$K$17,2,FALSE)*X377)+(VLOOKUP($Y$2,Prices!$J$3:$K$17,2,FALSE)*Y377)+(VLOOKUP($Z$2,Prices!$J$3:$K$17,2,FALSE)*Z377)+(VLOOKUP($AA$2,Prices!$J$3:$K$17,2,FALSE)*AA377)+(VLOOKUP($AB$2,Prices!$J$3:$K$17,2,FALSE)*AB377)+M377</f>
        <v>2173000</v>
      </c>
      <c r="AD377" s="18"/>
      <c r="AE377" s="18"/>
      <c r="AF377" s="4">
        <f t="shared" si="31"/>
        <v>0</v>
      </c>
      <c r="AG377" s="4"/>
      <c r="AH377" s="16">
        <f t="shared" si="33"/>
        <v>0</v>
      </c>
      <c r="AI377" s="21">
        <f t="shared" si="32"/>
        <v>0</v>
      </c>
      <c r="AJ377" s="20">
        <f t="shared" si="34"/>
        <v>0</v>
      </c>
      <c r="AK377" s="9"/>
    </row>
    <row r="378" spans="1:37" hidden="1">
      <c r="A378" s="3">
        <v>376</v>
      </c>
      <c r="B378" s="12"/>
      <c r="C378" s="13"/>
      <c r="D378" s="13"/>
      <c r="E378" s="13"/>
      <c r="F378" s="13"/>
      <c r="G378" s="13"/>
      <c r="H378" s="15"/>
      <c r="I378" s="45" t="s">
        <v>851</v>
      </c>
      <c r="J378" s="45" t="s">
        <v>1390</v>
      </c>
      <c r="K378" s="46" t="s">
        <v>672</v>
      </c>
      <c r="L378" s="47" t="s">
        <v>1195</v>
      </c>
      <c r="M378" s="66">
        <f>IFERROR(VLOOKUP($L378,[3]Consolidated!$C$9:$AC$452,27,0),0)</f>
        <v>6087500</v>
      </c>
      <c r="N378" s="66">
        <f>IFERROR(VLOOKUP($L378,[3]Consolidated!$C$9:$AC$452,5,0),0)</f>
        <v>35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4">
        <f>(VLOOKUP($O$2,Prices!$E$3:$K$17,2,FALSE)*O378)+(VLOOKUP($P$2,Prices!$J$3:$K$17,2,FALSE)*P378)+(VLOOKUP($Q$2,Prices!$J$3:$K$17,2,FALSE)*Q378)+(VLOOKUP($R$2,Prices!$J$3:$K$17,2,FALSE)*R378)+(VLOOKUP($S$2,Prices!$J$3:$K$17,2,FALSE)*S378)+(VLOOKUP($T$2,Prices!$J$3:$K$17,2,FALSE)*T378)+(VLOOKUP($U$2,Prices!$J$3:$K$17,2,FALSE)*U378)+(VLOOKUP($V$2,Prices!$J$3:$K$17,2,FALSE)*V378)+(VLOOKUP($W$2,Prices!$J$3:$K$17,2,FALSE)*W378)+(VLOOKUP($X$2,Prices!$J$3:$K$17,2,FALSE)*X378)+(VLOOKUP($Y$2,Prices!$J$3:$K$17,2,FALSE)*Y378)+(VLOOKUP($Z$2,Prices!$J$3:$K$17,2,FALSE)*Z378)+(VLOOKUP($AA$2,Prices!$J$3:$K$17,2,FALSE)*AA378)+(VLOOKUP($AB$2,Prices!$J$3:$K$17,2,FALSE)*AB378)+M378</f>
        <v>6087500</v>
      </c>
      <c r="AD378" s="18"/>
      <c r="AE378" s="18"/>
      <c r="AF378" s="4">
        <f t="shared" si="31"/>
        <v>0</v>
      </c>
      <c r="AG378" s="4"/>
      <c r="AH378" s="16">
        <f t="shared" si="33"/>
        <v>0</v>
      </c>
      <c r="AI378" s="21">
        <f t="shared" si="32"/>
        <v>0</v>
      </c>
      <c r="AJ378" s="20">
        <f t="shared" si="34"/>
        <v>0</v>
      </c>
      <c r="AK378" s="9"/>
    </row>
    <row r="379" spans="1:37" hidden="1">
      <c r="A379" s="3">
        <v>377</v>
      </c>
      <c r="B379" s="12"/>
      <c r="C379" s="13"/>
      <c r="D379" s="13"/>
      <c r="E379" s="13"/>
      <c r="F379" s="13"/>
      <c r="G379" s="13"/>
      <c r="H379" s="15"/>
      <c r="I379" s="45" t="s">
        <v>1468</v>
      </c>
      <c r="J379" s="45" t="s">
        <v>1390</v>
      </c>
      <c r="K379" s="46" t="s">
        <v>669</v>
      </c>
      <c r="L379" s="47" t="s">
        <v>1160</v>
      </c>
      <c r="M379" s="66">
        <f>IFERROR(VLOOKUP($L379,[3]Consolidated!$C$9:$AC$452,27,0),0)</f>
        <v>2683500</v>
      </c>
      <c r="N379" s="66">
        <f>IFERROR(VLOOKUP($L379,[3]Consolidated!$C$9:$AC$452,5,0),0)</f>
        <v>15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4">
        <f>(VLOOKUP($O$2,Prices!$E$3:$K$17,2,FALSE)*O379)+(VLOOKUP($P$2,Prices!$J$3:$K$17,2,FALSE)*P379)+(VLOOKUP($Q$2,Prices!$J$3:$K$17,2,FALSE)*Q379)+(VLOOKUP($R$2,Prices!$J$3:$K$17,2,FALSE)*R379)+(VLOOKUP($S$2,Prices!$J$3:$K$17,2,FALSE)*S379)+(VLOOKUP($T$2,Prices!$J$3:$K$17,2,FALSE)*T379)+(VLOOKUP($U$2,Prices!$J$3:$K$17,2,FALSE)*U379)+(VLOOKUP($V$2,Prices!$J$3:$K$17,2,FALSE)*V379)+(VLOOKUP($W$2,Prices!$J$3:$K$17,2,FALSE)*W379)+(VLOOKUP($X$2,Prices!$J$3:$K$17,2,FALSE)*X379)+(VLOOKUP($Y$2,Prices!$J$3:$K$17,2,FALSE)*Y379)+(VLOOKUP($Z$2,Prices!$J$3:$K$17,2,FALSE)*Z379)+(VLOOKUP($AA$2,Prices!$J$3:$K$17,2,FALSE)*AA379)+(VLOOKUP($AB$2,Prices!$J$3:$K$17,2,FALSE)*AB379)+M379</f>
        <v>2683500</v>
      </c>
      <c r="AD379" s="18"/>
      <c r="AE379" s="18"/>
      <c r="AF379" s="4">
        <f t="shared" si="31"/>
        <v>0</v>
      </c>
      <c r="AG379" s="4"/>
      <c r="AH379" s="16">
        <f t="shared" si="33"/>
        <v>0</v>
      </c>
      <c r="AI379" s="21">
        <f t="shared" si="32"/>
        <v>0</v>
      </c>
      <c r="AJ379" s="20">
        <f t="shared" si="34"/>
        <v>0</v>
      </c>
      <c r="AK379" s="9"/>
    </row>
    <row r="380" spans="1:37" hidden="1">
      <c r="A380" s="3">
        <v>378</v>
      </c>
      <c r="B380" s="12"/>
      <c r="C380" s="13"/>
      <c r="D380" s="13"/>
      <c r="E380" s="13"/>
      <c r="F380" s="13"/>
      <c r="G380" s="13"/>
      <c r="H380" s="15"/>
      <c r="I380" s="45" t="s">
        <v>826</v>
      </c>
      <c r="J380" s="45" t="s">
        <v>1390</v>
      </c>
      <c r="K380" s="46" t="s">
        <v>669</v>
      </c>
      <c r="L380" s="47" t="s">
        <v>1157</v>
      </c>
      <c r="M380" s="66">
        <f>IFERROR(VLOOKUP($L380,[3]Consolidated!$C$9:$AC$452,27,0),0)</f>
        <v>5849500</v>
      </c>
      <c r="N380" s="66">
        <f>IFERROR(VLOOKUP($L380,[3]Consolidated!$C$9:$AC$452,5,0),0)</f>
        <v>35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4">
        <f>(VLOOKUP($O$2,Prices!$E$3:$K$17,2,FALSE)*O380)+(VLOOKUP($P$2,Prices!$J$3:$K$17,2,FALSE)*P380)+(VLOOKUP($Q$2,Prices!$J$3:$K$17,2,FALSE)*Q380)+(VLOOKUP($R$2,Prices!$J$3:$K$17,2,FALSE)*R380)+(VLOOKUP($S$2,Prices!$J$3:$K$17,2,FALSE)*S380)+(VLOOKUP($T$2,Prices!$J$3:$K$17,2,FALSE)*T380)+(VLOOKUP($U$2,Prices!$J$3:$K$17,2,FALSE)*U380)+(VLOOKUP($V$2,Prices!$J$3:$K$17,2,FALSE)*V380)+(VLOOKUP($W$2,Prices!$J$3:$K$17,2,FALSE)*W380)+(VLOOKUP($X$2,Prices!$J$3:$K$17,2,FALSE)*X380)+(VLOOKUP($Y$2,Prices!$J$3:$K$17,2,FALSE)*Y380)+(VLOOKUP($Z$2,Prices!$J$3:$K$17,2,FALSE)*Z380)+(VLOOKUP($AA$2,Prices!$J$3:$K$17,2,FALSE)*AA380)+(VLOOKUP($AB$2,Prices!$J$3:$K$17,2,FALSE)*AB380)+M380</f>
        <v>5849500</v>
      </c>
      <c r="AD380" s="18"/>
      <c r="AE380" s="18"/>
      <c r="AF380" s="4">
        <f t="shared" si="31"/>
        <v>0</v>
      </c>
      <c r="AG380" s="4"/>
      <c r="AH380" s="16">
        <f t="shared" si="33"/>
        <v>0</v>
      </c>
      <c r="AI380" s="21">
        <f t="shared" si="32"/>
        <v>0</v>
      </c>
      <c r="AJ380" s="20">
        <f t="shared" si="34"/>
        <v>0</v>
      </c>
      <c r="AK380" s="9"/>
    </row>
    <row r="381" spans="1:37" hidden="1">
      <c r="A381" s="3">
        <v>379</v>
      </c>
      <c r="B381" s="12"/>
      <c r="C381" s="13"/>
      <c r="D381" s="13"/>
      <c r="E381" s="13"/>
      <c r="F381" s="13"/>
      <c r="G381" s="13"/>
      <c r="H381" s="15"/>
      <c r="I381" s="45" t="s">
        <v>825</v>
      </c>
      <c r="J381" s="45" t="s">
        <v>1390</v>
      </c>
      <c r="K381" s="46" t="s">
        <v>669</v>
      </c>
      <c r="L381" s="47" t="s">
        <v>1156</v>
      </c>
      <c r="M381" s="66">
        <f>IFERROR(VLOOKUP($L381,[3]Consolidated!$C$9:$AC$452,27,0),0)</f>
        <v>0</v>
      </c>
      <c r="N381" s="66">
        <f>IFERROR(VLOOKUP($L381,[3]Consolidated!$C$9:$AC$452,5,0),0)</f>
        <v>0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4">
        <f>(VLOOKUP($O$2,Prices!$E$3:$K$17,2,FALSE)*O381)+(VLOOKUP($P$2,Prices!$J$3:$K$17,2,FALSE)*P381)+(VLOOKUP($Q$2,Prices!$J$3:$K$17,2,FALSE)*Q381)+(VLOOKUP($R$2,Prices!$J$3:$K$17,2,FALSE)*R381)+(VLOOKUP($S$2,Prices!$J$3:$K$17,2,FALSE)*S381)+(VLOOKUP($T$2,Prices!$J$3:$K$17,2,FALSE)*T381)+(VLOOKUP($U$2,Prices!$J$3:$K$17,2,FALSE)*U381)+(VLOOKUP($V$2,Prices!$J$3:$K$17,2,FALSE)*V381)+(VLOOKUP($W$2,Prices!$J$3:$K$17,2,FALSE)*W381)+(VLOOKUP($X$2,Prices!$J$3:$K$17,2,FALSE)*X381)+(VLOOKUP($Y$2,Prices!$J$3:$K$17,2,FALSE)*Y381)+(VLOOKUP($Z$2,Prices!$J$3:$K$17,2,FALSE)*Z381)+(VLOOKUP($AA$2,Prices!$J$3:$K$17,2,FALSE)*AA381)+(VLOOKUP($AB$2,Prices!$J$3:$K$17,2,FALSE)*AB381)+M381</f>
        <v>0</v>
      </c>
      <c r="AD381" s="18"/>
      <c r="AE381" s="18"/>
      <c r="AF381" s="4">
        <f t="shared" si="31"/>
        <v>0</v>
      </c>
      <c r="AG381" s="4"/>
      <c r="AH381" s="16">
        <f t="shared" si="33"/>
        <v>0</v>
      </c>
      <c r="AI381" s="21" t="e">
        <f t="shared" si="32"/>
        <v>#DIV/0!</v>
      </c>
      <c r="AJ381" s="20" t="e">
        <f t="shared" si="34"/>
        <v>#DIV/0!</v>
      </c>
      <c r="AK381" s="9"/>
    </row>
    <row r="382" spans="1:37" hidden="1">
      <c r="A382" s="3">
        <v>380</v>
      </c>
      <c r="B382" s="12"/>
      <c r="C382" s="13"/>
      <c r="D382" s="13"/>
      <c r="E382" s="13"/>
      <c r="F382" s="13"/>
      <c r="G382" s="13"/>
      <c r="H382" s="15"/>
      <c r="I382" s="45" t="s">
        <v>818</v>
      </c>
      <c r="J382" s="45" t="s">
        <v>1390</v>
      </c>
      <c r="K382" s="46" t="s">
        <v>669</v>
      </c>
      <c r="L382" s="47" t="s">
        <v>1149</v>
      </c>
      <c r="M382" s="66">
        <f>IFERROR(VLOOKUP($L382,[3]Consolidated!$C$9:$AC$452,27,0),0)</f>
        <v>5849500</v>
      </c>
      <c r="N382" s="66">
        <f>IFERROR(VLOOKUP($L382,[3]Consolidated!$C$9:$AC$452,5,0),0)</f>
        <v>35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4">
        <f>(VLOOKUP($O$2,Prices!$E$3:$K$17,2,FALSE)*O382)+(VLOOKUP($P$2,Prices!$J$3:$K$17,2,FALSE)*P382)+(VLOOKUP($Q$2,Prices!$J$3:$K$17,2,FALSE)*Q382)+(VLOOKUP($R$2,Prices!$J$3:$K$17,2,FALSE)*R382)+(VLOOKUP($S$2,Prices!$J$3:$K$17,2,FALSE)*S382)+(VLOOKUP($T$2,Prices!$J$3:$K$17,2,FALSE)*T382)+(VLOOKUP($U$2,Prices!$J$3:$K$17,2,FALSE)*U382)+(VLOOKUP($V$2,Prices!$J$3:$K$17,2,FALSE)*V382)+(VLOOKUP($W$2,Prices!$J$3:$K$17,2,FALSE)*W382)+(VLOOKUP($X$2,Prices!$J$3:$K$17,2,FALSE)*X382)+(VLOOKUP($Y$2,Prices!$J$3:$K$17,2,FALSE)*Y382)+(VLOOKUP($Z$2,Prices!$J$3:$K$17,2,FALSE)*Z382)+(VLOOKUP($AA$2,Prices!$J$3:$K$17,2,FALSE)*AA382)+(VLOOKUP($AB$2,Prices!$J$3:$K$17,2,FALSE)*AB382)+M382</f>
        <v>5849500</v>
      </c>
      <c r="AD382" s="18"/>
      <c r="AE382" s="18"/>
      <c r="AF382" s="4">
        <f t="shared" si="31"/>
        <v>0</v>
      </c>
      <c r="AG382" s="4"/>
      <c r="AH382" s="16">
        <f t="shared" si="33"/>
        <v>0</v>
      </c>
      <c r="AI382" s="21">
        <f t="shared" si="32"/>
        <v>0</v>
      </c>
      <c r="AJ382" s="20">
        <f t="shared" si="34"/>
        <v>0</v>
      </c>
      <c r="AK382" s="9"/>
    </row>
    <row r="383" spans="1:37" hidden="1">
      <c r="A383" s="3">
        <v>381</v>
      </c>
      <c r="B383" s="12"/>
      <c r="C383" s="13"/>
      <c r="D383" s="13"/>
      <c r="E383" s="13"/>
      <c r="F383" s="13"/>
      <c r="G383" s="13"/>
      <c r="H383" s="15"/>
      <c r="I383" s="45" t="s">
        <v>848</v>
      </c>
      <c r="J383" s="45" t="s">
        <v>1390</v>
      </c>
      <c r="K383" s="46" t="s">
        <v>671</v>
      </c>
      <c r="L383" s="47" t="s">
        <v>1187</v>
      </c>
      <c r="M383" s="66">
        <f>IFERROR(VLOOKUP($L383,[3]Consolidated!$C$9:$AC$452,27,0),0)</f>
        <v>6820000</v>
      </c>
      <c r="N383" s="66">
        <f>IFERROR(VLOOKUP($L383,[3]Consolidated!$C$9:$AC$452,5,0),0)</f>
        <v>50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4">
        <f>(VLOOKUP($O$2,Prices!$E$3:$K$17,2,FALSE)*O383)+(VLOOKUP($P$2,Prices!$J$3:$K$17,2,FALSE)*P383)+(VLOOKUP($Q$2,Prices!$J$3:$K$17,2,FALSE)*Q383)+(VLOOKUP($R$2,Prices!$J$3:$K$17,2,FALSE)*R383)+(VLOOKUP($S$2,Prices!$J$3:$K$17,2,FALSE)*S383)+(VLOOKUP($T$2,Prices!$J$3:$K$17,2,FALSE)*T383)+(VLOOKUP($U$2,Prices!$J$3:$K$17,2,FALSE)*U383)+(VLOOKUP($V$2,Prices!$J$3:$K$17,2,FALSE)*V383)+(VLOOKUP($W$2,Prices!$J$3:$K$17,2,FALSE)*W383)+(VLOOKUP($X$2,Prices!$J$3:$K$17,2,FALSE)*X383)+(VLOOKUP($Y$2,Prices!$J$3:$K$17,2,FALSE)*Y383)+(VLOOKUP($Z$2,Prices!$J$3:$K$17,2,FALSE)*Z383)+(VLOOKUP($AA$2,Prices!$J$3:$K$17,2,FALSE)*AA383)+(VLOOKUP($AB$2,Prices!$J$3:$K$17,2,FALSE)*AB383)+M383</f>
        <v>6820000</v>
      </c>
      <c r="AD383" s="18"/>
      <c r="AE383" s="18"/>
      <c r="AF383" s="4">
        <f t="shared" si="31"/>
        <v>0</v>
      </c>
      <c r="AG383" s="4"/>
      <c r="AH383" s="16">
        <f t="shared" si="33"/>
        <v>0</v>
      </c>
      <c r="AI383" s="21">
        <f t="shared" si="32"/>
        <v>0</v>
      </c>
      <c r="AJ383" s="20">
        <f t="shared" si="34"/>
        <v>0</v>
      </c>
      <c r="AK383" s="9"/>
    </row>
    <row r="384" spans="1:37" hidden="1">
      <c r="A384" s="3">
        <v>382</v>
      </c>
      <c r="B384" s="12"/>
      <c r="C384" s="13"/>
      <c r="D384" s="13"/>
      <c r="E384" s="13"/>
      <c r="F384" s="13"/>
      <c r="G384" s="13"/>
      <c r="H384" s="15"/>
      <c r="I384" s="45" t="s">
        <v>1469</v>
      </c>
      <c r="J384" s="45" t="s">
        <v>1390</v>
      </c>
      <c r="K384" s="46" t="s">
        <v>671</v>
      </c>
      <c r="L384" s="46" t="s">
        <v>1193</v>
      </c>
      <c r="M384" s="66">
        <f>IFERROR(VLOOKUP($L384,[3]Consolidated!$C$9:$AC$452,27,0),0)</f>
        <v>1173100</v>
      </c>
      <c r="N384" s="66">
        <f>IFERROR(VLOOKUP($L384,[3]Consolidated!$C$9:$AC$452,5,0),0)</f>
        <v>10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4">
        <f>(VLOOKUP($O$2,Prices!$E$3:$K$17,2,FALSE)*O384)+(VLOOKUP($P$2,Prices!$J$3:$K$17,2,FALSE)*P384)+(VLOOKUP($Q$2,Prices!$J$3:$K$17,2,FALSE)*Q384)+(VLOOKUP($R$2,Prices!$J$3:$K$17,2,FALSE)*R384)+(VLOOKUP($S$2,Prices!$J$3:$K$17,2,FALSE)*S384)+(VLOOKUP($T$2,Prices!$J$3:$K$17,2,FALSE)*T384)+(VLOOKUP($U$2,Prices!$J$3:$K$17,2,FALSE)*U384)+(VLOOKUP($V$2,Prices!$J$3:$K$17,2,FALSE)*V384)+(VLOOKUP($W$2,Prices!$J$3:$K$17,2,FALSE)*W384)+(VLOOKUP($X$2,Prices!$J$3:$K$17,2,FALSE)*X384)+(VLOOKUP($Y$2,Prices!$J$3:$K$17,2,FALSE)*Y384)+(VLOOKUP($Z$2,Prices!$J$3:$K$17,2,FALSE)*Z384)+(VLOOKUP($AA$2,Prices!$J$3:$K$17,2,FALSE)*AA384)+(VLOOKUP($AB$2,Prices!$J$3:$K$17,2,FALSE)*AB384)+M384</f>
        <v>1173100</v>
      </c>
      <c r="AD384" s="18"/>
      <c r="AE384" s="18"/>
      <c r="AF384" s="4">
        <f t="shared" si="31"/>
        <v>0</v>
      </c>
      <c r="AG384" s="4"/>
      <c r="AH384" s="16">
        <f t="shared" si="33"/>
        <v>0</v>
      </c>
      <c r="AI384" s="21">
        <f t="shared" si="32"/>
        <v>0</v>
      </c>
      <c r="AJ384" s="20">
        <f t="shared" si="34"/>
        <v>0</v>
      </c>
      <c r="AK384" s="9"/>
    </row>
    <row r="385" spans="1:37" hidden="1">
      <c r="A385" s="3">
        <v>383</v>
      </c>
      <c r="B385" s="12"/>
      <c r="C385" s="13"/>
      <c r="D385" s="13"/>
      <c r="E385" s="13"/>
      <c r="F385" s="13"/>
      <c r="G385" s="13"/>
      <c r="H385" s="15"/>
      <c r="I385" s="45" t="s">
        <v>1470</v>
      </c>
      <c r="J385" s="45" t="s">
        <v>1390</v>
      </c>
      <c r="K385" s="46" t="s">
        <v>672</v>
      </c>
      <c r="L385" s="46" t="s">
        <v>1206</v>
      </c>
      <c r="M385" s="66">
        <f>IFERROR(VLOOKUP($L385,[3]Consolidated!$C$9:$AC$452,27,0),0)</f>
        <v>1879000</v>
      </c>
      <c r="N385" s="66">
        <f>IFERROR(VLOOKUP($L385,[3]Consolidated!$C$9:$AC$452,5,0),0)</f>
        <v>10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4">
        <f>(VLOOKUP($O$2,Prices!$E$3:$K$17,2,FALSE)*O385)+(VLOOKUP($P$2,Prices!$J$3:$K$17,2,FALSE)*P385)+(VLOOKUP($Q$2,Prices!$J$3:$K$17,2,FALSE)*Q385)+(VLOOKUP($R$2,Prices!$J$3:$K$17,2,FALSE)*R385)+(VLOOKUP($S$2,Prices!$J$3:$K$17,2,FALSE)*S385)+(VLOOKUP($T$2,Prices!$J$3:$K$17,2,FALSE)*T385)+(VLOOKUP($U$2,Prices!$J$3:$K$17,2,FALSE)*U385)+(VLOOKUP($V$2,Prices!$J$3:$K$17,2,FALSE)*V385)+(VLOOKUP($W$2,Prices!$J$3:$K$17,2,FALSE)*W385)+(VLOOKUP($X$2,Prices!$J$3:$K$17,2,FALSE)*X385)+(VLOOKUP($Y$2,Prices!$J$3:$K$17,2,FALSE)*Y385)+(VLOOKUP($Z$2,Prices!$J$3:$K$17,2,FALSE)*Z385)+(VLOOKUP($AA$2,Prices!$J$3:$K$17,2,FALSE)*AA385)+(VLOOKUP($AB$2,Prices!$J$3:$K$17,2,FALSE)*AB385)+M385</f>
        <v>1879000</v>
      </c>
      <c r="AD385" s="18"/>
      <c r="AE385" s="18"/>
      <c r="AF385" s="4">
        <f t="shared" si="31"/>
        <v>0</v>
      </c>
      <c r="AG385" s="4"/>
      <c r="AH385" s="16">
        <f t="shared" si="33"/>
        <v>0</v>
      </c>
      <c r="AI385" s="21">
        <f t="shared" si="32"/>
        <v>0</v>
      </c>
      <c r="AJ385" s="20">
        <f t="shared" si="34"/>
        <v>0</v>
      </c>
      <c r="AK385" s="9"/>
    </row>
    <row r="386" spans="1:37" hidden="1">
      <c r="A386" s="3">
        <v>384</v>
      </c>
      <c r="B386" s="12"/>
      <c r="C386" s="13"/>
      <c r="D386" s="13"/>
      <c r="E386" s="13"/>
      <c r="F386" s="13"/>
      <c r="G386" s="13"/>
      <c r="H386" s="15"/>
      <c r="I386" s="45" t="s">
        <v>844</v>
      </c>
      <c r="J386" s="45" t="s">
        <v>1390</v>
      </c>
      <c r="K386" s="46" t="s">
        <v>671</v>
      </c>
      <c r="L386" s="46" t="s">
        <v>1183</v>
      </c>
      <c r="M386" s="66">
        <f>IFERROR(VLOOKUP($L386,[3]Consolidated!$C$9:$AC$452,27,0),0)</f>
        <v>3042500</v>
      </c>
      <c r="N386" s="66">
        <f>IFERROR(VLOOKUP($L386,[3]Consolidated!$C$9:$AC$452,5,0),0)</f>
        <v>20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4">
        <f>(VLOOKUP($O$2,Prices!$E$3:$K$17,2,FALSE)*O386)+(VLOOKUP($P$2,Prices!$J$3:$K$17,2,FALSE)*P386)+(VLOOKUP($Q$2,Prices!$J$3:$K$17,2,FALSE)*Q386)+(VLOOKUP($R$2,Prices!$J$3:$K$17,2,FALSE)*R386)+(VLOOKUP($S$2,Prices!$J$3:$K$17,2,FALSE)*S386)+(VLOOKUP($T$2,Prices!$J$3:$K$17,2,FALSE)*T386)+(VLOOKUP($U$2,Prices!$J$3:$K$17,2,FALSE)*U386)+(VLOOKUP($V$2,Prices!$J$3:$K$17,2,FALSE)*V386)+(VLOOKUP($W$2,Prices!$J$3:$K$17,2,FALSE)*W386)+(VLOOKUP($X$2,Prices!$J$3:$K$17,2,FALSE)*X386)+(VLOOKUP($Y$2,Prices!$J$3:$K$17,2,FALSE)*Y386)+(VLOOKUP($Z$2,Prices!$J$3:$K$17,2,FALSE)*Z386)+(VLOOKUP($AA$2,Prices!$J$3:$K$17,2,FALSE)*AA386)+(VLOOKUP($AB$2,Prices!$J$3:$K$17,2,FALSE)*AB386)+M386</f>
        <v>3042500</v>
      </c>
      <c r="AD386" s="18"/>
      <c r="AE386" s="18"/>
      <c r="AF386" s="4">
        <f t="shared" si="31"/>
        <v>0</v>
      </c>
      <c r="AG386" s="4"/>
      <c r="AH386" s="16">
        <f t="shared" si="33"/>
        <v>0</v>
      </c>
      <c r="AI386" s="21">
        <f t="shared" si="32"/>
        <v>0</v>
      </c>
      <c r="AJ386" s="20">
        <f t="shared" si="34"/>
        <v>0</v>
      </c>
      <c r="AK386" s="9"/>
    </row>
    <row r="387" spans="1:37" hidden="1">
      <c r="A387" s="3">
        <v>385</v>
      </c>
      <c r="B387" s="12"/>
      <c r="C387" s="13"/>
      <c r="D387" s="13"/>
      <c r="E387" s="13"/>
      <c r="F387" s="13"/>
      <c r="G387" s="13"/>
      <c r="H387" s="15"/>
      <c r="I387" s="45" t="s">
        <v>843</v>
      </c>
      <c r="J387" s="45" t="s">
        <v>1390</v>
      </c>
      <c r="K387" s="46" t="s">
        <v>671</v>
      </c>
      <c r="L387" s="46" t="s">
        <v>1182</v>
      </c>
      <c r="M387" s="66">
        <f>IFERROR(VLOOKUP($L387,[3]Consolidated!$C$9:$AC$452,27,0),0)</f>
        <v>1483000</v>
      </c>
      <c r="N387" s="66">
        <f>IFERROR(VLOOKUP($L387,[3]Consolidated!$C$9:$AC$452,5,0),0)</f>
        <v>10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4">
        <f>(VLOOKUP($O$2,Prices!$E$3:$K$17,2,FALSE)*O387)+(VLOOKUP($P$2,Prices!$J$3:$K$17,2,FALSE)*P387)+(VLOOKUP($Q$2,Prices!$J$3:$K$17,2,FALSE)*Q387)+(VLOOKUP($R$2,Prices!$J$3:$K$17,2,FALSE)*R387)+(VLOOKUP($S$2,Prices!$J$3:$K$17,2,FALSE)*S387)+(VLOOKUP($T$2,Prices!$J$3:$K$17,2,FALSE)*T387)+(VLOOKUP($U$2,Prices!$J$3:$K$17,2,FALSE)*U387)+(VLOOKUP($V$2,Prices!$J$3:$K$17,2,FALSE)*V387)+(VLOOKUP($W$2,Prices!$J$3:$K$17,2,FALSE)*W387)+(VLOOKUP($X$2,Prices!$J$3:$K$17,2,FALSE)*X387)+(VLOOKUP($Y$2,Prices!$J$3:$K$17,2,FALSE)*Y387)+(VLOOKUP($Z$2,Prices!$J$3:$K$17,2,FALSE)*Z387)+(VLOOKUP($AA$2,Prices!$J$3:$K$17,2,FALSE)*AA387)+(VLOOKUP($AB$2,Prices!$J$3:$K$17,2,FALSE)*AB387)+M387</f>
        <v>1483000</v>
      </c>
      <c r="AD387" s="18"/>
      <c r="AE387" s="18"/>
      <c r="AF387" s="4">
        <f t="shared" si="31"/>
        <v>0</v>
      </c>
      <c r="AG387" s="4"/>
      <c r="AH387" s="16">
        <f t="shared" si="33"/>
        <v>0</v>
      </c>
      <c r="AI387" s="21">
        <f t="shared" si="32"/>
        <v>0</v>
      </c>
      <c r="AJ387" s="20">
        <f t="shared" si="34"/>
        <v>0</v>
      </c>
      <c r="AK387" s="19"/>
    </row>
    <row r="388" spans="1:37" hidden="1">
      <c r="A388" s="3">
        <v>386</v>
      </c>
      <c r="B388" s="12"/>
      <c r="C388" s="13"/>
      <c r="D388" s="13"/>
      <c r="E388" s="13"/>
      <c r="F388" s="13"/>
      <c r="G388" s="13"/>
      <c r="H388" s="15"/>
      <c r="I388" s="45" t="s">
        <v>839</v>
      </c>
      <c r="J388" s="45" t="s">
        <v>1390</v>
      </c>
      <c r="K388" s="46" t="s">
        <v>671</v>
      </c>
      <c r="L388" s="47" t="s">
        <v>1177</v>
      </c>
      <c r="M388" s="66">
        <f>IFERROR(VLOOKUP($L388,[3]Consolidated!$C$9:$AC$452,27,0),0)</f>
        <v>1483000</v>
      </c>
      <c r="N388" s="66">
        <f>IFERROR(VLOOKUP($L388,[3]Consolidated!$C$9:$AC$452,5,0),0)</f>
        <v>10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4">
        <f>(VLOOKUP($O$2,Prices!$E$3:$K$17,2,FALSE)*O388)+(VLOOKUP($P$2,Prices!$J$3:$K$17,2,FALSE)*P388)+(VLOOKUP($Q$2,Prices!$J$3:$K$17,2,FALSE)*Q388)+(VLOOKUP($R$2,Prices!$J$3:$K$17,2,FALSE)*R388)+(VLOOKUP($S$2,Prices!$J$3:$K$17,2,FALSE)*S388)+(VLOOKUP($T$2,Prices!$J$3:$K$17,2,FALSE)*T388)+(VLOOKUP($U$2,Prices!$J$3:$K$17,2,FALSE)*U388)+(VLOOKUP($V$2,Prices!$J$3:$K$17,2,FALSE)*V388)+(VLOOKUP($W$2,Prices!$J$3:$K$17,2,FALSE)*W388)+(VLOOKUP($X$2,Prices!$J$3:$K$17,2,FALSE)*X388)+(VLOOKUP($Y$2,Prices!$J$3:$K$17,2,FALSE)*Y388)+(VLOOKUP($Z$2,Prices!$J$3:$K$17,2,FALSE)*Z388)+(VLOOKUP($AA$2,Prices!$J$3:$K$17,2,FALSE)*AA388)+(VLOOKUP($AB$2,Prices!$J$3:$K$17,2,FALSE)*AB388)+M388</f>
        <v>1483000</v>
      </c>
      <c r="AD388" s="18"/>
      <c r="AE388" s="18"/>
      <c r="AF388" s="4">
        <f t="shared" ref="AF388:AF390" si="35">AD388-AE388</f>
        <v>0</v>
      </c>
      <c r="AG388" s="4"/>
      <c r="AH388" s="16">
        <f t="shared" ref="AH388:AH390" si="36">AD388+AG388</f>
        <v>0</v>
      </c>
      <c r="AI388" s="21">
        <f t="shared" ref="AI388:AI390" si="37">AH388/M388</f>
        <v>0</v>
      </c>
      <c r="AJ388" s="20">
        <f t="shared" si="34"/>
        <v>0</v>
      </c>
      <c r="AK388" s="9"/>
    </row>
    <row r="389" spans="1:37" hidden="1">
      <c r="A389" s="3">
        <v>387</v>
      </c>
      <c r="B389" s="12"/>
      <c r="C389" s="13"/>
      <c r="D389" s="13"/>
      <c r="E389" s="13"/>
      <c r="F389" s="13"/>
      <c r="G389" s="13"/>
      <c r="H389" s="15"/>
      <c r="I389" s="45" t="s">
        <v>1471</v>
      </c>
      <c r="J389" s="45" t="s">
        <v>1390</v>
      </c>
      <c r="K389" s="46" t="s">
        <v>669</v>
      </c>
      <c r="L389" s="47" t="s">
        <v>1211</v>
      </c>
      <c r="M389" s="66">
        <f>IFERROR(VLOOKUP($L389,[3]Consolidated!$C$9:$AC$452,27,0),0)</f>
        <v>1676000</v>
      </c>
      <c r="N389" s="66">
        <f>IFERROR(VLOOKUP($L389,[3]Consolidated!$C$9:$AC$452,5,0),0)</f>
        <v>10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4">
        <f>(VLOOKUP($O$2,Prices!$E$3:$K$17,2,FALSE)*O389)+(VLOOKUP($P$2,Prices!$J$3:$K$17,2,FALSE)*P389)+(VLOOKUP($Q$2,Prices!$J$3:$K$17,2,FALSE)*Q389)+(VLOOKUP($R$2,Prices!$J$3:$K$17,2,FALSE)*R389)+(VLOOKUP($S$2,Prices!$J$3:$K$17,2,FALSE)*S389)+(VLOOKUP($T$2,Prices!$J$3:$K$17,2,FALSE)*T389)+(VLOOKUP($U$2,Prices!$J$3:$K$17,2,FALSE)*U389)+(VLOOKUP($V$2,Prices!$J$3:$K$17,2,FALSE)*V389)+(VLOOKUP($W$2,Prices!$J$3:$K$17,2,FALSE)*W389)+(VLOOKUP($X$2,Prices!$J$3:$K$17,2,FALSE)*X389)+(VLOOKUP($Y$2,Prices!$J$3:$K$17,2,FALSE)*Y389)+(VLOOKUP($Z$2,Prices!$J$3:$K$17,2,FALSE)*Z389)+(VLOOKUP($AA$2,Prices!$J$3:$K$17,2,FALSE)*AA389)+(VLOOKUP($AB$2,Prices!$J$3:$K$17,2,FALSE)*AB389)+M389</f>
        <v>1676000</v>
      </c>
      <c r="AD389" s="18"/>
      <c r="AE389" s="18"/>
      <c r="AF389" s="4">
        <f t="shared" si="35"/>
        <v>0</v>
      </c>
      <c r="AG389" s="4"/>
      <c r="AH389" s="16">
        <f t="shared" si="36"/>
        <v>0</v>
      </c>
      <c r="AI389" s="21">
        <f t="shared" si="37"/>
        <v>0</v>
      </c>
      <c r="AJ389" s="20">
        <f t="shared" ref="AJ389:AJ390" si="38">AH389/AC389</f>
        <v>0</v>
      </c>
      <c r="AK389" s="9"/>
    </row>
    <row r="390" spans="1:37" hidden="1">
      <c r="A390" s="3">
        <v>388</v>
      </c>
      <c r="B390" s="12"/>
      <c r="C390" s="13"/>
      <c r="D390" s="13"/>
      <c r="E390" s="13"/>
      <c r="F390" s="13"/>
      <c r="G390" s="13"/>
      <c r="H390" s="15"/>
      <c r="I390" s="45" t="s">
        <v>1473</v>
      </c>
      <c r="J390" s="45" t="s">
        <v>1389</v>
      </c>
      <c r="K390" s="46" t="s">
        <v>668</v>
      </c>
      <c r="L390" s="47" t="s">
        <v>1472</v>
      </c>
      <c r="M390" s="66">
        <f>IFERROR(VLOOKUP($L390,[3]Consolidated!$C$9:$AC$452,27,0),0)</f>
        <v>1255000</v>
      </c>
      <c r="N390" s="66">
        <f>IFERROR(VLOOKUP($L390,[3]Consolidated!$C$9:$AC$452,5,0),0)</f>
        <v>10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4">
        <f>(VLOOKUP($O$2,Prices!$E$3:$K$17,2,FALSE)*O390)+(VLOOKUP($P$2,Prices!$J$3:$K$17,2,FALSE)*P390)+(VLOOKUP($Q$2,Prices!$J$3:$K$17,2,FALSE)*Q390)+(VLOOKUP($R$2,Prices!$J$3:$K$17,2,FALSE)*R390)+(VLOOKUP($S$2,Prices!$J$3:$K$17,2,FALSE)*S390)+(VLOOKUP($T$2,Prices!$J$3:$K$17,2,FALSE)*T390)+(VLOOKUP($U$2,Prices!$J$3:$K$17,2,FALSE)*U390)+(VLOOKUP($V$2,Prices!$J$3:$K$17,2,FALSE)*V390)+(VLOOKUP($W$2,Prices!$J$3:$K$17,2,FALSE)*W390)+(VLOOKUP($X$2,Prices!$J$3:$K$17,2,FALSE)*X390)+(VLOOKUP($Y$2,Prices!$J$3:$K$17,2,FALSE)*Y390)+(VLOOKUP($Z$2,Prices!$J$3:$K$17,2,FALSE)*Z390)+(VLOOKUP($AA$2,Prices!$J$3:$K$17,2,FALSE)*AA390)+(VLOOKUP($AB$2,Prices!$J$3:$K$17,2,FALSE)*AB390)+M390</f>
        <v>1255000</v>
      </c>
      <c r="AD390" s="18"/>
      <c r="AE390" s="18"/>
      <c r="AF390" s="4">
        <f t="shared" si="35"/>
        <v>0</v>
      </c>
      <c r="AG390" s="4"/>
      <c r="AH390" s="16">
        <f t="shared" si="36"/>
        <v>0</v>
      </c>
      <c r="AI390" s="21">
        <f t="shared" si="37"/>
        <v>0</v>
      </c>
      <c r="AJ390" s="20">
        <f t="shared" si="38"/>
        <v>0</v>
      </c>
      <c r="AK390" s="9"/>
    </row>
    <row r="391" spans="1:37" hidden="1">
      <c r="I391" s="2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</sheetData>
  <autoFilter ref="A2:AK391" xr:uid="{00000000-0009-0000-0000-000001000000}">
    <filterColumn colId="9">
      <filters>
        <filter val="SWR"/>
      </filters>
    </filterColumn>
    <filterColumn colId="10">
      <filters>
        <filter val="Ilorin"/>
      </filters>
    </filterColumn>
    <sortState xmlns:xlrd2="http://schemas.microsoft.com/office/spreadsheetml/2017/richdata2" ref="A115:AK225">
      <sortCondition sortBy="cellColor" ref="I2:I390" dxfId="8"/>
    </sortState>
  </autoFilter>
  <mergeCells count="1">
    <mergeCell ref="B1:H1"/>
  </mergeCells>
  <conditionalFormatting sqref="AI2:AJ2">
    <cfRule type="duplicateValues" dxfId="7" priority="12"/>
  </conditionalFormatting>
  <conditionalFormatting sqref="I3:I4">
    <cfRule type="duplicateValues" dxfId="6" priority="6"/>
  </conditionalFormatting>
  <conditionalFormatting sqref="I39:I389 I5:I37">
    <cfRule type="duplicateValues" dxfId="5" priority="5"/>
  </conditionalFormatting>
  <conditionalFormatting sqref="I390">
    <cfRule type="duplicateValues" dxfId="4" priority="7"/>
  </conditionalFormatting>
  <conditionalFormatting sqref="I38">
    <cfRule type="duplicateValues" dxfId="3" priority="4"/>
  </conditionalFormatting>
  <conditionalFormatting sqref="I391">
    <cfRule type="duplicateValues" dxfId="2" priority="132"/>
  </conditionalFormatting>
  <conditionalFormatting sqref="AD2 AG2">
    <cfRule type="duplicateValues" dxfId="1" priority="2"/>
  </conditionalFormatting>
  <conditionalFormatting sqref="L2">
    <cfRule type="duplicateValues" dxfId="0" priority="3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K17"/>
  <sheetViews>
    <sheetView topLeftCell="A5" workbookViewId="0">
      <selection activeCell="F11" sqref="F11"/>
    </sheetView>
  </sheetViews>
  <sheetFormatPr defaultRowHeight="14.5"/>
  <cols>
    <col min="5" max="5" width="27.54296875" bestFit="1" customWidth="1"/>
    <col min="6" max="6" width="11.08984375" style="37" bestFit="1" customWidth="1"/>
    <col min="7" max="7" width="11" bestFit="1" customWidth="1"/>
    <col min="10" max="10" width="25.453125" bestFit="1" customWidth="1"/>
    <col min="11" max="11" width="10.54296875" bestFit="1" customWidth="1"/>
  </cols>
  <sheetData>
    <row r="1" spans="5:11">
      <c r="K1">
        <v>500</v>
      </c>
    </row>
    <row r="3" spans="5:11" ht="15" thickBot="1">
      <c r="E3" s="29" t="s">
        <v>1478</v>
      </c>
      <c r="F3" s="33" t="s">
        <v>1479</v>
      </c>
      <c r="J3" s="29" t="s">
        <v>1478</v>
      </c>
      <c r="K3" s="33" t="s">
        <v>1479</v>
      </c>
    </row>
    <row r="4" spans="5:11" ht="15" thickTop="1">
      <c r="E4" s="31" t="s">
        <v>1480</v>
      </c>
      <c r="F4" s="34">
        <v>261000</v>
      </c>
      <c r="G4" s="38"/>
      <c r="J4" s="31" t="s">
        <v>1480</v>
      </c>
      <c r="K4" s="34">
        <f>F4+$K$1</f>
        <v>261500</v>
      </c>
    </row>
    <row r="5" spans="5:11">
      <c r="E5" s="30" t="s">
        <v>1481</v>
      </c>
      <c r="F5" s="35">
        <v>175000</v>
      </c>
      <c r="J5" s="30" t="s">
        <v>1481</v>
      </c>
      <c r="K5" s="35">
        <f t="shared" ref="K5:K17" si="0">F5+$K$1</f>
        <v>175500</v>
      </c>
    </row>
    <row r="6" spans="5:11">
      <c r="E6" s="30" t="s">
        <v>1482</v>
      </c>
      <c r="F6" s="35">
        <v>175000</v>
      </c>
      <c r="J6" s="30" t="s">
        <v>1482</v>
      </c>
      <c r="K6" s="35">
        <f t="shared" si="0"/>
        <v>175500</v>
      </c>
    </row>
    <row r="7" spans="5:11">
      <c r="E7" s="31" t="s">
        <v>1483</v>
      </c>
      <c r="F7" s="36">
        <v>175000</v>
      </c>
      <c r="J7" s="31" t="s">
        <v>1483</v>
      </c>
      <c r="K7" s="36">
        <f t="shared" si="0"/>
        <v>175500</v>
      </c>
    </row>
    <row r="8" spans="5:11">
      <c r="E8" s="30" t="s">
        <v>1484</v>
      </c>
      <c r="F8" s="35">
        <v>230000</v>
      </c>
      <c r="G8" s="38"/>
      <c r="J8" s="30" t="s">
        <v>1484</v>
      </c>
      <c r="K8" s="35">
        <f t="shared" si="0"/>
        <v>230500</v>
      </c>
    </row>
    <row r="9" spans="5:11">
      <c r="E9" s="31" t="s">
        <v>1485</v>
      </c>
      <c r="F9" s="34">
        <v>261000</v>
      </c>
      <c r="J9" s="31" t="s">
        <v>1485</v>
      </c>
      <c r="K9" s="34">
        <f t="shared" si="0"/>
        <v>261500</v>
      </c>
    </row>
    <row r="10" spans="5:11">
      <c r="E10" s="31" t="s">
        <v>1486</v>
      </c>
      <c r="F10" s="36">
        <v>186000</v>
      </c>
      <c r="J10" s="31" t="s">
        <v>1486</v>
      </c>
      <c r="K10" s="36">
        <f t="shared" si="0"/>
        <v>186500</v>
      </c>
    </row>
    <row r="11" spans="5:11">
      <c r="E11" s="31" t="s">
        <v>1487</v>
      </c>
      <c r="F11" s="36">
        <v>144000</v>
      </c>
      <c r="J11" s="31" t="s">
        <v>1487</v>
      </c>
      <c r="K11" s="36">
        <f t="shared" si="0"/>
        <v>144500</v>
      </c>
    </row>
    <row r="12" spans="5:11">
      <c r="E12" s="30" t="s">
        <v>1488</v>
      </c>
      <c r="F12" s="35">
        <v>113000</v>
      </c>
      <c r="J12" s="30" t="s">
        <v>1488</v>
      </c>
      <c r="K12" s="35">
        <f t="shared" si="0"/>
        <v>113500</v>
      </c>
    </row>
    <row r="13" spans="5:11">
      <c r="E13" s="31" t="s">
        <v>1489</v>
      </c>
      <c r="F13" s="36">
        <v>113000</v>
      </c>
      <c r="J13" s="31" t="s">
        <v>1489</v>
      </c>
      <c r="K13" s="36">
        <f t="shared" si="0"/>
        <v>113500</v>
      </c>
    </row>
    <row r="14" spans="5:11">
      <c r="E14" s="30" t="s">
        <v>1490</v>
      </c>
      <c r="F14" s="35">
        <v>188000</v>
      </c>
      <c r="J14" s="30" t="s">
        <v>1490</v>
      </c>
      <c r="K14" s="35">
        <f t="shared" si="0"/>
        <v>188500</v>
      </c>
    </row>
    <row r="15" spans="5:11">
      <c r="E15" s="31" t="s">
        <v>1491</v>
      </c>
      <c r="F15" s="36">
        <v>113000</v>
      </c>
      <c r="J15" s="31" t="s">
        <v>1491</v>
      </c>
      <c r="K15" s="36">
        <f t="shared" si="0"/>
        <v>113500</v>
      </c>
    </row>
    <row r="16" spans="5:11">
      <c r="E16" s="30" t="s">
        <v>1492</v>
      </c>
      <c r="F16" s="35">
        <v>95000</v>
      </c>
      <c r="J16" s="30" t="s">
        <v>1492</v>
      </c>
      <c r="K16" s="35">
        <f t="shared" si="0"/>
        <v>95500</v>
      </c>
    </row>
    <row r="17" spans="5:11">
      <c r="E17" s="32" t="s">
        <v>1493</v>
      </c>
      <c r="F17" s="54">
        <v>104500</v>
      </c>
      <c r="J17" s="32" t="s">
        <v>1493</v>
      </c>
      <c r="K17" s="54">
        <f t="shared" si="0"/>
        <v>105000</v>
      </c>
    </row>
  </sheetData>
  <sheetProtection algorithmName="SHA-512" hashValue="RYBJHoAmpVkz4BbLgc6G9Z16faNwfBlf9njj1j9idpfykHfqVvcjCZ46yrAOlGRSha3uoCTfYxnj0qOBTaDx8A==" saltValue="QY+NbnlImeo2NHO4pYp2qA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35FCB06547445867FDD6E64F6A41F" ma:contentTypeVersion="10" ma:contentTypeDescription="Create a new document." ma:contentTypeScope="" ma:versionID="6b2aa8c8cfa73998d2cf89e688b3a687">
  <xsd:schema xmlns:xsd="http://www.w3.org/2001/XMLSchema" xmlns:xs="http://www.w3.org/2001/XMLSchema" xmlns:p="http://schemas.microsoft.com/office/2006/metadata/properties" xmlns:ns3="40a6f15f-49ed-47c1-b81c-7f91f9f6228a" xmlns:ns4="6bea6c39-162e-4d13-96a6-9a55e097bde9" targetNamespace="http://schemas.microsoft.com/office/2006/metadata/properties" ma:root="true" ma:fieldsID="4520c2a108ac032c3b948be05441bf6a" ns3:_="" ns4:_="">
    <xsd:import namespace="40a6f15f-49ed-47c1-b81c-7f91f9f6228a"/>
    <xsd:import namespace="6bea6c39-162e-4d13-96a6-9a55e097bde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6f15f-49ed-47c1-b81c-7f91f9f622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a6c39-162e-4d13-96a6-9a55e097b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C27D59-6CBC-4CE2-AA63-7DB08F45B6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16FD60-BF99-4442-A69E-709CEB614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a6f15f-49ed-47c1-b81c-7f91f9f6228a"/>
    <ds:schemaRef ds:uri="6bea6c39-162e-4d13-96a6-9a55e097b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505507-A970-46FD-A3DE-6038CC5261E1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6bea6c39-162e-4d13-96a6-9a55e097bde9"/>
    <ds:schemaRef ds:uri="http://purl.org/dc/terms/"/>
    <ds:schemaRef ds:uri="40a6f15f-49ed-47c1-b81c-7f91f9f6228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Urban</vt:lpstr>
      <vt:lpstr>Rural1</vt:lpstr>
      <vt:lpstr>Rural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Onwusi</dc:creator>
  <cp:lastModifiedBy>Daramola Daramola</cp:lastModifiedBy>
  <cp:lastPrinted>2017-10-20T08:55:30Z</cp:lastPrinted>
  <dcterms:created xsi:type="dcterms:W3CDTF">2017-02-12T14:04:29Z</dcterms:created>
  <dcterms:modified xsi:type="dcterms:W3CDTF">2022-09-05T12:04:15Z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0x01010005435FCB06547445867FDD6E64F6A41F</vt:lpwstr>
  </property>
</Properties>
</file>